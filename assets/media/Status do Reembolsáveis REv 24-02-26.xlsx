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T-33925\Tiago Balbino\O&amp;M Linhas e SEs\CMT\Medição\"/>
    </mc:Choice>
  </mc:AlternateContent>
  <xr:revisionPtr revIDLastSave="0" documentId="13_ncr:1_{56697DBD-8C0C-453C-845C-FCD25B6B3597}" xr6:coauthVersionLast="47" xr6:coauthVersionMax="47" xr10:uidLastSave="{00000000-0000-0000-0000-000000000000}"/>
  <bookViews>
    <workbookView xWindow="-108" yWindow="-108" windowWidth="23256" windowHeight="12456" activeTab="3" xr2:uid="{D8F5FF34-2FBB-4ED8-8B72-4EAEA5E6C0E6}"/>
  </bookViews>
  <sheets>
    <sheet name="ANO 1" sheetId="1" r:id="rId1"/>
    <sheet name="ANO 2" sheetId="3" r:id="rId2"/>
    <sheet name="ANO 3" sheetId="4" r:id="rId3"/>
    <sheet name="ANO 4" sheetId="5" r:id="rId4"/>
  </sheets>
  <definedNames>
    <definedName name="_xlnm.Print_Area" localSheetId="0">'ANO 1'!$A$1:$S$55</definedName>
    <definedName name="_xlnm.Print_Area" localSheetId="1">'ANO 2'!$A$1:$S$46</definedName>
    <definedName name="_xlnm.Print_Area" localSheetId="2">'ANO 3'!$A$1:$S$55</definedName>
    <definedName name="_xlnm.Print_Area" localSheetId="3">'ANO 4'!$A$1:$S$55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5" l="1"/>
  <c r="F37" i="5"/>
  <c r="D60" i="5" l="1"/>
  <c r="E42" i="5"/>
  <c r="F42" i="5" s="1"/>
  <c r="D61" i="5"/>
  <c r="O37" i="4"/>
  <c r="E42" i="4" s="1"/>
  <c r="F42" i="4" s="1"/>
  <c r="D60" i="4"/>
  <c r="F37" i="4"/>
  <c r="D61" i="4" s="1"/>
  <c r="O28" i="3"/>
  <c r="F28" i="3"/>
  <c r="D51" i="3"/>
  <c r="E33" i="3"/>
  <c r="F33" i="3"/>
  <c r="F37" i="1"/>
  <c r="D61" i="1"/>
  <c r="O37" i="1"/>
  <c r="E42" i="1"/>
  <c r="D60" i="1"/>
  <c r="E34" i="3"/>
  <c r="E36" i="3"/>
  <c r="D53" i="3"/>
  <c r="D52" i="3"/>
  <c r="E32" i="3"/>
  <c r="F32" i="3"/>
  <c r="E41" i="1"/>
  <c r="F41" i="1"/>
  <c r="F34" i="3"/>
  <c r="D54" i="3"/>
  <c r="F36" i="3"/>
  <c r="D62" i="1"/>
  <c r="F42" i="1"/>
  <c r="E43" i="1"/>
  <c r="E45" i="1"/>
  <c r="F43" i="1"/>
  <c r="F45" i="1"/>
  <c r="D63" i="1"/>
  <c r="D62" i="5" l="1"/>
  <c r="E41" i="5"/>
  <c r="F41" i="5" s="1"/>
  <c r="E43" i="5"/>
  <c r="E41" i="4"/>
  <c r="F41" i="4" s="1"/>
  <c r="D62" i="4"/>
  <c r="E43" i="4"/>
  <c r="F43" i="4" s="1"/>
  <c r="E45" i="5" l="1"/>
  <c r="F43" i="5"/>
  <c r="E45" i="4"/>
  <c r="F45" i="4" s="1"/>
  <c r="D63" i="5" l="1"/>
  <c r="F45" i="5"/>
  <c r="D63" i="4"/>
</calcChain>
</file>

<file path=xl/sharedStrings.xml><?xml version="1.0" encoding="utf-8"?>
<sst xmlns="http://schemas.openxmlformats.org/spreadsheetml/2006/main" count="660" uniqueCount="458">
  <si>
    <t>Nº Oficio</t>
  </si>
  <si>
    <t>Status</t>
  </si>
  <si>
    <t xml:space="preserve">Microhmimetro </t>
  </si>
  <si>
    <t>Descrição</t>
  </si>
  <si>
    <t>Valor</t>
  </si>
  <si>
    <t>Aprovados pelo MDR</t>
  </si>
  <si>
    <t>Aguardando Aprovação do MDR</t>
  </si>
  <si>
    <t>Subtotal I</t>
  </si>
  <si>
    <t>Subtotal II</t>
  </si>
  <si>
    <t>Saldo</t>
  </si>
  <si>
    <t>TOTAL (soma I e II)</t>
  </si>
  <si>
    <t xml:space="preserve">Verbas Reembolsáveis </t>
  </si>
  <si>
    <t>Manutenção no Disjuntor da SE-N3</t>
  </si>
  <si>
    <t>Nº Carta</t>
  </si>
  <si>
    <t>1198/2022</t>
  </si>
  <si>
    <t>1196/2022</t>
  </si>
  <si>
    <t>1195/2022</t>
  </si>
  <si>
    <t>1091/2022</t>
  </si>
  <si>
    <t>1170/2022</t>
  </si>
  <si>
    <t>1169/2022</t>
  </si>
  <si>
    <t>1083/2022</t>
  </si>
  <si>
    <t>1082/2022</t>
  </si>
  <si>
    <t>1066/2022</t>
  </si>
  <si>
    <t>1194/2022</t>
  </si>
  <si>
    <t>1289/2022</t>
  </si>
  <si>
    <t>1271/2022</t>
  </si>
  <si>
    <t>1272/2022</t>
  </si>
  <si>
    <t>1258/2022</t>
  </si>
  <si>
    <t>1326/2022</t>
  </si>
  <si>
    <t>009/2022</t>
  </si>
  <si>
    <t>concluído</t>
  </si>
  <si>
    <t>Medição</t>
  </si>
  <si>
    <t>Observação</t>
  </si>
  <si>
    <t>Nº Nota</t>
  </si>
  <si>
    <t>001/2022</t>
  </si>
  <si>
    <t>002/2022</t>
  </si>
  <si>
    <t>026/2022</t>
  </si>
  <si>
    <t>030/2022</t>
  </si>
  <si>
    <t>007/2022</t>
  </si>
  <si>
    <t>032/2022</t>
  </si>
  <si>
    <t>006/2023</t>
  </si>
  <si>
    <t>008/2022</t>
  </si>
  <si>
    <t>023/2022</t>
  </si>
  <si>
    <t>005/2023</t>
  </si>
  <si>
    <t>004/2023</t>
  </si>
  <si>
    <t>003/2023</t>
  </si>
  <si>
    <t>007/2023</t>
  </si>
  <si>
    <t>021/2022</t>
  </si>
  <si>
    <t>008/2023</t>
  </si>
  <si>
    <t>035/2022</t>
  </si>
  <si>
    <t>037/2022</t>
  </si>
  <si>
    <t>045/2022</t>
  </si>
  <si>
    <t>0021/2023</t>
  </si>
  <si>
    <t>036/2022</t>
  </si>
  <si>
    <t>025/2022</t>
  </si>
  <si>
    <t>020/2022</t>
  </si>
  <si>
    <t>016/2022</t>
  </si>
  <si>
    <t>024/2022</t>
  </si>
  <si>
    <t>Reembolsáveis</t>
  </si>
  <si>
    <t>Percentual</t>
  </si>
  <si>
    <t>Manutenção do TC na SE-N2</t>
  </si>
  <si>
    <t>Portas: SEs N2(1 unid) e N3(1unid)</t>
  </si>
  <si>
    <t>010/2023</t>
  </si>
  <si>
    <t>011/2023</t>
  </si>
  <si>
    <t>012/2023</t>
  </si>
  <si>
    <t>013/2023</t>
  </si>
  <si>
    <t>009/2023</t>
  </si>
  <si>
    <t>0079/2023</t>
  </si>
  <si>
    <t>Bombas p/ fosso dos cubículos 
6,9 kV das Ses Eixo LESTE</t>
  </si>
  <si>
    <t>016/2023</t>
  </si>
  <si>
    <t>SSD e Memória Eixo NORTE</t>
  </si>
  <si>
    <t>019/2023</t>
  </si>
  <si>
    <t>017/2023</t>
  </si>
  <si>
    <t>Aquisição de mangueiras para abastecimento das SE's E5-E6</t>
  </si>
  <si>
    <t>099/2023</t>
  </si>
  <si>
    <t>049/2023</t>
  </si>
  <si>
    <t>Parafuso arruela e porcas para chave 289 - SE-N3</t>
  </si>
  <si>
    <t>Processo Conluído (carta 41/2022)</t>
  </si>
  <si>
    <t>Processo Conluído (carta 43/2022)</t>
  </si>
  <si>
    <t>Processo Conluído (carta 05/2023)</t>
  </si>
  <si>
    <t>Processo Conluído (carta 04/2023)</t>
  </si>
  <si>
    <t>Processo Conluído (carta 08/2023)</t>
  </si>
  <si>
    <t>Processo Conluído (carta 09/2023)</t>
  </si>
  <si>
    <t>Processo Conluído (carta 01/2023)</t>
  </si>
  <si>
    <t>Processo Conluído (carta 10/2023)</t>
  </si>
  <si>
    <t>Processo Conluído (carta 27/2023)</t>
  </si>
  <si>
    <t>Processo Conluído (carta 23/2023)</t>
  </si>
  <si>
    <t>Processo Conluído (carta 14/2023)</t>
  </si>
  <si>
    <t>045/2023</t>
  </si>
  <si>
    <t>93/2023</t>
  </si>
  <si>
    <t>100/2023</t>
  </si>
  <si>
    <t>382-2023</t>
  </si>
  <si>
    <t>214/2023</t>
  </si>
  <si>
    <t>RESIST. AQUECIMENTO</t>
  </si>
  <si>
    <t>Analise Cromatográfica e Análise Físico-Química de Óleo</t>
  </si>
  <si>
    <t>060/2023</t>
  </si>
  <si>
    <t>059/2023</t>
  </si>
  <si>
    <t>055/2023</t>
  </si>
  <si>
    <t>441/2023</t>
  </si>
  <si>
    <t>064/2023</t>
  </si>
  <si>
    <t>063/2023</t>
  </si>
  <si>
    <t>263/2023</t>
  </si>
  <si>
    <t>261/2023</t>
  </si>
  <si>
    <t>Processo Conluído (carta 53/2023)</t>
  </si>
  <si>
    <t>Processo Conluído (carta 46/2023)</t>
  </si>
  <si>
    <t>Processo Conluído (carta 54/2023)</t>
  </si>
  <si>
    <t>Processo Conluído (carta 28/2023)</t>
  </si>
  <si>
    <t>Processo Conluído (carta 45/2023)</t>
  </si>
  <si>
    <t>Processo Conluído (carta 56/2023)</t>
  </si>
  <si>
    <t>Processo Conluído (cartas 24/2023 e 25/2023)</t>
  </si>
  <si>
    <t>Sílica Gel - Eixo Leste</t>
  </si>
  <si>
    <t>Material para 13,8 kV - Eixo Norte</t>
  </si>
  <si>
    <t>Mat. De informatica - roteadores, cabos e Kits de teclado e mouse - Eixo Leste</t>
  </si>
  <si>
    <t>Monitores - Eixo Leste</t>
  </si>
  <si>
    <t>SSD e Memória - Eixo Leste</t>
  </si>
  <si>
    <t>Refletores LED - Eixo Norte</t>
  </si>
  <si>
    <t>Aquisição Condicionadores de ar - Eixo Norte</t>
  </si>
  <si>
    <t>motores de acionamento Disjuntor ABB - Eixo Norte</t>
  </si>
  <si>
    <t>Relés suprevisão de tensão - Eixo Norte</t>
  </si>
  <si>
    <t>Insumos para fibra ótica - Eixo Norte</t>
  </si>
  <si>
    <t>Extintores - Eixo Norte</t>
  </si>
  <si>
    <t>Manutenções GMGs - Eixo Norte</t>
  </si>
  <si>
    <t>Conectores trafo 6,9 kV - Eixo Norte</t>
  </si>
  <si>
    <t>frete do conector - Eixo Norte</t>
  </si>
  <si>
    <t>Silica Gel - Eixo Norte</t>
  </si>
  <si>
    <t>Bombas p/ fosso dos cubículos 
6,9 kV das SEs Eixo Norte</t>
  </si>
  <si>
    <t>Monitores LED - Eixo Norte</t>
  </si>
  <si>
    <t>Tinta Pintura SEs</t>
  </si>
  <si>
    <t>066/2023</t>
  </si>
  <si>
    <t>536/2023</t>
  </si>
  <si>
    <t>Para Raios SE-N1</t>
  </si>
  <si>
    <t>491/2023</t>
  </si>
  <si>
    <t>252/2023</t>
  </si>
  <si>
    <t>069/2023</t>
  </si>
  <si>
    <t>Em análise</t>
  </si>
  <si>
    <t>530/2023</t>
  </si>
  <si>
    <t>Recarga Extintores Eixo Norte</t>
  </si>
  <si>
    <t>501/2023</t>
  </si>
  <si>
    <t>Cadeiras para as SEs</t>
  </si>
  <si>
    <t>Processo Conluído (carta 68/2023)</t>
  </si>
  <si>
    <t>018/2023</t>
  </si>
  <si>
    <t>014/2023</t>
  </si>
  <si>
    <t>015/2023</t>
  </si>
  <si>
    <t>020/2023</t>
  </si>
  <si>
    <t>024/2023</t>
  </si>
  <si>
    <t>023/2023</t>
  </si>
  <si>
    <t>025/2023</t>
  </si>
  <si>
    <t>026/2023</t>
  </si>
  <si>
    <t>027/2023</t>
  </si>
  <si>
    <t>076/2023</t>
  </si>
  <si>
    <t>077/2023</t>
  </si>
  <si>
    <t>Parafusos para 230 kV</t>
  </si>
  <si>
    <t>078/2023</t>
  </si>
  <si>
    <t>079/2023</t>
  </si>
  <si>
    <t>022/2023</t>
  </si>
  <si>
    <t>021/2023</t>
  </si>
  <si>
    <t>028/2023</t>
  </si>
  <si>
    <t>Processo Conluído (carta 74/2023)</t>
  </si>
  <si>
    <t>Processo Conluído (carta 73/2023)</t>
  </si>
  <si>
    <t>Processo Conluído (carta 72/2023)</t>
  </si>
  <si>
    <t>Processo Conluído (carta 77/2023)</t>
  </si>
  <si>
    <t>Processo Conluído (carta 75/2023)</t>
  </si>
  <si>
    <t>Processo Conluído (carta 76/2023)</t>
  </si>
  <si>
    <t>264/2023</t>
  </si>
  <si>
    <t>342/2023</t>
  </si>
  <si>
    <t>030/2023</t>
  </si>
  <si>
    <t>029/2023</t>
  </si>
  <si>
    <t>031/2023</t>
  </si>
  <si>
    <t>enviado ND 027 - carta 82/2023.</t>
  </si>
  <si>
    <t>enviado ND 30 - carta 81/2023.</t>
  </si>
  <si>
    <t>enviado ND 29 - carta 80/2023.</t>
  </si>
  <si>
    <t>Peças e/ou materiais para os GMGs das SEs</t>
  </si>
  <si>
    <t>032/2023</t>
  </si>
  <si>
    <t>358/2023</t>
  </si>
  <si>
    <t>086/2023</t>
  </si>
  <si>
    <t>Processo Conluído (carta 88/2023)</t>
  </si>
  <si>
    <t>101/2023</t>
  </si>
  <si>
    <t>Extintores - Leste</t>
  </si>
  <si>
    <t>102/2023</t>
  </si>
  <si>
    <t>425/2023</t>
  </si>
  <si>
    <t>Bomba elétrica - GMG - SE E4</t>
  </si>
  <si>
    <t>103/2023</t>
  </si>
  <si>
    <t>105/2023</t>
  </si>
  <si>
    <t>424/2023</t>
  </si>
  <si>
    <t>106/2023</t>
  </si>
  <si>
    <t>conectores - norte e leste</t>
  </si>
  <si>
    <t>098/2023</t>
  </si>
  <si>
    <t>RTTs e RTCs - norte e leste</t>
  </si>
  <si>
    <t>430/2023</t>
  </si>
  <si>
    <t>816/2023</t>
  </si>
  <si>
    <t>815/2023</t>
  </si>
  <si>
    <t>814/2023</t>
  </si>
  <si>
    <t>033/2023</t>
  </si>
  <si>
    <t>Indicador Digital LC (Amperímetro) para a COLUNA 2 do painel QSACC da SE-N3</t>
  </si>
  <si>
    <t>110/2023</t>
  </si>
  <si>
    <t>942/2023</t>
  </si>
  <si>
    <t>Concluído</t>
  </si>
  <si>
    <t>Emitidido ND 33/2023, em 28/08/23, por meio da carta 515-2023-EL-Nº108-2023.
Conlcuído, conforme Parecer nº 90/2023/CFL/CGOF/DPE SNSH-MIDR</t>
  </si>
  <si>
    <t>Drenagem Fossa - SEs Norte</t>
  </si>
  <si>
    <t>034/2023</t>
  </si>
  <si>
    <t>035/2023</t>
  </si>
  <si>
    <t>Processo Conluído (carta 128/2023)</t>
  </si>
  <si>
    <t>Processo Conluído (carta 127/2023)</t>
  </si>
  <si>
    <t>enviado ND 028 - carta 83/2023.</t>
  </si>
  <si>
    <t>036/2023</t>
  </si>
  <si>
    <t>Refletores LED - Eixo Leste</t>
  </si>
  <si>
    <t>126/2023</t>
  </si>
  <si>
    <t>Componentes para reparo do computador de engenharia da SE-N2</t>
  </si>
  <si>
    <t>1051/2023</t>
  </si>
  <si>
    <t>037/2023</t>
  </si>
  <si>
    <t xml:space="preserve">Subtotal I </t>
  </si>
  <si>
    <t xml:space="preserve">Subtotal II </t>
  </si>
  <si>
    <t>038/2023</t>
  </si>
  <si>
    <t>Emitidido ND 37/2023 e parecer de aprovação, em 10/11/23, por meio da carta 515-2023-EL-Nº140-2023.</t>
  </si>
  <si>
    <t>Emitidido ND 38/2023 e parecer de aprovação, em 10/11/23, por meio da carta 515-2023-EL-Nº141-2023.</t>
  </si>
  <si>
    <t>Emitidido ND 36/2023, em 06/11/23, por meio da carta 515-2023-EL-Nº139-2023. Concluído sem recebimento oficial de parecer.</t>
  </si>
  <si>
    <t>039/2023</t>
  </si>
  <si>
    <t>Para-raios de linha 10 kA, 15 kV c/ suporte</t>
  </si>
  <si>
    <t>Emitidido ND 39/2023 e parecer de aprovação, em 14/12/23, por meio da carta 515/EL nº 152/2023.</t>
  </si>
  <si>
    <t>001/2024</t>
  </si>
  <si>
    <t>Emitidido ND 001/2024, por meio da carta 515-2024-EL-Nº023-2024.</t>
  </si>
  <si>
    <t>01 polo de TC para a SE N2</t>
  </si>
  <si>
    <t>027/2024</t>
  </si>
  <si>
    <t>051/2024</t>
  </si>
  <si>
    <t>002/2024
032/2024</t>
  </si>
  <si>
    <t>101/2024
205/2024</t>
  </si>
  <si>
    <t>Aquisição de itens para manutenções dos GMGs das SEs dos Eixos Norte e Leste do PISF</t>
  </si>
  <si>
    <t>029/2024
035/2024</t>
  </si>
  <si>
    <t>232/2024
292/2024</t>
  </si>
  <si>
    <t>002/2024</t>
  </si>
  <si>
    <t>Emitidido ND 002/2024 e parecer de aprovação, em 19/03/24, por meio da carta 515-2024-EL-Nº044-2024.</t>
  </si>
  <si>
    <t>Análise Cromatográfica e Análise Físico-Química dos transformadores e reatores das Subestações do Eixo Norte e Eixo Leste do PISF</t>
  </si>
  <si>
    <t>003/2024</t>
  </si>
  <si>
    <t>Emitidido ND 003/2024 e parecer de aprovação, em 26/03/24, por meio da carta 515-2024-EL-Nº046-2024.</t>
  </si>
  <si>
    <t>Processo Conluído (carta 84/2023)</t>
  </si>
  <si>
    <t>Aprovados pelo MIDR</t>
  </si>
  <si>
    <t>Aguardando Aprovação do MIDR</t>
  </si>
  <si>
    <t>Instalação / ares condicionados</t>
  </si>
  <si>
    <t>131/2024</t>
  </si>
  <si>
    <t>137/2024</t>
  </si>
  <si>
    <t>064/2024</t>
  </si>
  <si>
    <t>065/2024</t>
  </si>
  <si>
    <t>relé do automatismo do GMG-WARD</t>
  </si>
  <si>
    <t>144/2024</t>
  </si>
  <si>
    <t>063/2024</t>
  </si>
  <si>
    <t>045/2024</t>
  </si>
  <si>
    <t>147/2024</t>
  </si>
  <si>
    <t>Ares Condicionados para o Eixo Leste</t>
  </si>
  <si>
    <t>Manutenção GMG SE N1 (bomba e bicos injetores)</t>
  </si>
  <si>
    <t>004/2024</t>
  </si>
  <si>
    <t>Emitidido ND 004/2024, em 06/05/24, por meio da carta 515-2024-EL-Nº062-2024.</t>
  </si>
  <si>
    <t>005/2024</t>
  </si>
  <si>
    <t>Emitidido ND 005/2024, em 21/05/24, por meio da carta 515-2024-EL-Nº073-2024.</t>
  </si>
  <si>
    <t>006/2024</t>
  </si>
  <si>
    <t>742/2024</t>
  </si>
  <si>
    <t>Emitidido ND 006/2024, em 30/05/24, por meio da carta 515-2024-EL-Nº075-2024.</t>
  </si>
  <si>
    <t>076/2024</t>
  </si>
  <si>
    <t>069/2024
074/2024</t>
  </si>
  <si>
    <t>007/2024</t>
  </si>
  <si>
    <t>178/2024</t>
  </si>
  <si>
    <t>Aquisição de câmera térmica</t>
  </si>
  <si>
    <t>159/2024
176/2024</t>
  </si>
  <si>
    <t>072/2024</t>
  </si>
  <si>
    <t>Emitidido ND 007/2024, em 12/06/24, por meio da carta 515-2024-EL-Nº078-2024.</t>
  </si>
  <si>
    <t>Insumo para torres/Dinamômetro</t>
  </si>
  <si>
    <t>Bateria para GMG da SE-E2</t>
  </si>
  <si>
    <t>079/2024</t>
  </si>
  <si>
    <t>080/2024</t>
  </si>
  <si>
    <t>008/2024</t>
  </si>
  <si>
    <t>009/2024</t>
  </si>
  <si>
    <t>Emitidido ND 008/2024, em 17/06/24, por meio da carta 515-2024-EL-Nº082-2024.</t>
  </si>
  <si>
    <t>Emitidido ND 009/2024, em 17/06/24, por meio da carta 515-2024-EL-Nº083-2024.</t>
  </si>
  <si>
    <t>187/2024</t>
  </si>
  <si>
    <t>186/2024</t>
  </si>
  <si>
    <t>010/2024</t>
  </si>
  <si>
    <t>Emitidido ND 010/2024, em 19/06/24, por meio da carta 515-2024-EL-Nº084-2024.</t>
  </si>
  <si>
    <t>011/2024</t>
  </si>
  <si>
    <t>Emitidido ND 011/2024, em 25/06/24, por meio da carta 515-2024-EL-Nº085-2024.</t>
  </si>
  <si>
    <t>Emitidido ND 012/2024, em 26/06/24, por meio da carta 515-2024-EL-Nº086-2024.</t>
  </si>
  <si>
    <t>012/2024</t>
  </si>
  <si>
    <t>Bateria para GMG da SE-E6</t>
  </si>
  <si>
    <t>087/2024</t>
  </si>
  <si>
    <t>Emitidido ND 013/2024, em 27/006/24, por meio da carta 515-2024-EL-Nº088-2024.</t>
  </si>
  <si>
    <t xml:space="preserve">sílica gel </t>
  </si>
  <si>
    <t>206/2024</t>
  </si>
  <si>
    <t>maleta de testes</t>
  </si>
  <si>
    <t>014/2024</t>
  </si>
  <si>
    <t>095/2024</t>
  </si>
  <si>
    <t>Frete para envio de relés SEL para reparo em fábrica</t>
  </si>
  <si>
    <t>097/2024</t>
  </si>
  <si>
    <t>253/2024</t>
  </si>
  <si>
    <t>241/2024</t>
  </si>
  <si>
    <t>015/2024</t>
  </si>
  <si>
    <t>Aquisição de 09 Motores de operação (mecanismos de acionamento automático)</t>
  </si>
  <si>
    <t>113/2024</t>
  </si>
  <si>
    <t>Recarga e aquisição de extintores</t>
  </si>
  <si>
    <t xml:space="preserve">análise de gás isolante de disjuntores </t>
  </si>
  <si>
    <t>Comissionamento do TC da SE N2</t>
  </si>
  <si>
    <t xml:space="preserve">análise de óleo furfural </t>
  </si>
  <si>
    <t>016/2024</t>
  </si>
  <si>
    <t>289/2024</t>
  </si>
  <si>
    <t>Instrumentos p/ manutenções preventivas e preditivas especializadas em transformadores</t>
  </si>
  <si>
    <t>123/2024</t>
  </si>
  <si>
    <t>124/2024</t>
  </si>
  <si>
    <t>316/2024</t>
  </si>
  <si>
    <t>304/2024</t>
  </si>
  <si>
    <t>017/2024</t>
  </si>
  <si>
    <t>136/2024</t>
  </si>
  <si>
    <t>Placas de sinalização de segurança para subestações</t>
  </si>
  <si>
    <t>018/2024</t>
  </si>
  <si>
    <t>019/2024</t>
  </si>
  <si>
    <t>Emitidido ND 018/2024 e parecer de aprovação, em 26/11/24, por meio da carta 515-2024-EL-Nº140-2024.</t>
  </si>
  <si>
    <t>354/2024</t>
  </si>
  <si>
    <t>Ano 3
01/11/2024</t>
  </si>
  <si>
    <t>008/2025</t>
  </si>
  <si>
    <t>Aquisição de parafusos, porcas, porcas Pall Nut e arruelas para as LTs 230 kV dos Eixos Norte e Leste do PISF.</t>
  </si>
  <si>
    <t>Emitido ND 019/2024 e parecer de aprovação, em 26/11/24, por meio da carta 515-2024-EL-Nº140-2024.</t>
  </si>
  <si>
    <t>Emitido ND 018/2024 e parecer de aprovação, em 26/11/24, por meio da carta 515-2024-EL-Nº140-2024.</t>
  </si>
  <si>
    <t>Emitido ND 014/2024, em 16/07/24, por meio da carta 515-2024-EL-Nº094-2024.</t>
  </si>
  <si>
    <t>Emitido ND 015/2024, em 11/09/24, por meio da carta 515-2024-EL-Nº111-2024.</t>
  </si>
  <si>
    <t>Emitido ND 016/2024, em 16/09/24, por meio da carta 515-2024-EL-Nº120-2024.</t>
  </si>
  <si>
    <t>Emitido ND 017/2024, em 04/11/24, por meio da carta 515-2024-EL-Nº133-2024.</t>
  </si>
  <si>
    <t>009/2025</t>
  </si>
  <si>
    <t>49/2025</t>
  </si>
  <si>
    <t>013/2025</t>
  </si>
  <si>
    <t>Material para os GMGs das SEs do Eixo Norte</t>
  </si>
  <si>
    <t>284/2025</t>
  </si>
  <si>
    <t>016/2025</t>
  </si>
  <si>
    <t>Aquisição de caixas de emenda de fibra optica</t>
  </si>
  <si>
    <t>353/2025</t>
  </si>
  <si>
    <t>Aprovados pelo MIDR (I)</t>
  </si>
  <si>
    <t>Aguardando Aprovação do MIDR (II)</t>
  </si>
  <si>
    <t>018/2025</t>
  </si>
  <si>
    <t>Conector adaptado da bucha de baixa tensão do 6TR1 (fase A) – SE-N1</t>
  </si>
  <si>
    <t>001/2025</t>
  </si>
  <si>
    <t>Emitido ND 001/2025, em 14/03/25, por meio da carta 515-2025-EL-Nº020-2025.</t>
  </si>
  <si>
    <t>372/2025</t>
  </si>
  <si>
    <t>066/2025</t>
  </si>
  <si>
    <t>002/2025</t>
  </si>
  <si>
    <t>Emitido ND 002/2025, em 27/03/25, por meio da carta 515-2025-EL-Nº024-2025.</t>
  </si>
  <si>
    <t>003/2025</t>
  </si>
  <si>
    <t>004/2025</t>
  </si>
  <si>
    <t>005/2025</t>
  </si>
  <si>
    <t>Emitido ND 004/2025 e parecer de aprovação, em 04/04/25, por meio da carta 515-2025-EL-Nº031-2025.</t>
  </si>
  <si>
    <t>Emitido ND 005/2025 e parecer de aprovação, em 04/04/25, por meio da carta 515-2025-EL-Nº032-2025.</t>
  </si>
  <si>
    <t>Emitido ND 003/2025, em 02/04/25, por meio da carta 515-2025-EL-Nº028-2025.</t>
  </si>
  <si>
    <t>034/2025</t>
  </si>
  <si>
    <t>625/2025</t>
  </si>
  <si>
    <t>Aquisição de radiador para o GMG da SE N3.</t>
  </si>
  <si>
    <t>Cancelada</t>
  </si>
  <si>
    <t>006/2025</t>
  </si>
  <si>
    <t>007/2025</t>
  </si>
  <si>
    <t>-</t>
  </si>
  <si>
    <t>Emitido ND 007/2025, em 13/05/25, por meio da carta 515-2025-EL-Nº039-2025.</t>
  </si>
  <si>
    <t>Emitido ND 006/2025 e parecer de aprovação, em 14/05/25, por meio da carta 515-2025-EL-Nº041-2025.</t>
  </si>
  <si>
    <t>044/2025</t>
  </si>
  <si>
    <t>248/2025</t>
  </si>
  <si>
    <t>Aquisição de parafusos, porcas, porcas Pall Nut e arruelas para as Linhas de Transmissão 230 kV do Eixo Norte e Leste do PISF.</t>
  </si>
  <si>
    <t>Emitido ND 008/2025, em 10/06/25, por meio da carta 515-2025-EL-Nº050-2025.</t>
  </si>
  <si>
    <t>061/2025</t>
  </si>
  <si>
    <t>Em execução</t>
  </si>
  <si>
    <t>048/2025</t>
  </si>
  <si>
    <t>947/2025</t>
  </si>
  <si>
    <t>Aquisição de conectores de alta tensão para transformadores das SEs</t>
  </si>
  <si>
    <t>Substituída pela carta nº 515-2025-EL-Nº048-2025 devido a negativa do fornecedor. Aproveitando a ocasião de emissão de nova slictação, foram também adicionados mais conectores sobressalentes. Devido o prazo de confeccção e a vigencia do corrente ano contratual (3ª ano), a mesma será incluída apenas no 4º ano contratual.</t>
  </si>
  <si>
    <t>346/2025</t>
  </si>
  <si>
    <t>material manutenção GMG SEs</t>
  </si>
  <si>
    <t>Aquisição de 18 cadeiras para as SEs norte e leste</t>
  </si>
  <si>
    <t>Aquisição de 05 condicionadores de ar para as SEs norte e leste</t>
  </si>
  <si>
    <t>070/2025</t>
  </si>
  <si>
    <t>366/2025</t>
  </si>
  <si>
    <t>393/2025</t>
  </si>
  <si>
    <t>Material para manutenção semestral dos condicionadorfes de ar das SEs Norte e Leste</t>
  </si>
  <si>
    <t>071/2025</t>
  </si>
  <si>
    <t>414/2025</t>
  </si>
  <si>
    <t>Emitido ND 009/2025, em 15/09/25, por meio da carta 515-2025-EL-Nº078-2025.</t>
  </si>
  <si>
    <t>Emitido ND 009/2025, em 17/09/25, por meio da carta 515-2025-EL-Nº080-2025.</t>
  </si>
  <si>
    <t>010/2025</t>
  </si>
  <si>
    <t>Emitido ND 011/2025, em 24/09/25, por meio da carta 515-2025-EL-Nº082-2025.</t>
  </si>
  <si>
    <t xml:space="preserve">análise de óleo fisico-quimica, cromatográfica e  furfural </t>
  </si>
  <si>
    <t>011/2025</t>
  </si>
  <si>
    <t>083/2025</t>
  </si>
  <si>
    <t>material instalação ar condicionado</t>
  </si>
  <si>
    <t>Frete de envio do instrtumento medidor de tangente delta, para reparo em garantia.</t>
  </si>
  <si>
    <t>084/2025</t>
  </si>
  <si>
    <t>Placas de controle UIB para reparo dos retificadores das SEs E5 e E6 do Eixo Leste do PISF</t>
  </si>
  <si>
    <t>454/2025</t>
  </si>
  <si>
    <t>012/2025</t>
  </si>
  <si>
    <t>Emitido ND 012/2025, em 08/10/25, por meio da carta 515-2025-EL-Nº086-2025.</t>
  </si>
  <si>
    <t>087/2025</t>
  </si>
  <si>
    <t>088/2025</t>
  </si>
  <si>
    <t>Conectores sobressalentes utilizados para as conexões dos cabos ou tubos com as buchas secundárias dos
transformadores das subestações dos Eixos Norte e Leste do PISF</t>
  </si>
  <si>
    <t>460/2025</t>
  </si>
  <si>
    <t>091/2025</t>
  </si>
  <si>
    <t>479/2025</t>
  </si>
  <si>
    <t>480/2025</t>
  </si>
  <si>
    <t>093/2025</t>
  </si>
  <si>
    <t>1912/2025</t>
  </si>
  <si>
    <t>487/2025</t>
  </si>
  <si>
    <t>Material dos alambrados do deposito de cantoneiras</t>
  </si>
  <si>
    <t>Materiais para manutenção de estais LD 13,8 kV eixo norte</t>
  </si>
  <si>
    <t>manutenção Motor de partida do GMG-N1</t>
  </si>
  <si>
    <t>097/2025</t>
  </si>
  <si>
    <t>betoneira</t>
  </si>
  <si>
    <t>TCs 01 unid</t>
  </si>
  <si>
    <t>em elaboração</t>
  </si>
  <si>
    <t>em avaliação junto a fiscalização - adriano</t>
  </si>
  <si>
    <t>100/2025</t>
  </si>
  <si>
    <t>em avaliação - adriano</t>
  </si>
  <si>
    <t>em elaboração - fernando</t>
  </si>
  <si>
    <t>Placas de identificação torres LTs Norte e Leste</t>
  </si>
  <si>
    <t>104/2025</t>
  </si>
  <si>
    <t>2026/2025</t>
  </si>
  <si>
    <t>Frete de retorno do instrtumento medidor de tangente delta, para reparo em garantia.</t>
  </si>
  <si>
    <t>106/2025</t>
  </si>
  <si>
    <t>014/2025</t>
  </si>
  <si>
    <t>508/2025</t>
  </si>
  <si>
    <t>522/2025</t>
  </si>
  <si>
    <t>Emitido ND 013/2025, em 13/11/25, por meio da carta 515-2025-EL-Nº107-2025.</t>
  </si>
  <si>
    <t>Emitido ND 014/2025, em 17/11/25, por meio da carta 515-2025-EL-Nº109-2025.</t>
  </si>
  <si>
    <t>Emitido ND 015/2025, em 17/11/25, por meio da carta 515-2025-EL-Nº110-2025.</t>
  </si>
  <si>
    <t>015/2025</t>
  </si>
  <si>
    <t>Emitido ND 016/2025, em 18/11/25, por meio da carta 515-2025-EL-Nº111-2025.</t>
  </si>
  <si>
    <t>017/2025</t>
  </si>
  <si>
    <t>Emitido ND 017/2025, em 21/11/25, por meio da carta 515-2025-EL-Nº113-2025.</t>
  </si>
  <si>
    <t>545/2025</t>
  </si>
  <si>
    <t>112/2025</t>
  </si>
  <si>
    <t>Recarga de extintores - SEs Norte e Leste</t>
  </si>
  <si>
    <t>Emitido ND 018/2025 atestada, em 02/12/25, por meio da carta 515-2025-EL-Nº114-2025.</t>
  </si>
  <si>
    <t>581/2025</t>
  </si>
  <si>
    <t>019/2025</t>
  </si>
  <si>
    <t>020/2025</t>
  </si>
  <si>
    <t>021/2025</t>
  </si>
  <si>
    <t>Emitido ND 020/2025, em 09/12/25, por meio da carta 515-2025-EL-Nº118-2025.</t>
  </si>
  <si>
    <t>Emitido ND 019/2025 atestada, em 10/12/25, por meio da carta 515-2025-EL-Nº120-2025.</t>
  </si>
  <si>
    <t>Emitido ND 021/2025 atestada, em 11/12/25, por meio da carta 515-2025-EL-Nº121-2025.</t>
  </si>
  <si>
    <t>122/2025</t>
  </si>
  <si>
    <t>Baterias GMGs SEs N1, N2 e N3</t>
  </si>
  <si>
    <t>005/2026</t>
  </si>
  <si>
    <t>em fase de compra e instalação</t>
  </si>
  <si>
    <t>001/2026</t>
  </si>
  <si>
    <t>Relés de subtensão para manutenção de automatismo CA das SEs dos Eixos Norte e Leste</t>
  </si>
  <si>
    <t>002/2026</t>
  </si>
  <si>
    <t>Emitido ND 001/2026, em 21/01/26, por meio da carta 515-2026-EL-Nº006-2026.</t>
  </si>
  <si>
    <t>Emitido ND 002/2026, em 21/01/26, por meio da carta 515-2026-EL-Nº007-2026.</t>
  </si>
  <si>
    <t>003/2026</t>
  </si>
  <si>
    <t>123/2026</t>
  </si>
  <si>
    <t>Emitido ND 003/2026 atestada, em 10/02/26, por meio da carta 515-2026-EL-Nº014-2026.</t>
  </si>
  <si>
    <t>004/2026</t>
  </si>
  <si>
    <t>Emitido ND 004/2026, em 20/02/26, por meio da carta 515-2026-EL-Nº018-2026.</t>
  </si>
  <si>
    <t>Pendente - MIDR</t>
  </si>
  <si>
    <t>Aquisição de 02 fusíveis 25 A de média tensão para os cubículos de entrada 6,9 kV das subestações dos eixos Norte e Leste do PISF</t>
  </si>
  <si>
    <t>017/2026</t>
  </si>
  <si>
    <t>protocolado em 24/02/26</t>
  </si>
  <si>
    <t>020/2026</t>
  </si>
  <si>
    <t>Aquisição de 960 adesivos de identificação (TAG) para os equipamentos das subestações dos Eixos Norte e Leste do PISF</t>
  </si>
  <si>
    <t>090/2026</t>
  </si>
  <si>
    <t>em fase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</si>
</sst>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4" fontId="72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top"/>
    </xf>
    <xf numFmtId="9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  <xf numFmtId="44" fontId="72" fillId="0" borderId="0" applyFont="0" applyFill="0" applyBorder="0" applyAlignment="0" applyProtection="0"/>
  </cellStyleXfs>
  <cellXfs count="301">
    <xf numFmtId="0" fontId="0" fillId="0" borderId="0" xfId="0"/>
    <xf numFmtId="0" fontId="71" fillId="4" borderId="1" xfId="0" applyFont="1" applyFill="1" applyBorder="1" applyAlignment="1">
      <alignment horizontal="center" vertical="center"/>
    </xf>
    <xf numFmtId="44" fontId="71" fillId="4" borderId="1" xfId="1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horizontal="center" vertical="center" wrapText="1"/>
    </xf>
    <xf numFmtId="0" fontId="71" fillId="4" borderId="3" xfId="0" applyFont="1" applyFill="1" applyBorder="1" applyAlignment="1">
      <alignment horizontal="center" vertical="center"/>
    </xf>
    <xf numFmtId="0" fontId="74" fillId="4" borderId="1" xfId="0" applyFont="1" applyFill="1" applyBorder="1" applyAlignment="1">
      <alignment horizontal="center" vertical="center"/>
    </xf>
    <xf numFmtId="0" fontId="71" fillId="0" borderId="2" xfId="0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4" fillId="4" borderId="8" xfId="0" applyFont="1" applyFill="1" applyBorder="1" applyAlignment="1">
      <alignment horizontal="center" vertical="center"/>
    </xf>
    <xf numFmtId="44" fontId="71" fillId="0" borderId="0" xfId="1" applyFont="1" applyAlignment="1">
      <alignment vertical="center"/>
    </xf>
    <xf numFmtId="44" fontId="71" fillId="2" borderId="12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44" fontId="71" fillId="3" borderId="6" xfId="0" applyNumberFormat="1" applyFont="1" applyFill="1" applyBorder="1" applyAlignment="1">
      <alignment horizontal="center" vertical="center"/>
    </xf>
    <xf numFmtId="44" fontId="76" fillId="0" borderId="0" xfId="1" applyFont="1" applyAlignment="1">
      <alignment vertical="center"/>
    </xf>
    <xf numFmtId="44" fontId="76" fillId="0" borderId="0" xfId="0" applyNumberFormat="1" applyFont="1" applyAlignment="1">
      <alignment vertical="center"/>
    </xf>
    <xf numFmtId="0" fontId="71" fillId="0" borderId="0" xfId="0" applyFont="1" applyAlignment="1">
      <alignment horizontal="right" vertical="center"/>
    </xf>
    <xf numFmtId="44" fontId="71" fillId="0" borderId="3" xfId="0" applyNumberFormat="1" applyFont="1" applyBorder="1" applyAlignment="1">
      <alignment horizontal="center" vertical="center"/>
    </xf>
    <xf numFmtId="0" fontId="74" fillId="0" borderId="4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17" fontId="71" fillId="0" borderId="1" xfId="0" applyNumberFormat="1" applyFont="1" applyBorder="1" applyAlignment="1">
      <alignment horizontal="center" vertical="center"/>
    </xf>
    <xf numFmtId="0" fontId="71" fillId="4" borderId="3" xfId="0" applyFont="1" applyFill="1" applyBorder="1" applyAlignment="1">
      <alignment horizontal="center" vertical="center" wrapText="1"/>
    </xf>
    <xf numFmtId="44" fontId="71" fillId="2" borderId="8" xfId="1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" fontId="71" fillId="0" borderId="1" xfId="0" applyNumberFormat="1" applyFont="1" applyBorder="1" applyAlignment="1">
      <alignment horizontal="center" vertical="center" wrapText="1"/>
    </xf>
    <xf numFmtId="44" fontId="77" fillId="5" borderId="10" xfId="1" applyFont="1" applyFill="1" applyBorder="1" applyAlignment="1">
      <alignment horizontal="center" vertical="center"/>
    </xf>
    <xf numFmtId="0" fontId="71" fillId="4" borderId="21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 wrapText="1"/>
    </xf>
    <xf numFmtId="0" fontId="70" fillId="4" borderId="1" xfId="0" applyFont="1" applyFill="1" applyBorder="1" applyAlignment="1">
      <alignment horizontal="center" vertical="center"/>
    </xf>
    <xf numFmtId="0" fontId="69" fillId="4" borderId="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4" borderId="3" xfId="0" applyFont="1" applyFill="1" applyBorder="1" applyAlignment="1">
      <alignment horizontal="center" vertical="center" wrapText="1"/>
    </xf>
    <xf numFmtId="0" fontId="69" fillId="4" borderId="1" xfId="0" applyFont="1" applyFill="1" applyBorder="1" applyAlignment="1">
      <alignment horizontal="center" vertical="center" wrapText="1"/>
    </xf>
    <xf numFmtId="0" fontId="69" fillId="4" borderId="3" xfId="0" applyFont="1" applyFill="1" applyBorder="1" applyAlignment="1">
      <alignment horizontal="center" vertical="center"/>
    </xf>
    <xf numFmtId="0" fontId="68" fillId="4" borderId="3" xfId="0" applyFont="1" applyFill="1" applyBorder="1" applyAlignment="1">
      <alignment horizontal="center" vertical="center" wrapText="1"/>
    </xf>
    <xf numFmtId="44" fontId="79" fillId="4" borderId="1" xfId="1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77" fillId="4" borderId="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77" fillId="4" borderId="1" xfId="0" applyFont="1" applyFill="1" applyBorder="1" applyAlignment="1">
      <alignment horizontal="center" vertical="center" wrapText="1"/>
    </xf>
    <xf numFmtId="44" fontId="80" fillId="0" borderId="0" xfId="1" applyFont="1" applyAlignment="1">
      <alignment vertical="center"/>
    </xf>
    <xf numFmtId="44" fontId="81" fillId="4" borderId="1" xfId="1" applyFont="1" applyFill="1" applyBorder="1" applyAlignment="1">
      <alignment horizontal="center" vertical="center"/>
    </xf>
    <xf numFmtId="44" fontId="77" fillId="4" borderId="1" xfId="1" applyFont="1" applyFill="1" applyBorder="1" applyAlignment="1">
      <alignment horizontal="center" vertical="center"/>
    </xf>
    <xf numFmtId="44" fontId="77" fillId="0" borderId="1" xfId="1" applyFont="1" applyBorder="1" applyAlignment="1">
      <alignment vertical="center"/>
    </xf>
    <xf numFmtId="44" fontId="77" fillId="4" borderId="1" xfId="1" applyFont="1" applyFill="1" applyBorder="1" applyAlignment="1">
      <alignment vertical="center"/>
    </xf>
    <xf numFmtId="44" fontId="77" fillId="2" borderId="8" xfId="1" applyFont="1" applyFill="1" applyBorder="1" applyAlignment="1">
      <alignment horizontal="center" vertical="center"/>
    </xf>
    <xf numFmtId="44" fontId="77" fillId="0" borderId="0" xfId="1" applyFont="1" applyAlignment="1">
      <alignment vertical="center"/>
    </xf>
    <xf numFmtId="0" fontId="81" fillId="0" borderId="17" xfId="0" applyFont="1" applyBorder="1" applyAlignment="1">
      <alignment horizontal="center" vertical="center"/>
    </xf>
    <xf numFmtId="10" fontId="77" fillId="4" borderId="14" xfId="3" applyNumberFormat="1" applyFont="1" applyFill="1" applyBorder="1" applyAlignment="1">
      <alignment horizontal="center" vertical="center"/>
    </xf>
    <xf numFmtId="10" fontId="77" fillId="0" borderId="15" xfId="3" applyNumberFormat="1" applyFont="1" applyFill="1" applyBorder="1" applyAlignment="1">
      <alignment horizontal="center" vertical="center"/>
    </xf>
    <xf numFmtId="10" fontId="77" fillId="4" borderId="16" xfId="3" applyNumberFormat="1" applyFont="1" applyFill="1" applyBorder="1" applyAlignment="1">
      <alignment horizontal="center" vertical="center"/>
    </xf>
    <xf numFmtId="44" fontId="77" fillId="0" borderId="0" xfId="1" applyFont="1" applyAlignment="1">
      <alignment horizontal="center" vertical="center"/>
    </xf>
    <xf numFmtId="10" fontId="77" fillId="4" borderId="17" xfId="3" applyNumberFormat="1" applyFont="1" applyFill="1" applyBorder="1" applyAlignment="1">
      <alignment horizontal="center" vertical="center"/>
    </xf>
    <xf numFmtId="0" fontId="68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6" fillId="0" borderId="0" xfId="0" applyFont="1" applyAlignment="1">
      <alignment horizontal="center" vertical="center"/>
    </xf>
    <xf numFmtId="44" fontId="71" fillId="4" borderId="0" xfId="1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4" borderId="7" xfId="0" applyFont="1" applyFill="1" applyBorder="1" applyAlignment="1">
      <alignment horizontal="center" vertical="center"/>
    </xf>
    <xf numFmtId="0" fontId="77" fillId="4" borderId="7" xfId="0" applyFont="1" applyFill="1" applyBorder="1" applyAlignment="1">
      <alignment horizontal="center" vertical="center"/>
    </xf>
    <xf numFmtId="0" fontId="66" fillId="4" borderId="1" xfId="0" applyFont="1" applyFill="1" applyBorder="1" applyAlignment="1">
      <alignment horizontal="center" vertical="center"/>
    </xf>
    <xf numFmtId="0" fontId="77" fillId="4" borderId="3" xfId="0" applyFont="1" applyFill="1" applyBorder="1" applyAlignment="1">
      <alignment horizontal="center" vertical="center" wrapText="1"/>
    </xf>
    <xf numFmtId="0" fontId="71" fillId="4" borderId="0" xfId="0" applyFont="1" applyFill="1" applyBorder="1" applyAlignment="1">
      <alignment horizontal="center" vertical="center"/>
    </xf>
    <xf numFmtId="0" fontId="67" fillId="4" borderId="3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5" fillId="0" borderId="1" xfId="0" applyFont="1" applyFill="1" applyBorder="1" applyAlignment="1">
      <alignment horizontal="center" vertical="center" wrapText="1"/>
    </xf>
    <xf numFmtId="0" fontId="77" fillId="0" borderId="1" xfId="0" applyFont="1" applyFill="1" applyBorder="1" applyAlignment="1">
      <alignment horizontal="center" vertical="center" wrapText="1"/>
    </xf>
    <xf numFmtId="0" fontId="65" fillId="0" borderId="1" xfId="0" applyFont="1" applyFill="1" applyBorder="1" applyAlignment="1">
      <alignment horizontal="center" vertical="center"/>
    </xf>
    <xf numFmtId="0" fontId="65" fillId="0" borderId="3" xfId="0" applyFont="1" applyFill="1" applyBorder="1" applyAlignment="1">
      <alignment horizontal="center" vertical="center" wrapText="1"/>
    </xf>
    <xf numFmtId="44" fontId="77" fillId="0" borderId="1" xfId="1" applyFont="1" applyFill="1" applyBorder="1" applyAlignment="1">
      <alignment horizontal="center" vertical="center"/>
    </xf>
    <xf numFmtId="0" fontId="66" fillId="4" borderId="3" xfId="0" applyFont="1" applyFill="1" applyBorder="1" applyAlignment="1">
      <alignment horizontal="center" vertical="center"/>
    </xf>
    <xf numFmtId="44" fontId="71" fillId="2" borderId="0" xfId="1" applyFont="1" applyFill="1" applyBorder="1" applyAlignment="1">
      <alignment horizontal="center" vertical="center"/>
    </xf>
    <xf numFmtId="17" fontId="71" fillId="4" borderId="1" xfId="0" applyNumberFormat="1" applyFont="1" applyFill="1" applyBorder="1" applyAlignment="1">
      <alignment horizontal="center" vertical="center"/>
    </xf>
    <xf numFmtId="0" fontId="71" fillId="0" borderId="1" xfId="0" applyFont="1" applyBorder="1" applyAlignment="1">
      <alignment vertical="center"/>
    </xf>
    <xf numFmtId="17" fontId="71" fillId="4" borderId="7" xfId="0" applyNumberFormat="1" applyFont="1" applyFill="1" applyBorder="1" applyAlignment="1">
      <alignment horizontal="center" vertical="center"/>
    </xf>
    <xf numFmtId="0" fontId="65" fillId="0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/>
    </xf>
    <xf numFmtId="0" fontId="77" fillId="4" borderId="24" xfId="0" applyFont="1" applyFill="1" applyBorder="1" applyAlignment="1">
      <alignment horizontal="center" vertical="center"/>
    </xf>
    <xf numFmtId="0" fontId="68" fillId="4" borderId="24" xfId="0" applyFont="1" applyFill="1" applyBorder="1" applyAlignment="1">
      <alignment horizontal="center" vertical="center"/>
    </xf>
    <xf numFmtId="44" fontId="77" fillId="4" borderId="8" xfId="1" applyFont="1" applyFill="1" applyBorder="1" applyAlignment="1">
      <alignment horizontal="center" vertical="center"/>
    </xf>
    <xf numFmtId="17" fontId="71" fillId="4" borderId="8" xfId="0" applyNumberFormat="1" applyFont="1" applyFill="1" applyBorder="1" applyAlignment="1">
      <alignment horizontal="center" vertical="center"/>
    </xf>
    <xf numFmtId="0" fontId="77" fillId="4" borderId="8" xfId="0" applyFont="1" applyFill="1" applyBorder="1" applyAlignment="1">
      <alignment horizontal="center" vertical="center" wrapText="1"/>
    </xf>
    <xf numFmtId="0" fontId="71" fillId="0" borderId="1" xfId="0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vertical="center"/>
    </xf>
    <xf numFmtId="0" fontId="69" fillId="0" borderId="1" xfId="0" applyFont="1" applyFill="1" applyBorder="1" applyAlignment="1">
      <alignment horizontal="center" vertical="center"/>
    </xf>
    <xf numFmtId="44" fontId="79" fillId="0" borderId="1" xfId="1" applyFont="1" applyFill="1" applyBorder="1" applyAlignment="1">
      <alignment vertical="center"/>
    </xf>
    <xf numFmtId="0" fontId="70" fillId="0" borderId="1" xfId="0" applyFont="1" applyFill="1" applyBorder="1" applyAlignment="1">
      <alignment horizontal="center" vertical="center"/>
    </xf>
    <xf numFmtId="17" fontId="71" fillId="0" borderId="1" xfId="0" applyNumberFormat="1" applyFont="1" applyFill="1" applyBorder="1" applyAlignment="1">
      <alignment horizontal="center" vertical="center"/>
    </xf>
    <xf numFmtId="0" fontId="68" fillId="0" borderId="1" xfId="0" applyFont="1" applyFill="1" applyBorder="1" applyAlignment="1">
      <alignment horizontal="center" vertical="center"/>
    </xf>
    <xf numFmtId="0" fontId="77" fillId="0" borderId="1" xfId="0" applyFont="1" applyFill="1" applyBorder="1" applyAlignment="1">
      <alignment horizontal="center" vertical="center"/>
    </xf>
    <xf numFmtId="44" fontId="79" fillId="0" borderId="1" xfId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3" fillId="4" borderId="1" xfId="0" applyFont="1" applyFill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61" fillId="6" borderId="1" xfId="0" applyFont="1" applyFill="1" applyBorder="1" applyAlignment="1">
      <alignment horizontal="center" vertical="center" wrapText="1"/>
    </xf>
    <xf numFmtId="0" fontId="61" fillId="4" borderId="3" xfId="0" applyFont="1" applyFill="1" applyBorder="1" applyAlignment="1">
      <alignment horizontal="center" vertical="center" wrapText="1"/>
    </xf>
    <xf numFmtId="0" fontId="61" fillId="4" borderId="3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69" fillId="0" borderId="5" xfId="0" applyFont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76" fillId="0" borderId="0" xfId="0" applyFont="1" applyAlignment="1">
      <alignment vertical="center" wrapText="1"/>
    </xf>
    <xf numFmtId="0" fontId="71" fillId="0" borderId="0" xfId="0" applyFont="1" applyAlignment="1">
      <alignment vertical="center" wrapText="1"/>
    </xf>
    <xf numFmtId="44" fontId="71" fillId="0" borderId="1" xfId="1" applyFont="1" applyBorder="1" applyAlignment="1">
      <alignment vertical="center"/>
    </xf>
    <xf numFmtId="44" fontId="76" fillId="0" borderId="0" xfId="1" applyFont="1" applyAlignment="1">
      <alignment horizontal="center" vertical="center"/>
    </xf>
    <xf numFmtId="44" fontId="71" fillId="0" borderId="0" xfId="1" applyFont="1" applyAlignment="1">
      <alignment horizontal="center" vertical="center"/>
    </xf>
    <xf numFmtId="0" fontId="57" fillId="4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4" fillId="4" borderId="1" xfId="0" applyFont="1" applyFill="1" applyBorder="1" applyAlignment="1">
      <alignment horizontal="center" vertical="center"/>
    </xf>
    <xf numFmtId="44" fontId="76" fillId="0" borderId="0" xfId="0" applyNumberFormat="1" applyFont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44" fontId="71" fillId="0" borderId="1" xfId="1" applyFont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 wrapText="1"/>
    </xf>
    <xf numFmtId="14" fontId="71" fillId="0" borderId="1" xfId="0" applyNumberFormat="1" applyFont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74" fillId="4" borderId="7" xfId="0" applyFont="1" applyFill="1" applyBorder="1" applyAlignment="1">
      <alignment horizontal="center" vertical="center"/>
    </xf>
    <xf numFmtId="0" fontId="74" fillId="4" borderId="7" xfId="0" applyFont="1" applyFill="1" applyBorder="1" applyAlignment="1">
      <alignment horizontal="center" vertical="center" wrapText="1"/>
    </xf>
    <xf numFmtId="44" fontId="81" fillId="4" borderId="7" xfId="1" applyFont="1" applyFill="1" applyBorder="1" applyAlignment="1">
      <alignment horizontal="center" vertical="center"/>
    </xf>
    <xf numFmtId="0" fontId="74" fillId="4" borderId="24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9" fillId="4" borderId="3" xfId="0" applyFont="1" applyFill="1" applyBorder="1" applyAlignment="1">
      <alignment horizontal="center" vertical="center"/>
    </xf>
    <xf numFmtId="0" fontId="39" fillId="0" borderId="2" xfId="2" applyFont="1" applyBorder="1" applyAlignment="1">
      <alignment horizontal="center" vertical="center"/>
    </xf>
    <xf numFmtId="0" fontId="39" fillId="4" borderId="1" xfId="2" applyFont="1" applyFill="1" applyBorder="1" applyAlignment="1">
      <alignment horizontal="center" vertical="center" wrapText="1"/>
    </xf>
    <xf numFmtId="44" fontId="39" fillId="0" borderId="1" xfId="4" applyFont="1" applyBorder="1" applyAlignment="1">
      <alignment vertical="center"/>
    </xf>
    <xf numFmtId="0" fontId="39" fillId="0" borderId="1" xfId="2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44" fontId="39" fillId="0" borderId="1" xfId="4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44" fontId="37" fillId="0" borderId="1" xfId="5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center" vertical="center" wrapText="1"/>
    </xf>
    <xf numFmtId="0" fontId="39" fillId="0" borderId="1" xfId="2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4" fontId="71" fillId="0" borderId="0" xfId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44" fontId="77" fillId="7" borderId="1" xfId="1" applyFont="1" applyFill="1" applyBorder="1" applyAlignment="1">
      <alignment horizontal="center" vertical="center"/>
    </xf>
    <xf numFmtId="17" fontId="14" fillId="7" borderId="1" xfId="0" applyNumberFormat="1" applyFont="1" applyFill="1" applyBorder="1" applyAlignment="1">
      <alignment horizontal="center" vertical="center" wrapText="1"/>
    </xf>
    <xf numFmtId="0" fontId="77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81" fillId="8" borderId="1" xfId="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4" fillId="4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69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74" fillId="0" borderId="4" xfId="0" applyFont="1" applyBorder="1" applyAlignment="1">
      <alignment horizontal="center" vertical="center" wrapText="1"/>
    </xf>
    <xf numFmtId="44" fontId="77" fillId="5" borderId="10" xfId="1" applyFont="1" applyFill="1" applyBorder="1" applyAlignment="1">
      <alignment horizontal="center" vertical="center" wrapText="1"/>
    </xf>
    <xf numFmtId="44" fontId="71" fillId="0" borderId="3" xfId="0" applyNumberFormat="1" applyFont="1" applyBorder="1" applyAlignment="1">
      <alignment horizontal="center" vertical="center" wrapText="1"/>
    </xf>
    <xf numFmtId="44" fontId="71" fillId="2" borderId="1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7" fillId="0" borderId="1" xfId="0" applyFont="1" applyFill="1" applyBorder="1" applyAlignment="1">
      <alignment horizontal="center" vertical="center" wrapText="1"/>
    </xf>
    <xf numFmtId="44" fontId="1" fillId="0" borderId="1" xfId="7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8" fontId="71" fillId="3" borderId="6" xfId="0" applyNumberFormat="1" applyFont="1" applyFill="1" applyBorder="1" applyAlignment="1">
      <alignment horizontal="right" vertical="center" wrapText="1"/>
    </xf>
    <xf numFmtId="4" fontId="82" fillId="0" borderId="0" xfId="0" applyNumberFormat="1" applyFont="1"/>
    <xf numFmtId="0" fontId="1" fillId="4" borderId="1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44" fontId="77" fillId="0" borderId="7" xfId="1" applyFont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 wrapText="1"/>
    </xf>
    <xf numFmtId="17" fontId="77" fillId="0" borderId="1" xfId="0" applyNumberFormat="1" applyFont="1" applyBorder="1" applyAlignment="1">
      <alignment horizontal="center" vertical="center"/>
    </xf>
    <xf numFmtId="17" fontId="77" fillId="0" borderId="1" xfId="0" applyNumberFormat="1" applyFont="1" applyFill="1" applyBorder="1" applyAlignment="1">
      <alignment horizontal="center" vertical="center" wrapText="1"/>
    </xf>
    <xf numFmtId="17" fontId="71" fillId="10" borderId="1" xfId="0" applyNumberFormat="1" applyFont="1" applyFill="1" applyBorder="1" applyAlignment="1">
      <alignment horizontal="center" vertical="center"/>
    </xf>
    <xf numFmtId="0" fontId="77" fillId="8" borderId="1" xfId="0" applyFont="1" applyFill="1" applyBorder="1" applyAlignment="1">
      <alignment horizontal="center" vertical="center" wrapText="1"/>
    </xf>
    <xf numFmtId="0" fontId="71" fillId="0" borderId="18" xfId="0" applyFont="1" applyBorder="1" applyAlignment="1">
      <alignment horizontal="right" vertical="center"/>
    </xf>
    <xf numFmtId="0" fontId="71" fillId="0" borderId="19" xfId="0" applyFont="1" applyBorder="1" applyAlignment="1">
      <alignment horizontal="right" vertical="center"/>
    </xf>
    <xf numFmtId="0" fontId="71" fillId="0" borderId="20" xfId="0" applyFont="1" applyBorder="1" applyAlignment="1">
      <alignment horizontal="right" vertical="center"/>
    </xf>
    <xf numFmtId="0" fontId="71" fillId="0" borderId="5" xfId="0" applyFont="1" applyBorder="1" applyAlignment="1">
      <alignment horizontal="right" vertical="center"/>
    </xf>
    <xf numFmtId="0" fontId="71" fillId="2" borderId="11" xfId="0" applyFont="1" applyFill="1" applyBorder="1" applyAlignment="1">
      <alignment horizontal="right" vertical="center"/>
    </xf>
    <xf numFmtId="0" fontId="71" fillId="2" borderId="12" xfId="0" applyFont="1" applyFill="1" applyBorder="1" applyAlignment="1">
      <alignment horizontal="right" vertical="center"/>
    </xf>
    <xf numFmtId="0" fontId="71" fillId="5" borderId="9" xfId="0" applyFont="1" applyFill="1" applyBorder="1" applyAlignment="1">
      <alignment horizontal="right" vertical="center"/>
    </xf>
    <xf numFmtId="0" fontId="71" fillId="5" borderId="13" xfId="0" applyFont="1" applyFill="1" applyBorder="1" applyAlignment="1">
      <alignment horizontal="right" vertical="center"/>
    </xf>
    <xf numFmtId="0" fontId="71" fillId="3" borderId="4" xfId="0" applyFont="1" applyFill="1" applyBorder="1" applyAlignment="1">
      <alignment horizontal="right" vertical="center"/>
    </xf>
    <xf numFmtId="0" fontId="71" fillId="3" borderId="6" xfId="0" applyFont="1" applyFill="1" applyBorder="1" applyAlignment="1">
      <alignment horizontal="right" vertical="center"/>
    </xf>
    <xf numFmtId="0" fontId="77" fillId="0" borderId="7" xfId="0" applyFont="1" applyBorder="1" applyAlignment="1">
      <alignment horizontal="center" vertical="center" wrapText="1"/>
    </xf>
    <xf numFmtId="0" fontId="77" fillId="0" borderId="8" xfId="0" applyFont="1" applyBorder="1" applyAlignment="1">
      <alignment horizontal="center" vertical="center" wrapText="1"/>
    </xf>
    <xf numFmtId="0" fontId="71" fillId="2" borderId="21" xfId="0" applyFont="1" applyFill="1" applyBorder="1" applyAlignment="1">
      <alignment horizontal="center" vertical="center"/>
    </xf>
    <xf numFmtId="0" fontId="71" fillId="2" borderId="22" xfId="0" applyFont="1" applyFill="1" applyBorder="1" applyAlignment="1">
      <alignment horizontal="center" vertical="center"/>
    </xf>
    <xf numFmtId="0" fontId="71" fillId="2" borderId="23" xfId="0" applyFont="1" applyFill="1" applyBorder="1" applyAlignment="1">
      <alignment horizontal="center" vertical="center"/>
    </xf>
    <xf numFmtId="0" fontId="75" fillId="2" borderId="1" xfId="0" applyFont="1" applyFill="1" applyBorder="1" applyAlignment="1">
      <alignment horizontal="center" vertical="center"/>
    </xf>
    <xf numFmtId="0" fontId="74" fillId="2" borderId="21" xfId="0" applyFont="1" applyFill="1" applyBorder="1" applyAlignment="1">
      <alignment horizontal="center" vertical="center"/>
    </xf>
    <xf numFmtId="0" fontId="74" fillId="2" borderId="22" xfId="0" applyFont="1" applyFill="1" applyBorder="1" applyAlignment="1">
      <alignment horizontal="center" vertical="center"/>
    </xf>
    <xf numFmtId="0" fontId="74" fillId="2" borderId="23" xfId="0" applyFont="1" applyFill="1" applyBorder="1" applyAlignment="1">
      <alignment horizontal="center" vertical="center"/>
    </xf>
    <xf numFmtId="0" fontId="71" fillId="0" borderId="7" xfId="0" applyFont="1" applyBorder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17" fontId="71" fillId="0" borderId="7" xfId="0" applyNumberFormat="1" applyFont="1" applyBorder="1" applyAlignment="1">
      <alignment horizontal="center" vertical="center" wrapText="1"/>
    </xf>
    <xf numFmtId="17" fontId="71" fillId="0" borderId="8" xfId="0" applyNumberFormat="1" applyFont="1" applyBorder="1" applyAlignment="1">
      <alignment horizontal="center" vertical="center" wrapText="1"/>
    </xf>
    <xf numFmtId="0" fontId="45" fillId="0" borderId="20" xfId="0" applyFont="1" applyBorder="1" applyAlignment="1">
      <alignment horizontal="right" vertical="center"/>
    </xf>
    <xf numFmtId="0" fontId="74" fillId="2" borderId="21" xfId="0" applyFont="1" applyFill="1" applyBorder="1" applyAlignment="1">
      <alignment horizontal="right" vertical="center"/>
    </xf>
    <xf numFmtId="0" fontId="74" fillId="2" borderId="22" xfId="0" applyFont="1" applyFill="1" applyBorder="1" applyAlignment="1">
      <alignment horizontal="right" vertical="center"/>
    </xf>
    <xf numFmtId="0" fontId="74" fillId="2" borderId="23" xfId="0" applyFont="1" applyFill="1" applyBorder="1" applyAlignment="1">
      <alignment horizontal="right" vertical="center"/>
    </xf>
    <xf numFmtId="0" fontId="45" fillId="0" borderId="18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9" fillId="0" borderId="18" xfId="0" applyFont="1" applyBorder="1" applyAlignment="1">
      <alignment horizontal="right" vertical="center"/>
    </xf>
  </cellXfs>
  <cellStyles count="11">
    <cellStyle name="Moeda" xfId="1" builtinId="4"/>
    <cellStyle name="Moeda 2" xfId="4" xr:uid="{8E020E81-DA02-49E3-A69B-9107EAD46A25}"/>
    <cellStyle name="Moeda 2 2" xfId="6" xr:uid="{80A01ACE-D9BA-448C-8FBD-A5BA66174F80}"/>
    <cellStyle name="Moeda 2 2 2" xfId="10" xr:uid="{B350EF02-A58D-46CD-8E81-1AECAD401C43}"/>
    <cellStyle name="Moeda 2 3" xfId="8" xr:uid="{9D6BA908-01AB-40BA-AFE8-8491A0F3D106}"/>
    <cellStyle name="Moeda 3" xfId="5" xr:uid="{A1834931-D084-42D5-B0A1-D115A6FAD089}"/>
    <cellStyle name="Moeda 3 2" xfId="9" xr:uid="{B96D7441-FCB6-4F46-A94A-95F1803183E8}"/>
    <cellStyle name="Moeda 4" xfId="7" xr:uid="{907804B5-3A7C-4E73-995D-A8C5EADD6629}"/>
    <cellStyle name="Normal" xfId="0" builtinId="0"/>
    <cellStyle name="Normal 2" xfId="2" xr:uid="{1A861FC4-589A-42DD-908F-5E0BDB941F68}"/>
    <cellStyle name="Porcentagem" xfId="3" builtinId="5"/>
  </cellStyles>
  <dxfs count="0"/>
  <tableStyles count="0" defaultTableStyle="TableStyleMedium2" defaultPivotStyle="PivotStyleLight16"/>
  <colors>
    <mruColors>
      <color rgb="FFFF5757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563880</xdr:colOff>
      <xdr:row>0</xdr:row>
      <xdr:rowOff>198120</xdr:rowOff>
    </xdr:from>
    <xdr:to>
      <xdr:col>8</xdr:col>
      <xdr:colOff>3254375</xdr:colOff>
      <xdr:row>0</xdr:row>
      <xdr:rowOff>817880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1F8D94-BF33-4AA1-959D-2A74F49E0C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5640" y="198120"/>
          <a:ext cx="2690495" cy="63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EA6FD22-D8E1-4F63-9835-56A2DBF48EF2}"/>
            </a:ext>
          </a:extLst>
        </xdr:cNvPr>
        <xdr:cNvSpPr>
          <a:spLocks noChangeAspect="1" noChangeArrowheads="1"/>
        </xdr:cNvSpPr>
      </xdr:nvSpPr>
      <xdr:spPr bwMode="auto">
        <a:xfrm>
          <a:off x="82600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144780</xdr:colOff>
      <xdr:row>0</xdr:row>
      <xdr:rowOff>124097</xdr:rowOff>
    </xdr:from>
    <xdr:to>
      <xdr:col>2</xdr:col>
      <xdr:colOff>1369423</xdr:colOff>
      <xdr:row>0</xdr:row>
      <xdr:rowOff>898852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720FF03-26C6-450F-9F00-71662C045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124097"/>
          <a:ext cx="1953986" cy="774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563880</xdr:colOff>
      <xdr:row>0</xdr:row>
      <xdr:rowOff>198120</xdr:rowOff>
    </xdr:from>
    <xdr:to>
      <xdr:col>8</xdr:col>
      <xdr:colOff>3258185</xdr:colOff>
      <xdr:row>0</xdr:row>
      <xdr:rowOff>821690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10AF94-BCCF-4E9B-A15D-5CEFDF1B7B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0640" y="198120"/>
          <a:ext cx="2690495" cy="6197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253A9C9-258D-47BA-857F-3C3C2AA30507}"/>
            </a:ext>
          </a:extLst>
        </xdr:cNvPr>
        <xdr:cNvSpPr>
          <a:spLocks noChangeAspect="1" noChangeArrowheads="1"/>
        </xdr:cNvSpPr>
      </xdr:nvSpPr>
      <xdr:spPr bwMode="auto">
        <a:xfrm>
          <a:off x="9334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144780</xdr:colOff>
      <xdr:row>0</xdr:row>
      <xdr:rowOff>124097</xdr:rowOff>
    </xdr:from>
    <xdr:to>
      <xdr:col>2</xdr:col>
      <xdr:colOff>1369423</xdr:colOff>
      <xdr:row>0</xdr:row>
      <xdr:rowOff>898852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7A33D9D-EA8D-4478-B8C3-52F3006BC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124097"/>
          <a:ext cx="1948543" cy="774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843643</xdr:colOff>
      <xdr:row>29</xdr:row>
      <xdr:rowOff>17962</xdr:rowOff>
    </xdr:from>
    <xdr:to>
      <xdr:col>8</xdr:col>
      <xdr:colOff>3594191</xdr:colOff>
      <xdr:row>41</xdr:row>
      <xdr:rowOff>63409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448A674-0946-4A78-B77D-55CB564A7DAA}"/>
            </a:ext>
          </a:extLst>
        </xdr:cNvPr>
        <xdr:cNvSpPr txBox="1"/>
      </xdr:nvSpPr>
      <xdr:spPr>
        <a:xfrm>
          <a:off x="10504714" y="18156283"/>
          <a:ext cx="5594441" cy="234505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000"/>
            <a:t>O TC</a:t>
          </a:r>
          <a:r>
            <a:rPr lang="pt-BR" sz="4000" baseline="0"/>
            <a:t> será medido 100% no ano 3: R$ 118.241,77 </a:t>
          </a:r>
          <a:endParaRPr lang="pt-BR" sz="4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563880</xdr:colOff>
      <xdr:row>0</xdr:row>
      <xdr:rowOff>198120</xdr:rowOff>
    </xdr:from>
    <xdr:to>
      <xdr:col>8</xdr:col>
      <xdr:colOff>3254375</xdr:colOff>
      <xdr:row>0</xdr:row>
      <xdr:rowOff>817880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762BB8-069C-4437-BF24-CC93E9AE2D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53060" y="198120"/>
          <a:ext cx="2690495" cy="6197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187CE6C-7DAC-4149-A5CE-49FA0DF3D894}"/>
            </a:ext>
          </a:extLst>
        </xdr:cNvPr>
        <xdr:cNvSpPr>
          <a:spLocks noChangeAspect="1" noChangeArrowheads="1"/>
        </xdr:cNvSpPr>
      </xdr:nvSpPr>
      <xdr:spPr bwMode="auto">
        <a:xfrm>
          <a:off x="964692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144780</xdr:colOff>
      <xdr:row>0</xdr:row>
      <xdr:rowOff>124097</xdr:rowOff>
    </xdr:from>
    <xdr:to>
      <xdr:col>2</xdr:col>
      <xdr:colOff>1369423</xdr:colOff>
      <xdr:row>0</xdr:row>
      <xdr:rowOff>898852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7DA15E7-6EA6-4E3A-80BA-98A9CA057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124097"/>
          <a:ext cx="2260963" cy="774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563880</xdr:colOff>
      <xdr:row>0</xdr:row>
      <xdr:rowOff>198120</xdr:rowOff>
    </xdr:from>
    <xdr:to>
      <xdr:col>8</xdr:col>
      <xdr:colOff>3258185</xdr:colOff>
      <xdr:row>0</xdr:row>
      <xdr:rowOff>821690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07CE93-E183-4F6E-A6A1-66B38E1C30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9725" y="200025"/>
          <a:ext cx="2692400" cy="61785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74209C7-138E-48A5-A02A-3A40F9D2C2B4}"/>
            </a:ext>
          </a:extLst>
        </xdr:cNvPr>
        <xdr:cNvSpPr>
          <a:spLocks noChangeAspect="1" noChangeArrowheads="1"/>
        </xdr:cNvSpPr>
      </xdr:nvSpPr>
      <xdr:spPr bwMode="auto">
        <a:xfrm>
          <a:off x="96393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144780</xdr:colOff>
      <xdr:row>0</xdr:row>
      <xdr:rowOff>124097</xdr:rowOff>
    </xdr:from>
    <xdr:to>
      <xdr:col>2</xdr:col>
      <xdr:colOff>1369423</xdr:colOff>
      <xdr:row>0</xdr:row>
      <xdr:rowOff>898852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3A0F87A-52E8-4B3A-A8E2-E608B4E0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26002"/>
          <a:ext cx="2264773" cy="769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8435-FC6E-4F35-AE10-F084A5C4548A}">
  <sheetPr>
    <pageSetUpPr fitToPage="1"/>
  </sheetPr>
  <dimension ref="B1:T63"/>
  <sheetViews>
    <sheetView view="pageBreakPreview" topLeftCell="A15" zoomScale="70" zoomScaleNormal="70" zoomScaleSheetLayoutView="70" workbookViewId="0">
      <selection activeCell="E36" sqref="E36"/>
    </sheetView>
  </sheetViews>
  <sheetFormatPr defaultColWidth="8.88671875" defaultRowHeight="13.8" x14ac:dyDescent="0.3"/>
  <cols>
    <col min="1" max="1" width="8.88671875" style="8"/>
    <col min="2" max="2" width="10.44140625" style="8" bestFit="1" customWidth="1"/>
    <col min="3" max="3" width="31.5546875" style="8" bestFit="1" customWidth="1"/>
    <col min="4" max="4" width="16.77734375" style="8" bestFit="1" customWidth="1"/>
    <col min="5" max="5" width="50.88671875" style="8" customWidth="1"/>
    <col min="6" max="6" width="17.33203125" style="42" bestFit="1" customWidth="1"/>
    <col min="7" max="7" width="29.33203125" style="57" customWidth="1"/>
    <col min="8" max="8" width="12.109375" style="57" customWidth="1"/>
    <col min="9" max="9" width="53" style="57" bestFit="1" customWidth="1"/>
    <col min="10" max="10" width="8.88671875" style="8"/>
    <col min="11" max="13" width="21.109375" style="8" customWidth="1"/>
    <col min="14" max="14" width="40.21875" style="8" bestFit="1" customWidth="1"/>
    <col min="15" max="17" width="26.33203125" style="14" customWidth="1"/>
    <col min="18" max="18" width="31.21875" style="8" bestFit="1" customWidth="1"/>
    <col min="19" max="19" width="9.5546875" style="8" customWidth="1"/>
    <col min="20" max="20" width="16" style="8" bestFit="1" customWidth="1"/>
    <col min="21" max="16384" width="8.88671875" style="8"/>
  </cols>
  <sheetData>
    <row r="1" spans="2:20" ht="73.95" customHeight="1" x14ac:dyDescent="0.3">
      <c r="G1" s="56"/>
    </row>
    <row r="3" spans="2:20" ht="22.8" x14ac:dyDescent="0.3">
      <c r="B3" s="286" t="s">
        <v>5</v>
      </c>
      <c r="C3" s="286"/>
      <c r="D3" s="286"/>
      <c r="E3" s="286"/>
      <c r="F3" s="286"/>
      <c r="G3" s="286"/>
      <c r="H3" s="286"/>
      <c r="I3" s="286"/>
      <c r="K3" s="286" t="s">
        <v>134</v>
      </c>
      <c r="L3" s="286"/>
      <c r="M3" s="286"/>
      <c r="N3" s="286"/>
      <c r="O3" s="286"/>
      <c r="P3" s="286"/>
      <c r="Q3" s="286"/>
      <c r="R3" s="286"/>
    </row>
    <row r="4" spans="2:20" s="7" customFormat="1" ht="15.6" x14ac:dyDescent="0.3">
      <c r="B4" s="5" t="s">
        <v>13</v>
      </c>
      <c r="C4" s="5" t="s">
        <v>0</v>
      </c>
      <c r="D4" s="5" t="s">
        <v>33</v>
      </c>
      <c r="E4" s="5" t="s">
        <v>3</v>
      </c>
      <c r="F4" s="43" t="s">
        <v>4</v>
      </c>
      <c r="G4" s="9" t="s">
        <v>1</v>
      </c>
      <c r="H4" s="5" t="s">
        <v>31</v>
      </c>
      <c r="I4" s="5" t="s">
        <v>32</v>
      </c>
      <c r="K4" s="5" t="s">
        <v>13</v>
      </c>
      <c r="L4" s="5" t="s">
        <v>0</v>
      </c>
      <c r="M4" s="5" t="s">
        <v>33</v>
      </c>
      <c r="N4" s="5" t="s">
        <v>3</v>
      </c>
      <c r="O4" s="43" t="s">
        <v>4</v>
      </c>
      <c r="P4" s="9" t="s">
        <v>1</v>
      </c>
      <c r="R4" s="5" t="s">
        <v>32</v>
      </c>
    </row>
    <row r="5" spans="2:20" s="7" customFormat="1" ht="33" customHeight="1" x14ac:dyDescent="0.3">
      <c r="B5" s="6" t="s">
        <v>36</v>
      </c>
      <c r="C5" s="1" t="s">
        <v>14</v>
      </c>
      <c r="D5" s="1" t="s">
        <v>35</v>
      </c>
      <c r="E5" s="32" t="s">
        <v>125</v>
      </c>
      <c r="F5" s="44">
        <v>1126.8</v>
      </c>
      <c r="G5" s="19" t="s">
        <v>30</v>
      </c>
      <c r="H5" s="24">
        <v>45261</v>
      </c>
      <c r="I5" s="19" t="s">
        <v>78</v>
      </c>
      <c r="K5" s="1"/>
      <c r="L5" s="64"/>
      <c r="M5" s="64"/>
      <c r="N5" s="66"/>
      <c r="O5" s="2"/>
      <c r="P5" s="2"/>
      <c r="Q5" s="2"/>
      <c r="R5" s="28"/>
      <c r="T5" s="10"/>
    </row>
    <row r="6" spans="2:20" s="7" customFormat="1" ht="33" customHeight="1" x14ac:dyDescent="0.3">
      <c r="B6" s="6" t="s">
        <v>42</v>
      </c>
      <c r="C6" s="1" t="s">
        <v>15</v>
      </c>
      <c r="D6" s="1" t="s">
        <v>45</v>
      </c>
      <c r="E6" s="1" t="s">
        <v>2</v>
      </c>
      <c r="F6" s="44">
        <v>3899</v>
      </c>
      <c r="G6" s="19" t="s">
        <v>30</v>
      </c>
      <c r="H6" s="24">
        <v>44927</v>
      </c>
      <c r="I6" s="19" t="s">
        <v>83</v>
      </c>
      <c r="K6" s="1"/>
      <c r="L6" s="4"/>
      <c r="M6" s="4"/>
      <c r="N6" s="21"/>
      <c r="R6" s="28"/>
      <c r="T6" s="58"/>
    </row>
    <row r="7" spans="2:20" s="7" customFormat="1" ht="33" customHeight="1" x14ac:dyDescent="0.3">
      <c r="B7" s="6" t="s">
        <v>57</v>
      </c>
      <c r="C7" s="1" t="s">
        <v>16</v>
      </c>
      <c r="D7" s="1" t="s">
        <v>62</v>
      </c>
      <c r="E7" s="29" t="s">
        <v>124</v>
      </c>
      <c r="F7" s="44">
        <v>1085</v>
      </c>
      <c r="G7" s="19" t="s">
        <v>30</v>
      </c>
      <c r="H7" s="24">
        <v>44958</v>
      </c>
      <c r="I7" s="19" t="s">
        <v>86</v>
      </c>
      <c r="K7" s="62"/>
      <c r="L7" s="72"/>
      <c r="M7" s="65"/>
      <c r="N7" s="34"/>
      <c r="O7" s="35"/>
      <c r="P7" s="35"/>
      <c r="Q7" s="35"/>
      <c r="R7" s="28"/>
    </row>
    <row r="8" spans="2:20" s="7" customFormat="1" ht="33" customHeight="1" x14ac:dyDescent="0.3">
      <c r="B8" s="6" t="s">
        <v>56</v>
      </c>
      <c r="C8" s="1" t="s">
        <v>17</v>
      </c>
      <c r="D8" s="1" t="s">
        <v>63</v>
      </c>
      <c r="E8" s="29" t="s">
        <v>122</v>
      </c>
      <c r="F8" s="44">
        <v>8010</v>
      </c>
      <c r="G8" s="290" t="s">
        <v>30</v>
      </c>
      <c r="H8" s="292">
        <v>44958</v>
      </c>
      <c r="I8" s="281" t="s">
        <v>109</v>
      </c>
      <c r="K8" s="59"/>
      <c r="L8" s="65"/>
      <c r="M8" s="65"/>
      <c r="N8" s="31"/>
      <c r="O8" s="35"/>
      <c r="P8" s="35"/>
      <c r="Q8" s="35"/>
      <c r="R8" s="36"/>
    </row>
    <row r="9" spans="2:20" s="7" customFormat="1" ht="33" customHeight="1" x14ac:dyDescent="0.3">
      <c r="B9" s="6" t="s">
        <v>55</v>
      </c>
      <c r="C9" s="1" t="s">
        <v>18</v>
      </c>
      <c r="D9" s="1" t="s">
        <v>64</v>
      </c>
      <c r="E9" s="29" t="s">
        <v>123</v>
      </c>
      <c r="F9" s="44">
        <v>801</v>
      </c>
      <c r="G9" s="291"/>
      <c r="H9" s="293"/>
      <c r="I9" s="282"/>
      <c r="K9" s="84"/>
      <c r="L9" s="84"/>
      <c r="M9" s="85"/>
      <c r="N9" s="86"/>
      <c r="O9" s="87"/>
      <c r="P9" s="88"/>
      <c r="Q9" s="89"/>
      <c r="R9" s="68"/>
    </row>
    <row r="10" spans="2:20" s="7" customFormat="1" ht="33" customHeight="1" x14ac:dyDescent="0.3">
      <c r="B10" s="6" t="s">
        <v>47</v>
      </c>
      <c r="C10" s="1" t="s">
        <v>19</v>
      </c>
      <c r="D10" s="1" t="s">
        <v>46</v>
      </c>
      <c r="E10" s="1" t="s">
        <v>70</v>
      </c>
      <c r="F10" s="44">
        <v>2380.1</v>
      </c>
      <c r="G10" s="19" t="s">
        <v>30</v>
      </c>
      <c r="H10" s="24">
        <v>44927</v>
      </c>
      <c r="I10" s="19" t="s">
        <v>82</v>
      </c>
      <c r="K10" s="90"/>
      <c r="L10" s="91"/>
      <c r="M10" s="84"/>
      <c r="N10" s="90"/>
      <c r="O10" s="92"/>
      <c r="P10" s="88"/>
      <c r="Q10" s="89"/>
      <c r="R10" s="68"/>
    </row>
    <row r="11" spans="2:20" s="7" customFormat="1" ht="33" customHeight="1" x14ac:dyDescent="0.3">
      <c r="B11" s="6" t="s">
        <v>41</v>
      </c>
      <c r="C11" s="1" t="s">
        <v>20</v>
      </c>
      <c r="D11" s="1" t="s">
        <v>40</v>
      </c>
      <c r="E11" s="29" t="s">
        <v>121</v>
      </c>
      <c r="F11" s="44">
        <v>41963.8</v>
      </c>
      <c r="G11" s="19" t="s">
        <v>30</v>
      </c>
      <c r="H11" s="24">
        <v>44927</v>
      </c>
      <c r="I11" s="23" t="s">
        <v>81</v>
      </c>
      <c r="K11" s="1"/>
      <c r="L11" s="4"/>
      <c r="M11" s="4"/>
      <c r="N11" s="4"/>
      <c r="O11" s="2"/>
      <c r="P11" s="2"/>
      <c r="Q11" s="2"/>
      <c r="R11" s="1"/>
    </row>
    <row r="12" spans="2:20" s="7" customFormat="1" ht="33" customHeight="1" x14ac:dyDescent="0.3">
      <c r="B12" s="6" t="s">
        <v>29</v>
      </c>
      <c r="C12" s="1" t="s">
        <v>21</v>
      </c>
      <c r="D12" s="1" t="s">
        <v>34</v>
      </c>
      <c r="E12" s="29" t="s">
        <v>126</v>
      </c>
      <c r="F12" s="44">
        <v>2587.08</v>
      </c>
      <c r="G12" s="19" t="s">
        <v>30</v>
      </c>
      <c r="H12" s="24">
        <v>45261</v>
      </c>
      <c r="I12" s="19" t="s">
        <v>77</v>
      </c>
      <c r="K12" s="1"/>
      <c r="L12" s="4"/>
      <c r="M12" s="4"/>
      <c r="N12" s="4"/>
      <c r="O12" s="2"/>
      <c r="P12" s="2"/>
      <c r="Q12" s="2"/>
      <c r="R12" s="1"/>
    </row>
    <row r="13" spans="2:20" s="7" customFormat="1" ht="33" customHeight="1" x14ac:dyDescent="0.3">
      <c r="B13" s="6" t="s">
        <v>38</v>
      </c>
      <c r="C13" s="1" t="s">
        <v>22</v>
      </c>
      <c r="D13" s="1" t="s">
        <v>44</v>
      </c>
      <c r="E13" s="29" t="s">
        <v>120</v>
      </c>
      <c r="F13" s="44">
        <v>5105</v>
      </c>
      <c r="G13" s="19" t="s">
        <v>30</v>
      </c>
      <c r="H13" s="24">
        <v>44927</v>
      </c>
      <c r="I13" s="19" t="s">
        <v>80</v>
      </c>
      <c r="K13" s="1"/>
      <c r="L13" s="4"/>
      <c r="M13" s="4"/>
      <c r="N13" s="4"/>
      <c r="O13" s="2"/>
      <c r="P13" s="2"/>
      <c r="Q13" s="2"/>
      <c r="R13" s="1"/>
    </row>
    <row r="14" spans="2:20" s="7" customFormat="1" ht="33" customHeight="1" x14ac:dyDescent="0.3">
      <c r="B14" s="6" t="s">
        <v>54</v>
      </c>
      <c r="C14" s="1" t="s">
        <v>23</v>
      </c>
      <c r="D14" s="36" t="s">
        <v>141</v>
      </c>
      <c r="E14" s="1" t="s">
        <v>60</v>
      </c>
      <c r="F14" s="44">
        <v>23500</v>
      </c>
      <c r="G14" s="19" t="s">
        <v>30</v>
      </c>
      <c r="H14" s="24">
        <v>44986</v>
      </c>
      <c r="I14" s="27" t="s">
        <v>106</v>
      </c>
      <c r="K14" s="1"/>
      <c r="L14" s="4"/>
      <c r="M14" s="4"/>
      <c r="N14" s="4"/>
      <c r="O14" s="2"/>
      <c r="P14" s="2"/>
      <c r="Q14" s="2"/>
      <c r="R14" s="1"/>
    </row>
    <row r="15" spans="2:20" s="7" customFormat="1" ht="33" customHeight="1" x14ac:dyDescent="0.3">
      <c r="B15" s="6" t="s">
        <v>39</v>
      </c>
      <c r="C15" s="1" t="s">
        <v>24</v>
      </c>
      <c r="D15" s="1" t="s">
        <v>43</v>
      </c>
      <c r="E15" s="29" t="s">
        <v>119</v>
      </c>
      <c r="F15" s="44">
        <v>1014.73</v>
      </c>
      <c r="G15" s="19" t="s">
        <v>30</v>
      </c>
      <c r="H15" s="24">
        <v>44927</v>
      </c>
      <c r="I15" s="19" t="s">
        <v>79</v>
      </c>
      <c r="K15" s="1"/>
      <c r="L15" s="4"/>
      <c r="M15" s="4"/>
      <c r="N15" s="4"/>
      <c r="O15" s="2"/>
      <c r="P15" s="2"/>
      <c r="Q15" s="2"/>
      <c r="R15" s="1"/>
    </row>
    <row r="16" spans="2:20" s="7" customFormat="1" ht="33" customHeight="1" x14ac:dyDescent="0.3">
      <c r="B16" s="6" t="s">
        <v>53</v>
      </c>
      <c r="C16" s="1" t="s">
        <v>25</v>
      </c>
      <c r="D16" s="38" t="s">
        <v>167</v>
      </c>
      <c r="E16" s="1" t="s">
        <v>12</v>
      </c>
      <c r="F16" s="44">
        <v>73924</v>
      </c>
      <c r="G16" s="19" t="s">
        <v>30</v>
      </c>
      <c r="H16" s="20">
        <v>45108</v>
      </c>
      <c r="I16" s="128" t="s">
        <v>234</v>
      </c>
      <c r="K16" s="1"/>
      <c r="L16" s="4"/>
      <c r="M16" s="4"/>
      <c r="N16" s="4"/>
      <c r="O16" s="2"/>
      <c r="P16" s="2"/>
      <c r="Q16" s="2"/>
      <c r="R16" s="1"/>
    </row>
    <row r="17" spans="2:18" s="7" customFormat="1" ht="33" customHeight="1" x14ac:dyDescent="0.3">
      <c r="B17" s="6" t="s">
        <v>50</v>
      </c>
      <c r="C17" s="1" t="s">
        <v>26</v>
      </c>
      <c r="D17" s="1" t="s">
        <v>65</v>
      </c>
      <c r="E17" s="29" t="s">
        <v>118</v>
      </c>
      <c r="F17" s="44">
        <v>4141.6000000000004</v>
      </c>
      <c r="G17" s="19" t="s">
        <v>30</v>
      </c>
      <c r="H17" s="24">
        <v>44958</v>
      </c>
      <c r="I17" s="19" t="s">
        <v>85</v>
      </c>
      <c r="K17" s="1"/>
      <c r="L17" s="4"/>
      <c r="M17" s="4"/>
      <c r="N17" s="4"/>
      <c r="O17" s="2"/>
      <c r="P17" s="2"/>
      <c r="Q17" s="2"/>
      <c r="R17" s="1"/>
    </row>
    <row r="18" spans="2:18" s="7" customFormat="1" ht="33" customHeight="1" x14ac:dyDescent="0.3">
      <c r="B18" s="6" t="s">
        <v>49</v>
      </c>
      <c r="C18" s="1" t="s">
        <v>27</v>
      </c>
      <c r="D18" s="1" t="s">
        <v>48</v>
      </c>
      <c r="E18" s="32" t="s">
        <v>117</v>
      </c>
      <c r="F18" s="44">
        <v>7820.36</v>
      </c>
      <c r="G18" s="19" t="s">
        <v>30</v>
      </c>
      <c r="H18" s="24">
        <v>44927</v>
      </c>
      <c r="I18" s="19" t="s">
        <v>84</v>
      </c>
      <c r="K18" s="1"/>
      <c r="L18" s="4"/>
      <c r="M18" s="4"/>
      <c r="N18" s="4"/>
      <c r="O18" s="2"/>
      <c r="P18" s="2"/>
      <c r="Q18" s="2"/>
      <c r="R18" s="1"/>
    </row>
    <row r="19" spans="2:18" s="7" customFormat="1" ht="45" customHeight="1" x14ac:dyDescent="0.3">
      <c r="B19" s="6" t="s">
        <v>51</v>
      </c>
      <c r="C19" s="1" t="s">
        <v>28</v>
      </c>
      <c r="D19" s="4" t="s">
        <v>140</v>
      </c>
      <c r="E19" s="4" t="s">
        <v>61</v>
      </c>
      <c r="F19" s="44">
        <v>3810</v>
      </c>
      <c r="G19" s="19" t="s">
        <v>30</v>
      </c>
      <c r="H19" s="24">
        <v>44986</v>
      </c>
      <c r="I19" s="27" t="s">
        <v>105</v>
      </c>
      <c r="K19" s="1"/>
      <c r="L19" s="4"/>
      <c r="M19" s="4"/>
      <c r="N19" s="4"/>
      <c r="O19" s="2"/>
      <c r="P19" s="2"/>
      <c r="Q19" s="2"/>
      <c r="R19" s="1"/>
    </row>
    <row r="20" spans="2:18" s="7" customFormat="1" ht="33" customHeight="1" x14ac:dyDescent="0.3">
      <c r="B20" s="6" t="s">
        <v>37</v>
      </c>
      <c r="C20" s="1" t="s">
        <v>52</v>
      </c>
      <c r="D20" s="4" t="s">
        <v>72</v>
      </c>
      <c r="E20" s="33" t="s">
        <v>116</v>
      </c>
      <c r="F20" s="44">
        <v>60828.62</v>
      </c>
      <c r="G20" s="19" t="s">
        <v>30</v>
      </c>
      <c r="H20" s="24">
        <v>44986</v>
      </c>
      <c r="I20" s="27" t="s">
        <v>103</v>
      </c>
      <c r="K20" s="1"/>
      <c r="L20" s="4"/>
      <c r="M20" s="4"/>
      <c r="N20" s="4"/>
      <c r="O20" s="2"/>
      <c r="P20" s="2"/>
      <c r="Q20" s="2"/>
      <c r="R20" s="1"/>
    </row>
    <row r="21" spans="2:18" s="7" customFormat="1" ht="33" customHeight="1" x14ac:dyDescent="0.3">
      <c r="B21" s="6" t="s">
        <v>40</v>
      </c>
      <c r="C21" s="1" t="s">
        <v>67</v>
      </c>
      <c r="D21" s="1" t="s">
        <v>66</v>
      </c>
      <c r="E21" s="29" t="s">
        <v>115</v>
      </c>
      <c r="F21" s="44">
        <v>2726.31</v>
      </c>
      <c r="G21" s="19" t="s">
        <v>30</v>
      </c>
      <c r="H21" s="20">
        <v>44958</v>
      </c>
      <c r="I21" s="19" t="s">
        <v>87</v>
      </c>
      <c r="K21" s="1"/>
      <c r="L21" s="4"/>
      <c r="M21" s="4"/>
      <c r="N21" s="4"/>
      <c r="O21" s="2"/>
      <c r="P21" s="2"/>
      <c r="Q21" s="2"/>
      <c r="R21" s="1"/>
    </row>
    <row r="22" spans="2:18" s="7" customFormat="1" ht="33" customHeight="1" x14ac:dyDescent="0.3">
      <c r="B22" s="6" t="s">
        <v>72</v>
      </c>
      <c r="C22" s="1" t="s">
        <v>74</v>
      </c>
      <c r="D22" s="1" t="s">
        <v>69</v>
      </c>
      <c r="E22" s="3" t="s">
        <v>73</v>
      </c>
      <c r="F22" s="44">
        <v>1493</v>
      </c>
      <c r="G22" s="19" t="s">
        <v>30</v>
      </c>
      <c r="H22" s="24">
        <v>44986</v>
      </c>
      <c r="I22" s="27" t="s">
        <v>104</v>
      </c>
      <c r="K22" s="1"/>
      <c r="L22" s="1"/>
      <c r="M22" s="1"/>
      <c r="N22" s="1"/>
      <c r="O22" s="2"/>
      <c r="P22" s="2"/>
      <c r="Q22" s="2"/>
      <c r="R22" s="1"/>
    </row>
    <row r="23" spans="2:18" s="7" customFormat="1" ht="33" customHeight="1" x14ac:dyDescent="0.3">
      <c r="B23" s="6" t="s">
        <v>88</v>
      </c>
      <c r="C23" s="6" t="s">
        <v>89</v>
      </c>
      <c r="D23" s="1" t="s">
        <v>142</v>
      </c>
      <c r="E23" s="3" t="s">
        <v>68</v>
      </c>
      <c r="F23" s="45">
        <v>2342.88</v>
      </c>
      <c r="G23" s="19" t="s">
        <v>30</v>
      </c>
      <c r="H23" s="24">
        <v>44986</v>
      </c>
      <c r="I23" s="27" t="s">
        <v>107</v>
      </c>
      <c r="K23" s="1"/>
      <c r="L23" s="1"/>
      <c r="M23" s="1"/>
      <c r="N23" s="1"/>
      <c r="O23" s="2"/>
      <c r="P23" s="2"/>
      <c r="Q23" s="2"/>
      <c r="R23" s="1"/>
    </row>
    <row r="24" spans="2:18" s="7" customFormat="1" ht="33" customHeight="1" x14ac:dyDescent="0.3">
      <c r="B24" s="23" t="s">
        <v>71</v>
      </c>
      <c r="C24" s="6" t="s">
        <v>90</v>
      </c>
      <c r="D24" s="1" t="s">
        <v>71</v>
      </c>
      <c r="E24" s="32" t="s">
        <v>114</v>
      </c>
      <c r="F24" s="44">
        <v>4568.3999999999996</v>
      </c>
      <c r="G24" s="19" t="s">
        <v>30</v>
      </c>
      <c r="H24" s="24">
        <v>44986</v>
      </c>
      <c r="I24" s="40" t="s">
        <v>108</v>
      </c>
      <c r="K24" s="1"/>
      <c r="L24" s="1"/>
      <c r="M24" s="1"/>
      <c r="N24" s="1"/>
      <c r="O24" s="2"/>
      <c r="P24" s="2"/>
      <c r="Q24" s="2"/>
      <c r="R24" s="1"/>
    </row>
    <row r="25" spans="2:18" s="7" customFormat="1" ht="33" customHeight="1" x14ac:dyDescent="0.3">
      <c r="B25" s="6" t="s">
        <v>75</v>
      </c>
      <c r="C25" s="6" t="s">
        <v>91</v>
      </c>
      <c r="D25" s="1" t="s">
        <v>143</v>
      </c>
      <c r="E25" s="3" t="s">
        <v>76</v>
      </c>
      <c r="F25" s="45">
        <v>604</v>
      </c>
      <c r="G25" s="36" t="s">
        <v>30</v>
      </c>
      <c r="H25" s="74">
        <v>45047</v>
      </c>
      <c r="I25" s="41" t="s">
        <v>139</v>
      </c>
      <c r="K25" s="1"/>
      <c r="L25" s="1"/>
      <c r="M25" s="1"/>
      <c r="N25" s="1"/>
      <c r="O25" s="2"/>
      <c r="P25" s="2"/>
      <c r="Q25" s="2"/>
      <c r="R25" s="1"/>
    </row>
    <row r="26" spans="2:18" s="7" customFormat="1" ht="33" customHeight="1" x14ac:dyDescent="0.3">
      <c r="B26" s="55" t="s">
        <v>150</v>
      </c>
      <c r="C26" s="1" t="s">
        <v>92</v>
      </c>
      <c r="D26" s="36" t="s">
        <v>144</v>
      </c>
      <c r="E26" s="29" t="s">
        <v>113</v>
      </c>
      <c r="F26" s="46">
        <v>11400</v>
      </c>
      <c r="G26" s="36" t="s">
        <v>30</v>
      </c>
      <c r="H26" s="74">
        <v>45078</v>
      </c>
      <c r="I26" s="41" t="s">
        <v>160</v>
      </c>
      <c r="K26" s="1"/>
      <c r="L26" s="1"/>
      <c r="M26" s="1"/>
      <c r="N26" s="1"/>
      <c r="O26" s="2"/>
      <c r="P26" s="2"/>
      <c r="Q26" s="2"/>
      <c r="R26" s="1"/>
    </row>
    <row r="27" spans="2:18" s="7" customFormat="1" ht="33" customHeight="1" x14ac:dyDescent="0.3">
      <c r="B27" s="1" t="s">
        <v>95</v>
      </c>
      <c r="C27" s="38" t="s">
        <v>132</v>
      </c>
      <c r="D27" s="59" t="s">
        <v>154</v>
      </c>
      <c r="E27" s="31" t="s">
        <v>112</v>
      </c>
      <c r="F27" s="44">
        <v>4284.2</v>
      </c>
      <c r="G27" s="36" t="s">
        <v>30</v>
      </c>
      <c r="H27" s="74">
        <v>45078</v>
      </c>
      <c r="I27" s="41" t="s">
        <v>159</v>
      </c>
      <c r="K27" s="1"/>
      <c r="L27" s="1"/>
      <c r="M27" s="1"/>
      <c r="N27" s="1"/>
      <c r="O27" s="2"/>
      <c r="P27" s="2"/>
      <c r="Q27" s="2"/>
      <c r="R27" s="1"/>
    </row>
    <row r="28" spans="2:18" s="7" customFormat="1" ht="33" customHeight="1" x14ac:dyDescent="0.3">
      <c r="B28" s="1" t="s">
        <v>96</v>
      </c>
      <c r="C28" s="38" t="s">
        <v>131</v>
      </c>
      <c r="D28" s="36" t="s">
        <v>146</v>
      </c>
      <c r="E28" s="29" t="s">
        <v>127</v>
      </c>
      <c r="F28" s="44">
        <v>4425</v>
      </c>
      <c r="G28" s="36" t="s">
        <v>30</v>
      </c>
      <c r="H28" s="74">
        <v>45078</v>
      </c>
      <c r="I28" s="41" t="s">
        <v>161</v>
      </c>
      <c r="K28" s="26"/>
      <c r="L28" s="26"/>
      <c r="M28" s="26"/>
      <c r="N28" s="1"/>
      <c r="O28" s="1"/>
      <c r="P28" s="1"/>
      <c r="Q28" s="1"/>
      <c r="R28" s="2"/>
    </row>
    <row r="29" spans="2:18" s="7" customFormat="1" ht="33" customHeight="1" x14ac:dyDescent="0.3">
      <c r="B29" s="1" t="s">
        <v>97</v>
      </c>
      <c r="C29" s="38" t="s">
        <v>98</v>
      </c>
      <c r="D29" s="59" t="s">
        <v>155</v>
      </c>
      <c r="E29" s="29" t="s">
        <v>111</v>
      </c>
      <c r="F29" s="44">
        <v>7500</v>
      </c>
      <c r="G29" s="36" t="s">
        <v>30</v>
      </c>
      <c r="H29" s="74">
        <v>45078</v>
      </c>
      <c r="I29" s="41" t="s">
        <v>158</v>
      </c>
      <c r="K29" s="26"/>
      <c r="L29" s="26"/>
      <c r="M29" s="26"/>
      <c r="N29" s="1"/>
      <c r="O29" s="1"/>
      <c r="P29" s="1"/>
      <c r="Q29" s="1"/>
      <c r="R29" s="2"/>
    </row>
    <row r="30" spans="2:18" s="7" customFormat="1" ht="30" x14ac:dyDescent="0.3">
      <c r="B30" s="1" t="s">
        <v>99</v>
      </c>
      <c r="C30" s="38" t="s">
        <v>101</v>
      </c>
      <c r="D30" s="59" t="s">
        <v>156</v>
      </c>
      <c r="E30" s="21" t="s">
        <v>94</v>
      </c>
      <c r="F30" s="44">
        <v>7245</v>
      </c>
      <c r="G30" s="36" t="s">
        <v>30</v>
      </c>
      <c r="H30" s="74">
        <v>45078</v>
      </c>
      <c r="I30" s="68" t="s">
        <v>203</v>
      </c>
      <c r="K30" s="26"/>
      <c r="L30" s="26"/>
      <c r="M30" s="26"/>
      <c r="N30" s="1"/>
      <c r="O30" s="1"/>
      <c r="P30" s="1"/>
      <c r="Q30" s="1"/>
      <c r="R30" s="2"/>
    </row>
    <row r="31" spans="2:18" s="7" customFormat="1" ht="33" customHeight="1" x14ac:dyDescent="0.3">
      <c r="B31" s="36" t="s">
        <v>100</v>
      </c>
      <c r="C31" s="38" t="s">
        <v>102</v>
      </c>
      <c r="D31" s="36" t="s">
        <v>148</v>
      </c>
      <c r="E31" s="103" t="s">
        <v>110</v>
      </c>
      <c r="F31" s="44">
        <v>2225</v>
      </c>
      <c r="G31" s="36" t="s">
        <v>30</v>
      </c>
      <c r="H31" s="74">
        <v>45078</v>
      </c>
      <c r="I31" s="67" t="s">
        <v>168</v>
      </c>
      <c r="K31" s="26"/>
      <c r="L31" s="26"/>
      <c r="M31" s="26"/>
      <c r="N31" s="1"/>
      <c r="O31" s="1"/>
      <c r="P31" s="1"/>
      <c r="Q31" s="1"/>
      <c r="R31" s="2"/>
    </row>
    <row r="32" spans="2:18" s="7" customFormat="1" ht="33" customHeight="1" x14ac:dyDescent="0.3">
      <c r="B32" s="78" t="s">
        <v>149</v>
      </c>
      <c r="C32" s="79" t="s">
        <v>135</v>
      </c>
      <c r="D32" s="80" t="s">
        <v>147</v>
      </c>
      <c r="E32" s="37" t="s">
        <v>138</v>
      </c>
      <c r="F32" s="81">
        <v>8518.82</v>
      </c>
      <c r="G32" s="78" t="s">
        <v>30</v>
      </c>
      <c r="H32" s="82">
        <v>45078</v>
      </c>
      <c r="I32" s="83" t="s">
        <v>162</v>
      </c>
      <c r="K32" s="26"/>
      <c r="L32" s="26"/>
      <c r="M32" s="26"/>
      <c r="N32" s="1"/>
      <c r="O32" s="1"/>
      <c r="P32" s="1"/>
      <c r="Q32" s="1"/>
      <c r="R32" s="2"/>
    </row>
    <row r="33" spans="2:18" s="7" customFormat="1" ht="33" customHeight="1" x14ac:dyDescent="0.3">
      <c r="B33" s="59" t="s">
        <v>153</v>
      </c>
      <c r="C33" s="38" t="s">
        <v>164</v>
      </c>
      <c r="D33" s="38" t="s">
        <v>165</v>
      </c>
      <c r="E33" s="63" t="s">
        <v>151</v>
      </c>
      <c r="F33" s="44">
        <v>3440</v>
      </c>
      <c r="G33" s="36" t="s">
        <v>30</v>
      </c>
      <c r="H33" s="74">
        <v>45078</v>
      </c>
      <c r="I33" s="67" t="s">
        <v>169</v>
      </c>
      <c r="K33" s="26"/>
      <c r="L33" s="26"/>
      <c r="M33" s="26"/>
      <c r="N33" s="1"/>
      <c r="O33" s="1"/>
      <c r="P33" s="1"/>
      <c r="Q33" s="1"/>
      <c r="R33" s="2"/>
    </row>
    <row r="34" spans="2:18" s="7" customFormat="1" ht="33" customHeight="1" x14ac:dyDescent="0.3">
      <c r="B34" s="59" t="s">
        <v>152</v>
      </c>
      <c r="C34" s="38" t="s">
        <v>163</v>
      </c>
      <c r="D34" s="38" t="s">
        <v>166</v>
      </c>
      <c r="E34" s="63" t="s">
        <v>93</v>
      </c>
      <c r="F34" s="44">
        <v>14202.33</v>
      </c>
      <c r="G34" s="36" t="s">
        <v>30</v>
      </c>
      <c r="H34" s="74">
        <v>45078</v>
      </c>
      <c r="I34" s="67" t="s">
        <v>170</v>
      </c>
      <c r="K34" s="26"/>
      <c r="L34" s="26"/>
      <c r="M34" s="26"/>
      <c r="N34" s="1"/>
      <c r="O34" s="1"/>
      <c r="P34" s="1"/>
      <c r="Q34" s="1"/>
      <c r="R34" s="2"/>
    </row>
    <row r="35" spans="2:18" s="7" customFormat="1" ht="33" customHeight="1" x14ac:dyDescent="0.3">
      <c r="B35" s="36" t="s">
        <v>128</v>
      </c>
      <c r="C35" s="36" t="s">
        <v>137</v>
      </c>
      <c r="D35" s="36" t="s">
        <v>145</v>
      </c>
      <c r="E35" s="34" t="s">
        <v>136</v>
      </c>
      <c r="F35" s="44">
        <v>3275</v>
      </c>
      <c r="G35" s="36" t="s">
        <v>30</v>
      </c>
      <c r="H35" s="74">
        <v>45078</v>
      </c>
      <c r="I35" s="41" t="s">
        <v>157</v>
      </c>
      <c r="K35" s="26"/>
      <c r="L35" s="26"/>
      <c r="M35" s="26"/>
      <c r="N35" s="1"/>
      <c r="O35" s="1"/>
      <c r="P35" s="1"/>
      <c r="Q35" s="1"/>
      <c r="R35" s="2"/>
    </row>
    <row r="36" spans="2:18" s="7" customFormat="1" ht="33" customHeight="1" x14ac:dyDescent="0.3">
      <c r="B36" s="69" t="s">
        <v>174</v>
      </c>
      <c r="C36" s="69" t="s">
        <v>173</v>
      </c>
      <c r="D36" s="69" t="s">
        <v>172</v>
      </c>
      <c r="E36" s="70" t="s">
        <v>171</v>
      </c>
      <c r="F36" s="71">
        <v>8512.75</v>
      </c>
      <c r="G36" s="36" t="s">
        <v>30</v>
      </c>
      <c r="H36" s="20">
        <v>45108</v>
      </c>
      <c r="I36" s="41" t="s">
        <v>175</v>
      </c>
      <c r="K36" s="26"/>
      <c r="L36" s="26"/>
      <c r="M36" s="26"/>
      <c r="N36" s="1"/>
      <c r="O36" s="1"/>
      <c r="P36" s="1"/>
      <c r="Q36" s="1"/>
      <c r="R36" s="2"/>
    </row>
    <row r="37" spans="2:18" s="7" customFormat="1" ht="15.6" x14ac:dyDescent="0.3">
      <c r="B37" s="287" t="s">
        <v>7</v>
      </c>
      <c r="C37" s="288"/>
      <c r="D37" s="288"/>
      <c r="E37" s="289"/>
      <c r="F37" s="47">
        <f>SUM(F5:F36)</f>
        <v>328759.78000000003</v>
      </c>
      <c r="G37" s="12"/>
      <c r="H37" s="12"/>
      <c r="I37" s="12"/>
      <c r="K37" s="283" t="s">
        <v>8</v>
      </c>
      <c r="L37" s="284"/>
      <c r="M37" s="284"/>
      <c r="N37" s="285"/>
      <c r="O37" s="22">
        <f>SUM(O5:O36)</f>
        <v>0</v>
      </c>
      <c r="P37" s="73"/>
      <c r="Q37" s="73"/>
    </row>
    <row r="38" spans="2:18" s="7" customFormat="1" ht="15.6" thickBot="1" x14ac:dyDescent="0.35">
      <c r="F38" s="48"/>
      <c r="G38" s="12"/>
      <c r="H38" s="12"/>
      <c r="I38" s="12"/>
      <c r="O38" s="10"/>
      <c r="P38" s="10"/>
      <c r="Q38" s="10"/>
    </row>
    <row r="39" spans="2:18" s="7" customFormat="1" ht="16.2" thickBot="1" x14ac:dyDescent="0.35">
      <c r="E39" s="18" t="s">
        <v>4</v>
      </c>
      <c r="F39" s="49" t="s">
        <v>59</v>
      </c>
      <c r="G39" s="12"/>
      <c r="H39" s="12"/>
      <c r="I39" s="12"/>
      <c r="O39" s="10"/>
      <c r="P39" s="10"/>
      <c r="Q39" s="10"/>
    </row>
    <row r="40" spans="2:18" s="7" customFormat="1" ht="15" x14ac:dyDescent="0.3">
      <c r="C40" s="277" t="s">
        <v>11</v>
      </c>
      <c r="D40" s="278"/>
      <c r="E40" s="25">
        <v>337157.91</v>
      </c>
      <c r="F40" s="50">
        <v>1</v>
      </c>
      <c r="G40" s="12"/>
      <c r="H40" s="12"/>
      <c r="I40" s="12"/>
      <c r="O40" s="10"/>
      <c r="P40" s="10"/>
      <c r="Q40" s="10"/>
    </row>
    <row r="41" spans="2:18" s="7" customFormat="1" ht="15" x14ac:dyDescent="0.3">
      <c r="C41" s="271" t="s">
        <v>5</v>
      </c>
      <c r="D41" s="272"/>
      <c r="E41" s="17">
        <f>F37</f>
        <v>328759.78000000003</v>
      </c>
      <c r="F41" s="51">
        <f>E41/E40</f>
        <v>0.97509140449945264</v>
      </c>
      <c r="G41" s="12"/>
      <c r="H41" s="12"/>
      <c r="I41" s="12"/>
      <c r="O41" s="10"/>
      <c r="P41" s="10"/>
      <c r="Q41" s="10"/>
    </row>
    <row r="42" spans="2:18" s="7" customFormat="1" ht="15" x14ac:dyDescent="0.3">
      <c r="C42" s="273" t="s">
        <v>6</v>
      </c>
      <c r="D42" s="274"/>
      <c r="E42" s="17">
        <f>O37</f>
        <v>0</v>
      </c>
      <c r="F42" s="51">
        <f>E42/E40</f>
        <v>0</v>
      </c>
      <c r="G42" s="12"/>
      <c r="H42" s="12"/>
      <c r="I42" s="12"/>
      <c r="O42" s="10"/>
      <c r="P42" s="10"/>
      <c r="Q42" s="10"/>
    </row>
    <row r="43" spans="2:18" s="7" customFormat="1" ht="15.6" thickBot="1" x14ac:dyDescent="0.35">
      <c r="C43" s="275" t="s">
        <v>10</v>
      </c>
      <c r="D43" s="276"/>
      <c r="E43" s="11">
        <f>SUM(F37+O37)</f>
        <v>328759.78000000003</v>
      </c>
      <c r="F43" s="52">
        <f>E43/E40</f>
        <v>0.97509140449945264</v>
      </c>
      <c r="G43" s="12"/>
      <c r="H43" s="12"/>
      <c r="I43" s="12"/>
      <c r="O43" s="10"/>
      <c r="P43" s="10"/>
      <c r="Q43" s="10"/>
    </row>
    <row r="44" spans="2:18" s="7" customFormat="1" ht="15.6" thickBot="1" x14ac:dyDescent="0.35">
      <c r="C44" s="16"/>
      <c r="D44" s="16"/>
      <c r="E44" s="12"/>
      <c r="F44" s="53"/>
      <c r="G44" s="12"/>
      <c r="H44" s="12"/>
      <c r="I44" s="12"/>
      <c r="O44" s="10"/>
      <c r="P44" s="10"/>
      <c r="Q44" s="10"/>
    </row>
    <row r="45" spans="2:18" s="7" customFormat="1" ht="15.6" thickBot="1" x14ac:dyDescent="0.35">
      <c r="C45" s="279" t="s">
        <v>9</v>
      </c>
      <c r="D45" s="280"/>
      <c r="E45" s="13">
        <f>E40-E43</f>
        <v>8398.1299999999464</v>
      </c>
      <c r="F45" s="54">
        <f>E45/E40</f>
        <v>2.4908595500547345E-2</v>
      </c>
      <c r="G45" s="12"/>
      <c r="H45" s="12"/>
      <c r="I45" s="12"/>
      <c r="O45" s="10"/>
      <c r="P45" s="10"/>
      <c r="Q45" s="10"/>
    </row>
    <row r="46" spans="2:18" s="7" customFormat="1" ht="15" x14ac:dyDescent="0.3">
      <c r="F46" s="48"/>
      <c r="G46" s="12"/>
      <c r="H46" s="12"/>
      <c r="I46" s="12"/>
      <c r="O46" s="10"/>
      <c r="P46" s="10"/>
      <c r="Q46" s="10"/>
    </row>
    <row r="47" spans="2:18" s="7" customFormat="1" ht="15" x14ac:dyDescent="0.3">
      <c r="F47" s="48"/>
      <c r="G47" s="12"/>
      <c r="H47" s="12"/>
      <c r="I47" s="12"/>
      <c r="O47" s="10"/>
      <c r="P47" s="10"/>
      <c r="Q47" s="10"/>
    </row>
    <row r="59" spans="3:4" x14ac:dyDescent="0.3">
      <c r="C59" s="8" t="s">
        <v>58</v>
      </c>
    </row>
    <row r="60" spans="3:4" x14ac:dyDescent="0.3">
      <c r="C60" s="8" t="s">
        <v>11</v>
      </c>
      <c r="D60" s="15">
        <f>E40</f>
        <v>337157.91</v>
      </c>
    </row>
    <row r="61" spans="3:4" x14ac:dyDescent="0.3">
      <c r="C61" s="8" t="s">
        <v>5</v>
      </c>
      <c r="D61" s="15">
        <f>F37</f>
        <v>328759.78000000003</v>
      </c>
    </row>
    <row r="62" spans="3:4" x14ac:dyDescent="0.3">
      <c r="C62" s="8" t="s">
        <v>6</v>
      </c>
      <c r="D62" s="15">
        <f>O37</f>
        <v>0</v>
      </c>
    </row>
    <row r="63" spans="3:4" x14ac:dyDescent="0.3">
      <c r="C63" s="8" t="s">
        <v>9</v>
      </c>
      <c r="D63" s="15">
        <f>E45</f>
        <v>8398.1299999999464</v>
      </c>
    </row>
  </sheetData>
  <mergeCells count="12">
    <mergeCell ref="I8:I9"/>
    <mergeCell ref="K37:N37"/>
    <mergeCell ref="K3:R3"/>
    <mergeCell ref="B3:I3"/>
    <mergeCell ref="B37:E37"/>
    <mergeCell ref="G8:G9"/>
    <mergeCell ref="H8:H9"/>
    <mergeCell ref="C41:D41"/>
    <mergeCell ref="C42:D42"/>
    <mergeCell ref="C43:D43"/>
    <mergeCell ref="C40:D40"/>
    <mergeCell ref="C45:D45"/>
  </mergeCells>
  <phoneticPr fontId="78" type="noConversion"/>
  <printOptions horizontalCentered="1" verticalCentered="1"/>
  <pageMargins left="0" right="0" top="0" bottom="0" header="0" footer="0"/>
  <pageSetup paperSize="66" scale="46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D5DC-F2C8-4C59-8499-8CD412551B96}">
  <sheetPr>
    <pageSetUpPr fitToPage="1"/>
  </sheetPr>
  <dimension ref="B1:T54"/>
  <sheetViews>
    <sheetView view="pageBreakPreview" topLeftCell="A12" zoomScale="70" zoomScaleNormal="70" zoomScaleSheetLayoutView="70" workbookViewId="0">
      <selection activeCell="E14" sqref="E14"/>
    </sheetView>
  </sheetViews>
  <sheetFormatPr defaultColWidth="8.88671875" defaultRowHeight="13.8" x14ac:dyDescent="0.3"/>
  <cols>
    <col min="1" max="1" width="8.88671875" style="8"/>
    <col min="2" max="2" width="15.109375" style="8" customWidth="1"/>
    <col min="3" max="3" width="31.5546875" style="57" bestFit="1" customWidth="1"/>
    <col min="4" max="4" width="16.77734375" style="57" bestFit="1" customWidth="1"/>
    <col min="5" max="5" width="50.88671875" style="8" customWidth="1"/>
    <col min="6" max="6" width="17.33203125" style="42" bestFit="1" customWidth="1"/>
    <col min="7" max="7" width="29.33203125" style="57" customWidth="1"/>
    <col min="8" max="8" width="12.109375" style="57" customWidth="1"/>
    <col min="9" max="9" width="53" style="57" bestFit="1" customWidth="1"/>
    <col min="10" max="10" width="8.88671875" style="8"/>
    <col min="11" max="11" width="21.109375" style="57" customWidth="1"/>
    <col min="12" max="13" width="21.109375" style="8" customWidth="1"/>
    <col min="14" max="14" width="52.44140625" style="109" bestFit="1" customWidth="1"/>
    <col min="15" max="15" width="26.33203125" style="14" customWidth="1"/>
    <col min="16" max="16" width="36" style="112" customWidth="1"/>
    <col min="17" max="17" width="31.5546875" style="14" customWidth="1"/>
    <col min="18" max="18" width="31.21875" style="8" bestFit="1" customWidth="1"/>
    <col min="19" max="19" width="9.5546875" style="8" customWidth="1"/>
    <col min="20" max="20" width="16" style="8" bestFit="1" customWidth="1"/>
    <col min="21" max="16384" width="8.88671875" style="8"/>
  </cols>
  <sheetData>
    <row r="1" spans="2:20" ht="73.95" customHeight="1" x14ac:dyDescent="0.3">
      <c r="G1" s="56"/>
    </row>
    <row r="3" spans="2:20" ht="22.8" x14ac:dyDescent="0.3">
      <c r="B3" s="286" t="s">
        <v>235</v>
      </c>
      <c r="C3" s="286"/>
      <c r="D3" s="286"/>
      <c r="E3" s="286"/>
      <c r="F3" s="286"/>
      <c r="G3" s="286"/>
      <c r="H3" s="286"/>
      <c r="I3" s="286"/>
      <c r="K3" s="286" t="s">
        <v>134</v>
      </c>
      <c r="L3" s="286"/>
      <c r="M3" s="286"/>
      <c r="N3" s="286"/>
      <c r="O3" s="286"/>
      <c r="P3" s="286"/>
      <c r="Q3" s="286"/>
      <c r="R3" s="286"/>
    </row>
    <row r="4" spans="2:20" s="7" customFormat="1" ht="15.6" x14ac:dyDescent="0.3">
      <c r="B4" s="5" t="s">
        <v>13</v>
      </c>
      <c r="C4" s="5" t="s">
        <v>0</v>
      </c>
      <c r="D4" s="5" t="s">
        <v>33</v>
      </c>
      <c r="E4" s="5" t="s">
        <v>3</v>
      </c>
      <c r="F4" s="43" t="s">
        <v>4</v>
      </c>
      <c r="G4" s="9" t="s">
        <v>1</v>
      </c>
      <c r="H4" s="5" t="s">
        <v>31</v>
      </c>
      <c r="I4" s="5" t="s">
        <v>32</v>
      </c>
      <c r="K4" s="141" t="s">
        <v>13</v>
      </c>
      <c r="L4" s="141" t="s">
        <v>0</v>
      </c>
      <c r="M4" s="141" t="s">
        <v>33</v>
      </c>
      <c r="N4" s="142" t="s">
        <v>3</v>
      </c>
      <c r="O4" s="143" t="s">
        <v>4</v>
      </c>
      <c r="P4" s="144" t="s">
        <v>1</v>
      </c>
      <c r="R4" s="141" t="s">
        <v>32</v>
      </c>
    </row>
    <row r="5" spans="2:20" s="7" customFormat="1" ht="34.200000000000003" customHeight="1" x14ac:dyDescent="0.3">
      <c r="B5" s="93" t="s">
        <v>176</v>
      </c>
      <c r="C5" s="94" t="s">
        <v>179</v>
      </c>
      <c r="D5" s="117" t="s">
        <v>219</v>
      </c>
      <c r="E5" s="106" t="s">
        <v>205</v>
      </c>
      <c r="F5" s="45">
        <v>12480</v>
      </c>
      <c r="G5" s="99" t="s">
        <v>196</v>
      </c>
      <c r="H5" s="89">
        <v>45323</v>
      </c>
      <c r="I5" s="119" t="s">
        <v>220</v>
      </c>
      <c r="K5" s="158"/>
      <c r="L5" s="159"/>
      <c r="M5" s="159"/>
      <c r="N5" s="158"/>
      <c r="O5" s="160"/>
      <c r="P5" s="131"/>
      <c r="Q5" s="159"/>
      <c r="R5" s="158"/>
      <c r="T5" s="10"/>
    </row>
    <row r="6" spans="2:20" s="7" customFormat="1" ht="45" x14ac:dyDescent="0.3">
      <c r="B6" s="36" t="s">
        <v>133</v>
      </c>
      <c r="C6" s="38" t="s">
        <v>129</v>
      </c>
      <c r="D6" s="114" t="s">
        <v>212</v>
      </c>
      <c r="E6" s="39" t="s">
        <v>130</v>
      </c>
      <c r="F6" s="44">
        <v>8364.2999999999993</v>
      </c>
      <c r="G6" s="99" t="s">
        <v>196</v>
      </c>
      <c r="H6" s="89">
        <v>45231</v>
      </c>
      <c r="I6" s="116" t="s">
        <v>214</v>
      </c>
      <c r="K6" s="159"/>
      <c r="L6" s="159"/>
      <c r="M6" s="159"/>
      <c r="N6" s="157"/>
      <c r="O6" s="160"/>
      <c r="P6" s="131"/>
      <c r="Q6" s="161"/>
      <c r="R6" s="158"/>
      <c r="T6" s="58"/>
    </row>
    <row r="7" spans="2:20" s="7" customFormat="1" ht="45" x14ac:dyDescent="0.3">
      <c r="B7" s="93" t="s">
        <v>178</v>
      </c>
      <c r="C7" s="38" t="s">
        <v>183</v>
      </c>
      <c r="D7" s="104" t="s">
        <v>204</v>
      </c>
      <c r="E7" s="94" t="s">
        <v>177</v>
      </c>
      <c r="F7" s="44">
        <v>5813.9</v>
      </c>
      <c r="G7" s="99" t="s">
        <v>196</v>
      </c>
      <c r="H7" s="24">
        <v>45231</v>
      </c>
      <c r="I7" s="115" t="s">
        <v>215</v>
      </c>
      <c r="K7" s="23"/>
      <c r="L7" s="23"/>
      <c r="M7" s="23"/>
      <c r="N7" s="140"/>
      <c r="O7" s="131"/>
      <c r="P7" s="131"/>
      <c r="Q7" s="133"/>
      <c r="R7" s="136"/>
    </row>
    <row r="8" spans="2:20" s="7" customFormat="1" ht="60" x14ac:dyDescent="0.3">
      <c r="B8" s="95" t="s">
        <v>182</v>
      </c>
      <c r="C8" s="38" t="s">
        <v>188</v>
      </c>
      <c r="D8" s="96" t="s">
        <v>192</v>
      </c>
      <c r="E8" s="94" t="s">
        <v>180</v>
      </c>
      <c r="F8" s="44">
        <v>1800</v>
      </c>
      <c r="G8" s="99" t="s">
        <v>196</v>
      </c>
      <c r="H8" s="20">
        <v>45170</v>
      </c>
      <c r="I8" s="139" t="s">
        <v>197</v>
      </c>
      <c r="K8" s="23"/>
      <c r="L8" s="23"/>
      <c r="M8" s="23"/>
      <c r="N8" s="135"/>
      <c r="O8" s="131"/>
      <c r="P8" s="131"/>
      <c r="Q8" s="133"/>
      <c r="R8" s="136"/>
    </row>
    <row r="9" spans="2:20" s="7" customFormat="1" ht="33" customHeight="1" x14ac:dyDescent="0.3">
      <c r="B9" s="95" t="s">
        <v>181</v>
      </c>
      <c r="C9" s="38" t="s">
        <v>190</v>
      </c>
      <c r="D9" s="98" t="s">
        <v>199</v>
      </c>
      <c r="E9" s="98" t="s">
        <v>198</v>
      </c>
      <c r="F9" s="44">
        <v>4227</v>
      </c>
      <c r="G9" s="99" t="s">
        <v>196</v>
      </c>
      <c r="H9" s="20">
        <v>45170</v>
      </c>
      <c r="I9" s="102" t="s">
        <v>201</v>
      </c>
      <c r="K9" s="126"/>
      <c r="L9" s="121"/>
      <c r="M9" s="23"/>
      <c r="N9" s="129"/>
      <c r="O9" s="131"/>
      <c r="P9" s="131"/>
      <c r="Q9" s="20"/>
      <c r="R9" s="136"/>
    </row>
    <row r="10" spans="2:20" s="7" customFormat="1" ht="45" x14ac:dyDescent="0.3">
      <c r="B10" s="95" t="s">
        <v>184</v>
      </c>
      <c r="C10" s="38" t="s">
        <v>189</v>
      </c>
      <c r="D10" s="106" t="s">
        <v>209</v>
      </c>
      <c r="E10" s="106" t="s">
        <v>185</v>
      </c>
      <c r="F10" s="44">
        <v>4764.26</v>
      </c>
      <c r="G10" s="99" t="s">
        <v>196</v>
      </c>
      <c r="H10" s="20">
        <v>45231</v>
      </c>
      <c r="I10" s="127" t="s">
        <v>213</v>
      </c>
      <c r="K10" s="126"/>
      <c r="L10" s="121"/>
      <c r="M10" s="23"/>
      <c r="N10" s="129"/>
      <c r="O10" s="131"/>
      <c r="P10" s="131"/>
      <c r="Q10" s="20"/>
      <c r="R10" s="136"/>
    </row>
    <row r="11" spans="2:20" s="7" customFormat="1" ht="33" customHeight="1" x14ac:dyDescent="0.3">
      <c r="B11" s="94" t="s">
        <v>186</v>
      </c>
      <c r="C11" s="38" t="s">
        <v>191</v>
      </c>
      <c r="D11" s="101" t="s">
        <v>200</v>
      </c>
      <c r="E11" s="100" t="s">
        <v>187</v>
      </c>
      <c r="F11" s="44">
        <v>13529.84</v>
      </c>
      <c r="G11" s="99" t="s">
        <v>196</v>
      </c>
      <c r="H11" s="20">
        <v>45170</v>
      </c>
      <c r="I11" s="102" t="s">
        <v>202</v>
      </c>
      <c r="K11" s="1"/>
      <c r="L11" s="4"/>
      <c r="M11" s="4"/>
      <c r="N11" s="132"/>
      <c r="O11" s="2"/>
      <c r="P11" s="2"/>
      <c r="Q11" s="2"/>
      <c r="R11" s="1"/>
    </row>
    <row r="12" spans="2:20" s="7" customFormat="1" ht="45" x14ac:dyDescent="0.3">
      <c r="B12" s="97" t="s">
        <v>194</v>
      </c>
      <c r="C12" s="38" t="s">
        <v>195</v>
      </c>
      <c r="D12" s="125" t="s">
        <v>232</v>
      </c>
      <c r="E12" s="107" t="s">
        <v>193</v>
      </c>
      <c r="F12" s="44">
        <v>1997.74</v>
      </c>
      <c r="G12" s="99" t="s">
        <v>196</v>
      </c>
      <c r="H12" s="24">
        <v>45352</v>
      </c>
      <c r="I12" s="127" t="s">
        <v>233</v>
      </c>
      <c r="K12" s="1"/>
      <c r="L12" s="4"/>
      <c r="M12" s="4"/>
      <c r="N12" s="21"/>
      <c r="O12" s="2"/>
      <c r="P12" s="2"/>
      <c r="Q12" s="2"/>
      <c r="R12" s="1"/>
    </row>
    <row r="13" spans="2:20" s="7" customFormat="1" ht="33" customHeight="1" x14ac:dyDescent="0.3">
      <c r="B13" s="108" t="s">
        <v>206</v>
      </c>
      <c r="C13" s="108" t="s">
        <v>208</v>
      </c>
      <c r="D13" s="91" t="s">
        <v>216</v>
      </c>
      <c r="E13" s="105" t="s">
        <v>207</v>
      </c>
      <c r="F13" s="111">
        <v>2662</v>
      </c>
      <c r="G13" s="99" t="s">
        <v>196</v>
      </c>
      <c r="H13" s="24">
        <v>45261</v>
      </c>
      <c r="I13" s="127" t="s">
        <v>218</v>
      </c>
      <c r="K13" s="1"/>
      <c r="L13" s="4"/>
      <c r="M13" s="4"/>
      <c r="N13" s="21"/>
      <c r="O13" s="2"/>
      <c r="P13" s="2"/>
      <c r="Q13" s="2"/>
      <c r="R13" s="1"/>
    </row>
    <row r="14" spans="2:20" s="7" customFormat="1" ht="57" customHeight="1" x14ac:dyDescent="0.3">
      <c r="B14" s="122" t="s">
        <v>224</v>
      </c>
      <c r="C14" s="122" t="s">
        <v>225</v>
      </c>
      <c r="D14" s="123" t="s">
        <v>229</v>
      </c>
      <c r="E14" s="116" t="s">
        <v>217</v>
      </c>
      <c r="F14" s="111">
        <v>3490</v>
      </c>
      <c r="G14" s="99" t="s">
        <v>196</v>
      </c>
      <c r="H14" s="24">
        <v>45352</v>
      </c>
      <c r="I14" s="124" t="s">
        <v>230</v>
      </c>
      <c r="K14" s="1"/>
      <c r="L14" s="4"/>
      <c r="M14" s="4"/>
      <c r="N14" s="21"/>
      <c r="O14" s="2"/>
      <c r="P14" s="2"/>
      <c r="Q14" s="2"/>
      <c r="R14" s="1"/>
    </row>
    <row r="15" spans="2:20" s="7" customFormat="1" ht="51" customHeight="1" x14ac:dyDescent="0.3">
      <c r="B15" s="121" t="s">
        <v>222</v>
      </c>
      <c r="C15" s="38" t="s">
        <v>223</v>
      </c>
      <c r="D15" s="137" t="s">
        <v>249</v>
      </c>
      <c r="E15" s="120" t="s">
        <v>226</v>
      </c>
      <c r="F15" s="44">
        <v>54678.7</v>
      </c>
      <c r="G15" s="99" t="s">
        <v>196</v>
      </c>
      <c r="H15" s="24">
        <v>45413</v>
      </c>
      <c r="I15" s="146" t="s">
        <v>250</v>
      </c>
      <c r="K15" s="1"/>
      <c r="L15" s="4"/>
      <c r="M15" s="4"/>
      <c r="N15" s="21"/>
      <c r="O15" s="2"/>
      <c r="P15" s="2"/>
      <c r="Q15" s="2"/>
      <c r="R15" s="1"/>
    </row>
    <row r="16" spans="2:20" s="7" customFormat="1" ht="45" x14ac:dyDescent="0.3">
      <c r="B16" s="204" t="s">
        <v>227</v>
      </c>
      <c r="C16" s="205" t="s">
        <v>228</v>
      </c>
      <c r="D16" s="206" t="s">
        <v>309</v>
      </c>
      <c r="E16" s="207" t="s">
        <v>221</v>
      </c>
      <c r="F16" s="208"/>
      <c r="G16" s="99" t="s">
        <v>196</v>
      </c>
      <c r="H16" s="209" t="s">
        <v>313</v>
      </c>
      <c r="I16" s="210" t="s">
        <v>311</v>
      </c>
      <c r="K16" s="1"/>
      <c r="L16" s="4"/>
      <c r="M16" s="4"/>
      <c r="N16" s="21"/>
      <c r="O16" s="2"/>
      <c r="P16" s="2"/>
      <c r="Q16" s="2"/>
      <c r="R16" s="1"/>
    </row>
    <row r="17" spans="2:18" s="7" customFormat="1" ht="45" x14ac:dyDescent="0.3">
      <c r="B17" s="129" t="s">
        <v>245</v>
      </c>
      <c r="C17" s="134" t="s">
        <v>238</v>
      </c>
      <c r="D17" s="162" t="s">
        <v>268</v>
      </c>
      <c r="E17" s="126" t="s">
        <v>231</v>
      </c>
      <c r="F17" s="44">
        <v>8570</v>
      </c>
      <c r="G17" s="99" t="s">
        <v>196</v>
      </c>
      <c r="H17" s="24">
        <v>45444</v>
      </c>
      <c r="I17" s="167" t="s">
        <v>270</v>
      </c>
      <c r="K17" s="1"/>
      <c r="L17" s="4"/>
      <c r="M17" s="4"/>
      <c r="N17" s="21"/>
      <c r="O17" s="2"/>
      <c r="P17" s="2"/>
      <c r="Q17" s="2"/>
      <c r="R17" s="1"/>
    </row>
    <row r="18" spans="2:18" s="7" customFormat="1" ht="39.6" customHeight="1" x14ac:dyDescent="0.3">
      <c r="B18" s="130" t="s">
        <v>244</v>
      </c>
      <c r="C18" s="38" t="s">
        <v>239</v>
      </c>
      <c r="D18" s="145" t="s">
        <v>251</v>
      </c>
      <c r="E18" s="136" t="s">
        <v>247</v>
      </c>
      <c r="F18" s="131">
        <v>84224.68</v>
      </c>
      <c r="G18" s="99" t="s">
        <v>196</v>
      </c>
      <c r="H18" s="24">
        <v>45444</v>
      </c>
      <c r="I18" s="168" t="s">
        <v>252</v>
      </c>
      <c r="K18" s="1"/>
      <c r="L18" s="4"/>
      <c r="M18" s="4"/>
      <c r="N18" s="21"/>
      <c r="O18" s="2"/>
      <c r="P18" s="2"/>
      <c r="Q18" s="2"/>
      <c r="R18" s="1"/>
    </row>
    <row r="19" spans="2:18" s="7" customFormat="1" ht="45" customHeight="1" x14ac:dyDescent="0.3">
      <c r="B19" s="130" t="s">
        <v>241</v>
      </c>
      <c r="C19" s="134" t="s">
        <v>243</v>
      </c>
      <c r="D19" s="147" t="s">
        <v>253</v>
      </c>
      <c r="E19" s="182" t="s">
        <v>283</v>
      </c>
      <c r="F19" s="131">
        <v>5775</v>
      </c>
      <c r="G19" s="99" t="s">
        <v>196</v>
      </c>
      <c r="H19" s="24">
        <v>45444</v>
      </c>
      <c r="I19" s="168" t="s">
        <v>255</v>
      </c>
      <c r="K19" s="1"/>
      <c r="L19" s="4"/>
      <c r="M19" s="4"/>
      <c r="N19" s="21"/>
      <c r="O19" s="2"/>
      <c r="P19" s="2"/>
      <c r="Q19" s="2"/>
      <c r="R19" s="1"/>
    </row>
    <row r="20" spans="2:18" s="7" customFormat="1" ht="33" customHeight="1" x14ac:dyDescent="0.3">
      <c r="B20" s="130" t="s">
        <v>240</v>
      </c>
      <c r="C20" s="134" t="s">
        <v>246</v>
      </c>
      <c r="D20" s="149" t="s">
        <v>258</v>
      </c>
      <c r="E20" s="189" t="s">
        <v>237</v>
      </c>
      <c r="F20" s="131">
        <v>21330</v>
      </c>
      <c r="G20" s="99" t="s">
        <v>196</v>
      </c>
      <c r="H20" s="24">
        <v>45444</v>
      </c>
      <c r="I20" s="169" t="s">
        <v>263</v>
      </c>
      <c r="K20" s="1"/>
      <c r="L20" s="4"/>
      <c r="M20" s="4"/>
      <c r="N20" s="21"/>
      <c r="O20" s="2"/>
      <c r="P20" s="2"/>
      <c r="Q20" s="2"/>
      <c r="R20" s="1"/>
    </row>
    <row r="21" spans="2:18" s="7" customFormat="1" ht="33" customHeight="1" x14ac:dyDescent="0.3">
      <c r="B21" s="154" t="s">
        <v>257</v>
      </c>
      <c r="C21" s="154" t="s">
        <v>261</v>
      </c>
      <c r="D21" s="165" t="s">
        <v>274</v>
      </c>
      <c r="E21" s="154" t="s">
        <v>242</v>
      </c>
      <c r="F21" s="156">
        <v>6659.59</v>
      </c>
      <c r="G21" s="99" t="s">
        <v>196</v>
      </c>
      <c r="H21" s="24">
        <v>45444</v>
      </c>
      <c r="I21" s="170" t="s">
        <v>275</v>
      </c>
      <c r="K21" s="1"/>
      <c r="L21" s="4"/>
      <c r="M21" s="4"/>
      <c r="N21" s="21"/>
      <c r="O21" s="2"/>
      <c r="P21" s="2"/>
      <c r="Q21" s="2"/>
      <c r="R21" s="1"/>
    </row>
    <row r="22" spans="2:18" s="7" customFormat="1" ht="33" customHeight="1" x14ac:dyDescent="0.3">
      <c r="B22" s="155" t="s">
        <v>262</v>
      </c>
      <c r="C22" s="148" t="s">
        <v>254</v>
      </c>
      <c r="D22" s="163" t="s">
        <v>269</v>
      </c>
      <c r="E22" s="138" t="s">
        <v>248</v>
      </c>
      <c r="F22" s="111">
        <v>22000</v>
      </c>
      <c r="G22" s="99" t="s">
        <v>196</v>
      </c>
      <c r="H22" s="24">
        <v>45444</v>
      </c>
      <c r="I22" s="167" t="s">
        <v>271</v>
      </c>
      <c r="K22" s="1"/>
      <c r="L22" s="1"/>
      <c r="M22" s="1"/>
      <c r="N22" s="3"/>
      <c r="O22" s="2"/>
      <c r="P22" s="2"/>
      <c r="Q22" s="2"/>
      <c r="R22" s="1"/>
    </row>
    <row r="23" spans="2:18" s="7" customFormat="1" ht="33" customHeight="1" x14ac:dyDescent="0.3">
      <c r="B23" s="150" t="s">
        <v>256</v>
      </c>
      <c r="C23" s="150" t="s">
        <v>259</v>
      </c>
      <c r="D23" s="166" t="s">
        <v>276</v>
      </c>
      <c r="E23" s="151" t="s">
        <v>260</v>
      </c>
      <c r="F23" s="152">
        <v>52864.99</v>
      </c>
      <c r="G23" s="99" t="s">
        <v>196</v>
      </c>
      <c r="H23" s="24">
        <v>45444</v>
      </c>
      <c r="I23" s="171" t="s">
        <v>277</v>
      </c>
      <c r="K23" s="1"/>
      <c r="L23" s="1"/>
      <c r="M23" s="1"/>
      <c r="N23" s="3"/>
      <c r="O23" s="2"/>
      <c r="P23" s="2"/>
      <c r="Q23" s="2"/>
      <c r="R23" s="1"/>
    </row>
    <row r="24" spans="2:18" s="7" customFormat="1" ht="33" customHeight="1" x14ac:dyDescent="0.3">
      <c r="B24" s="158" t="s">
        <v>266</v>
      </c>
      <c r="C24" s="164" t="s">
        <v>273</v>
      </c>
      <c r="D24" s="179" t="s">
        <v>65</v>
      </c>
      <c r="E24" s="158" t="s">
        <v>264</v>
      </c>
      <c r="F24" s="160">
        <v>20736</v>
      </c>
      <c r="G24" s="99" t="s">
        <v>196</v>
      </c>
      <c r="H24" s="24">
        <v>45444</v>
      </c>
      <c r="I24" s="181" t="s">
        <v>282</v>
      </c>
      <c r="K24" s="1"/>
      <c r="L24" s="1"/>
      <c r="M24" s="1"/>
      <c r="N24" s="3"/>
      <c r="O24" s="2"/>
      <c r="P24" s="2"/>
      <c r="Q24" s="2"/>
      <c r="R24" s="1"/>
    </row>
    <row r="25" spans="2:18" s="7" customFormat="1" ht="33" customHeight="1" x14ac:dyDescent="0.3">
      <c r="B25" s="159" t="s">
        <v>267</v>
      </c>
      <c r="C25" s="164" t="s">
        <v>272</v>
      </c>
      <c r="D25" s="173" t="s">
        <v>279</v>
      </c>
      <c r="E25" s="157" t="s">
        <v>265</v>
      </c>
      <c r="F25" s="160">
        <v>800</v>
      </c>
      <c r="G25" s="99" t="s">
        <v>196</v>
      </c>
      <c r="H25" s="24">
        <v>45444</v>
      </c>
      <c r="I25" s="172" t="s">
        <v>278</v>
      </c>
      <c r="K25" s="1"/>
      <c r="L25" s="1"/>
      <c r="M25" s="1"/>
      <c r="N25" s="3"/>
      <c r="O25" s="2"/>
      <c r="P25" s="2"/>
      <c r="Q25" s="2"/>
      <c r="R25" s="1"/>
    </row>
    <row r="26" spans="2:18" s="7" customFormat="1" ht="33" customHeight="1" x14ac:dyDescent="0.3">
      <c r="B26" s="75"/>
      <c r="C26" s="23"/>
      <c r="D26" s="23"/>
      <c r="E26" s="75"/>
      <c r="F26" s="75"/>
      <c r="G26" s="75"/>
      <c r="H26" s="23"/>
      <c r="I26" s="75"/>
      <c r="K26" s="1"/>
      <c r="L26" s="1"/>
      <c r="M26" s="1"/>
      <c r="N26" s="3"/>
      <c r="O26" s="2"/>
      <c r="P26" s="2"/>
      <c r="Q26" s="2"/>
      <c r="R26" s="1"/>
    </row>
    <row r="27" spans="2:18" s="7" customFormat="1" ht="33" customHeight="1" x14ac:dyDescent="0.3">
      <c r="B27" s="69"/>
      <c r="C27" s="69"/>
      <c r="D27" s="69"/>
      <c r="E27" s="70"/>
      <c r="F27" s="71"/>
      <c r="G27" s="36"/>
      <c r="H27" s="20"/>
      <c r="I27" s="41"/>
      <c r="K27" s="26"/>
      <c r="L27" s="26"/>
      <c r="M27" s="26"/>
      <c r="N27" s="3"/>
      <c r="O27" s="2"/>
      <c r="P27" s="1"/>
      <c r="Q27" s="1"/>
      <c r="R27" s="2"/>
    </row>
    <row r="28" spans="2:18" s="7" customFormat="1" ht="15.6" x14ac:dyDescent="0.3">
      <c r="B28" s="295" t="s">
        <v>210</v>
      </c>
      <c r="C28" s="296"/>
      <c r="D28" s="296"/>
      <c r="E28" s="297"/>
      <c r="F28" s="47">
        <f>SUM(F5:F27)</f>
        <v>336768</v>
      </c>
      <c r="G28" s="12"/>
      <c r="H28" s="12"/>
      <c r="I28" s="12"/>
      <c r="K28" s="295" t="s">
        <v>211</v>
      </c>
      <c r="L28" s="296"/>
      <c r="M28" s="296"/>
      <c r="N28" s="297"/>
      <c r="O28" s="22">
        <f>SUM(O5:O27)</f>
        <v>0</v>
      </c>
      <c r="P28" s="73"/>
      <c r="Q28" s="73"/>
    </row>
    <row r="29" spans="2:18" s="7" customFormat="1" ht="15.6" thickBot="1" x14ac:dyDescent="0.35">
      <c r="C29" s="12"/>
      <c r="D29" s="12"/>
      <c r="F29" s="48"/>
      <c r="G29" s="12"/>
      <c r="H29" s="12"/>
      <c r="I29" s="12"/>
      <c r="K29" s="12"/>
      <c r="N29" s="110"/>
      <c r="O29" s="10"/>
      <c r="P29" s="113"/>
      <c r="Q29" s="10"/>
    </row>
    <row r="30" spans="2:18" s="7" customFormat="1" ht="16.2" thickBot="1" x14ac:dyDescent="0.35">
      <c r="C30" s="12"/>
      <c r="D30" s="12"/>
      <c r="E30" s="18" t="s">
        <v>4</v>
      </c>
      <c r="F30" s="49" t="s">
        <v>59</v>
      </c>
      <c r="G30" s="12"/>
      <c r="H30" s="12"/>
      <c r="I30" s="12"/>
      <c r="K30" s="12"/>
      <c r="N30" s="110"/>
      <c r="O30" s="10"/>
      <c r="P30" s="113"/>
      <c r="Q30" s="10"/>
    </row>
    <row r="31" spans="2:18" s="7" customFormat="1" ht="15" x14ac:dyDescent="0.3">
      <c r="C31" s="277" t="s">
        <v>11</v>
      </c>
      <c r="D31" s="278"/>
      <c r="E31" s="25">
        <v>337157.91</v>
      </c>
      <c r="F31" s="50">
        <v>1</v>
      </c>
      <c r="G31" s="12"/>
      <c r="H31" s="12"/>
      <c r="I31" s="12"/>
      <c r="K31" s="12"/>
      <c r="N31" s="110"/>
      <c r="O31" s="10"/>
      <c r="P31" s="113"/>
      <c r="Q31" s="10"/>
    </row>
    <row r="32" spans="2:18" s="7" customFormat="1" ht="15" x14ac:dyDescent="0.3">
      <c r="C32" s="298" t="s">
        <v>235</v>
      </c>
      <c r="D32" s="272"/>
      <c r="E32" s="17">
        <f>F28</f>
        <v>336768</v>
      </c>
      <c r="F32" s="51">
        <f>E32/E31</f>
        <v>0.99884353892216271</v>
      </c>
      <c r="G32" s="12"/>
      <c r="H32" s="12"/>
      <c r="I32" s="12"/>
      <c r="K32" s="12"/>
      <c r="N32" s="110"/>
      <c r="O32" s="10"/>
      <c r="P32" s="113"/>
      <c r="Q32" s="10"/>
    </row>
    <row r="33" spans="3:17" s="7" customFormat="1" ht="15" x14ac:dyDescent="0.3">
      <c r="C33" s="294" t="s">
        <v>236</v>
      </c>
      <c r="D33" s="274"/>
      <c r="E33" s="17">
        <f>O28</f>
        <v>0</v>
      </c>
      <c r="F33" s="51">
        <f>E33/E31</f>
        <v>0</v>
      </c>
      <c r="G33" s="12"/>
      <c r="H33" s="12"/>
      <c r="I33" s="12"/>
      <c r="K33" s="12"/>
      <c r="N33" s="110"/>
      <c r="O33" s="10"/>
      <c r="P33" s="113"/>
      <c r="Q33" s="10"/>
    </row>
    <row r="34" spans="3:17" s="7" customFormat="1" ht="15.6" thickBot="1" x14ac:dyDescent="0.35">
      <c r="C34" s="275" t="s">
        <v>10</v>
      </c>
      <c r="D34" s="276"/>
      <c r="E34" s="11">
        <f>SUM(F28+O28)</f>
        <v>336768</v>
      </c>
      <c r="F34" s="52">
        <f>E34/E31</f>
        <v>0.99884353892216271</v>
      </c>
      <c r="G34" s="12"/>
      <c r="H34" s="12"/>
      <c r="I34" s="12"/>
      <c r="K34" s="12"/>
      <c r="N34" s="110"/>
      <c r="O34" s="10"/>
      <c r="P34" s="113"/>
      <c r="Q34" s="10"/>
    </row>
    <row r="35" spans="3:17" s="7" customFormat="1" ht="15.6" thickBot="1" x14ac:dyDescent="0.35">
      <c r="C35" s="12"/>
      <c r="D35" s="12"/>
      <c r="E35" s="12"/>
      <c r="F35" s="53"/>
      <c r="G35" s="12"/>
      <c r="H35" s="12"/>
      <c r="I35" s="12"/>
      <c r="K35" s="12"/>
      <c r="N35" s="110"/>
      <c r="O35" s="10"/>
      <c r="P35" s="113"/>
      <c r="Q35" s="10"/>
    </row>
    <row r="36" spans="3:17" s="7" customFormat="1" ht="15.6" thickBot="1" x14ac:dyDescent="0.35">
      <c r="C36" s="279" t="s">
        <v>9</v>
      </c>
      <c r="D36" s="280"/>
      <c r="E36" s="13">
        <f>E31-E34</f>
        <v>389.90999999997439</v>
      </c>
      <c r="F36" s="54">
        <f>E36/E31</f>
        <v>1.156461077837309E-3</v>
      </c>
      <c r="G36" s="12"/>
      <c r="H36" s="12"/>
      <c r="I36" s="12"/>
      <c r="K36" s="12"/>
      <c r="N36" s="110"/>
      <c r="O36" s="10"/>
      <c r="P36" s="113"/>
      <c r="Q36" s="10"/>
    </row>
    <row r="37" spans="3:17" s="7" customFormat="1" ht="15" x14ac:dyDescent="0.3">
      <c r="C37" s="12"/>
      <c r="D37" s="12"/>
      <c r="F37" s="48"/>
      <c r="G37" s="12"/>
      <c r="H37" s="12"/>
      <c r="I37" s="12"/>
      <c r="K37" s="12"/>
      <c r="N37" s="110"/>
      <c r="O37" s="10"/>
      <c r="P37" s="113"/>
      <c r="Q37" s="10"/>
    </row>
    <row r="38" spans="3:17" s="7" customFormat="1" ht="15" x14ac:dyDescent="0.3">
      <c r="C38" s="12"/>
      <c r="D38" s="12"/>
      <c r="F38" s="48"/>
      <c r="G38" s="12"/>
      <c r="H38" s="12"/>
      <c r="I38" s="12"/>
      <c r="K38" s="12"/>
      <c r="N38" s="110"/>
      <c r="O38" s="10"/>
      <c r="P38" s="113"/>
      <c r="Q38" s="10"/>
    </row>
    <row r="50" spans="3:4" x14ac:dyDescent="0.3">
      <c r="C50" s="57" t="s">
        <v>58</v>
      </c>
    </row>
    <row r="51" spans="3:4" x14ac:dyDescent="0.3">
      <c r="C51" s="57" t="s">
        <v>11</v>
      </c>
      <c r="D51" s="118">
        <f>E31</f>
        <v>337157.91</v>
      </c>
    </row>
    <row r="52" spans="3:4" x14ac:dyDescent="0.3">
      <c r="C52" s="57" t="s">
        <v>5</v>
      </c>
      <c r="D52" s="118">
        <f>F28</f>
        <v>336768</v>
      </c>
    </row>
    <row r="53" spans="3:4" x14ac:dyDescent="0.3">
      <c r="C53" s="57" t="s">
        <v>6</v>
      </c>
      <c r="D53" s="118">
        <f>O28</f>
        <v>0</v>
      </c>
    </row>
    <row r="54" spans="3:4" x14ac:dyDescent="0.3">
      <c r="C54" s="57" t="s">
        <v>9</v>
      </c>
      <c r="D54" s="118">
        <f>E36</f>
        <v>389.90999999997439</v>
      </c>
    </row>
  </sheetData>
  <mergeCells count="9">
    <mergeCell ref="C33:D33"/>
    <mergeCell ref="C34:D34"/>
    <mergeCell ref="C36:D36"/>
    <mergeCell ref="B3:I3"/>
    <mergeCell ref="K3:R3"/>
    <mergeCell ref="B28:E28"/>
    <mergeCell ref="K28:N28"/>
    <mergeCell ref="C31:D31"/>
    <mergeCell ref="C32:D32"/>
  </mergeCells>
  <phoneticPr fontId="78" type="noConversion"/>
  <printOptions horizontalCentered="1" verticalCentered="1"/>
  <pageMargins left="0" right="0" top="0" bottom="0" header="0" footer="0"/>
  <pageSetup paperSize="66" scale="43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636C-FFC7-4A5B-8631-A1DCABDD02F5}">
  <sheetPr>
    <pageSetUpPr fitToPage="1"/>
  </sheetPr>
  <dimension ref="B1:T63"/>
  <sheetViews>
    <sheetView view="pageBreakPreview" topLeftCell="A2" zoomScale="70" zoomScaleNormal="70" zoomScaleSheetLayoutView="70" workbookViewId="0">
      <selection activeCell="E6" sqref="E6"/>
    </sheetView>
  </sheetViews>
  <sheetFormatPr defaultColWidth="8.88671875" defaultRowHeight="13.8" x14ac:dyDescent="0.3"/>
  <cols>
    <col min="1" max="1" width="8.88671875" style="8"/>
    <col min="2" max="2" width="15.109375" style="8" customWidth="1"/>
    <col min="3" max="3" width="31.5546875" style="57" bestFit="1" customWidth="1"/>
    <col min="4" max="4" width="16.77734375" style="57" bestFit="1" customWidth="1"/>
    <col min="5" max="5" width="50.88671875" style="8" customWidth="1"/>
    <col min="6" max="6" width="17.33203125" style="42" bestFit="1" customWidth="1"/>
    <col min="7" max="7" width="29.33203125" style="57" customWidth="1"/>
    <col min="8" max="8" width="12.109375" style="57" customWidth="1"/>
    <col min="9" max="9" width="53" style="57" bestFit="1" customWidth="1"/>
    <col min="10" max="10" width="8.88671875" style="8"/>
    <col min="11" max="11" width="21.109375" style="57" customWidth="1"/>
    <col min="12" max="13" width="21.109375" style="8" customWidth="1"/>
    <col min="14" max="14" width="52.44140625" style="109" bestFit="1" customWidth="1"/>
    <col min="15" max="15" width="26.33203125" style="14" customWidth="1"/>
    <col min="16" max="16" width="36" style="112" customWidth="1"/>
    <col min="17" max="17" width="31.5546875" style="14" customWidth="1"/>
    <col min="18" max="18" width="31.21875" style="8" bestFit="1" customWidth="1"/>
    <col min="19" max="19" width="9.5546875" style="8" customWidth="1"/>
    <col min="20" max="20" width="16" style="8" bestFit="1" customWidth="1"/>
    <col min="21" max="16384" width="8.88671875" style="8"/>
  </cols>
  <sheetData>
    <row r="1" spans="2:20" ht="73.95" customHeight="1" x14ac:dyDescent="0.3">
      <c r="G1" s="56"/>
    </row>
    <row r="3" spans="2:20" ht="22.8" x14ac:dyDescent="0.3">
      <c r="B3" s="286" t="s">
        <v>235</v>
      </c>
      <c r="C3" s="286"/>
      <c r="D3" s="286"/>
      <c r="E3" s="286"/>
      <c r="F3" s="286"/>
      <c r="G3" s="286"/>
      <c r="H3" s="286"/>
      <c r="I3" s="286"/>
      <c r="K3" s="286" t="s">
        <v>134</v>
      </c>
      <c r="L3" s="286"/>
      <c r="M3" s="286"/>
      <c r="N3" s="286"/>
      <c r="O3" s="286"/>
      <c r="P3" s="286"/>
      <c r="Q3" s="286"/>
      <c r="R3" s="286"/>
    </row>
    <row r="4" spans="2:20" s="7" customFormat="1" ht="15.6" x14ac:dyDescent="0.3">
      <c r="B4" s="5" t="s">
        <v>13</v>
      </c>
      <c r="C4" s="5" t="s">
        <v>0</v>
      </c>
      <c r="D4" s="5" t="s">
        <v>33</v>
      </c>
      <c r="E4" s="5" t="s">
        <v>3</v>
      </c>
      <c r="F4" s="43" t="s">
        <v>4</v>
      </c>
      <c r="G4" s="9" t="s">
        <v>1</v>
      </c>
      <c r="H4" s="5" t="s">
        <v>31</v>
      </c>
      <c r="I4" s="5" t="s">
        <v>32</v>
      </c>
      <c r="K4" s="141" t="s">
        <v>13</v>
      </c>
      <c r="L4" s="141" t="s">
        <v>0</v>
      </c>
      <c r="M4" s="141" t="s">
        <v>33</v>
      </c>
      <c r="N4" s="142" t="s">
        <v>3</v>
      </c>
      <c r="O4" s="143" t="s">
        <v>4</v>
      </c>
      <c r="P4" s="144" t="s">
        <v>1</v>
      </c>
      <c r="R4" s="141" t="s">
        <v>32</v>
      </c>
    </row>
    <row r="5" spans="2:20" s="7" customFormat="1" ht="45" x14ac:dyDescent="0.3">
      <c r="B5" s="174" t="s">
        <v>227</v>
      </c>
      <c r="C5" s="175" t="s">
        <v>228</v>
      </c>
      <c r="D5" s="203" t="s">
        <v>309</v>
      </c>
      <c r="E5" s="176" t="s">
        <v>221</v>
      </c>
      <c r="F5" s="71">
        <v>118241.77</v>
      </c>
      <c r="G5" s="99" t="s">
        <v>196</v>
      </c>
      <c r="H5" s="89">
        <v>45597</v>
      </c>
      <c r="I5" s="124" t="s">
        <v>317</v>
      </c>
      <c r="K5" s="214"/>
      <c r="L5" s="38"/>
      <c r="M5" s="104"/>
      <c r="N5" s="186"/>
      <c r="O5" s="131"/>
      <c r="P5" s="193"/>
      <c r="Q5" s="24"/>
      <c r="R5" s="195"/>
      <c r="T5" s="10"/>
    </row>
    <row r="6" spans="2:20" s="7" customFormat="1" ht="30" x14ac:dyDescent="0.3">
      <c r="B6" s="180" t="s">
        <v>281</v>
      </c>
      <c r="C6" s="38" t="s">
        <v>284</v>
      </c>
      <c r="D6" s="184" t="s">
        <v>286</v>
      </c>
      <c r="E6" s="179" t="s">
        <v>280</v>
      </c>
      <c r="F6" s="44">
        <v>800</v>
      </c>
      <c r="G6" s="99" t="s">
        <v>196</v>
      </c>
      <c r="H6" s="89">
        <v>45474</v>
      </c>
      <c r="I6" s="213" t="s">
        <v>318</v>
      </c>
      <c r="K6" s="219"/>
      <c r="L6" s="223"/>
      <c r="M6" s="75"/>
      <c r="N6" s="220"/>
      <c r="O6" s="131"/>
      <c r="P6" s="193"/>
      <c r="Q6" s="133"/>
      <c r="R6" s="191"/>
      <c r="T6" s="58"/>
    </row>
    <row r="7" spans="2:20" s="7" customFormat="1" ht="30" x14ac:dyDescent="0.3">
      <c r="B7" s="188" t="s">
        <v>289</v>
      </c>
      <c r="C7" s="38" t="s">
        <v>290</v>
      </c>
      <c r="D7" s="114" t="s">
        <v>292</v>
      </c>
      <c r="E7" s="187" t="s">
        <v>293</v>
      </c>
      <c r="F7" s="44">
        <v>47419.64</v>
      </c>
      <c r="G7" s="99" t="s">
        <v>196</v>
      </c>
      <c r="H7" s="89">
        <v>45536</v>
      </c>
      <c r="I7" s="239" t="s">
        <v>319</v>
      </c>
      <c r="K7" s="23"/>
      <c r="L7" s="23"/>
      <c r="M7" s="23"/>
      <c r="N7" s="191"/>
      <c r="O7" s="131"/>
      <c r="P7" s="193"/>
      <c r="Q7" s="133"/>
      <c r="R7" s="191"/>
    </row>
    <row r="8" spans="2:20" s="7" customFormat="1" ht="30" x14ac:dyDescent="0.3">
      <c r="B8" s="185" t="s">
        <v>287</v>
      </c>
      <c r="C8" s="38" t="s">
        <v>291</v>
      </c>
      <c r="D8" s="194" t="s">
        <v>299</v>
      </c>
      <c r="E8" s="186" t="s">
        <v>288</v>
      </c>
      <c r="F8" s="44">
        <v>1209</v>
      </c>
      <c r="G8" s="99" t="s">
        <v>196</v>
      </c>
      <c r="H8" s="89">
        <v>45536</v>
      </c>
      <c r="I8" s="213" t="s">
        <v>320</v>
      </c>
      <c r="K8" s="23"/>
      <c r="L8" s="23"/>
      <c r="M8" s="23"/>
      <c r="N8" s="196"/>
      <c r="O8" s="131"/>
      <c r="P8" s="193"/>
      <c r="Q8" s="133"/>
      <c r="R8" s="195"/>
    </row>
    <row r="9" spans="2:20" s="7" customFormat="1" ht="30" x14ac:dyDescent="0.3">
      <c r="B9" s="188" t="s">
        <v>294</v>
      </c>
      <c r="C9" s="38" t="s">
        <v>300</v>
      </c>
      <c r="D9" s="226" t="s">
        <v>340</v>
      </c>
      <c r="E9" s="190" t="s">
        <v>295</v>
      </c>
      <c r="F9" s="44">
        <v>8400.5</v>
      </c>
      <c r="G9" s="99" t="s">
        <v>196</v>
      </c>
      <c r="H9" s="20">
        <v>45748</v>
      </c>
      <c r="I9" s="227" t="s">
        <v>345</v>
      </c>
      <c r="K9" s="126"/>
      <c r="L9" s="121"/>
      <c r="M9" s="23"/>
      <c r="N9" s="192" t="s">
        <v>298</v>
      </c>
      <c r="O9" s="131"/>
      <c r="P9" s="131"/>
      <c r="Q9" s="133"/>
      <c r="R9" s="136"/>
    </row>
    <row r="10" spans="2:20" s="7" customFormat="1" ht="30" x14ac:dyDescent="0.3">
      <c r="B10" s="198" t="s">
        <v>303</v>
      </c>
      <c r="C10" s="38" t="s">
        <v>304</v>
      </c>
      <c r="D10" s="200" t="s">
        <v>306</v>
      </c>
      <c r="E10" s="199" t="s">
        <v>301</v>
      </c>
      <c r="F10" s="44">
        <v>112440</v>
      </c>
      <c r="G10" s="99" t="s">
        <v>196</v>
      </c>
      <c r="H10" s="89">
        <v>45566</v>
      </c>
      <c r="I10" s="227" t="s">
        <v>321</v>
      </c>
      <c r="K10" s="126"/>
      <c r="L10" s="121"/>
      <c r="M10" s="23"/>
      <c r="N10" s="183" t="s">
        <v>285</v>
      </c>
      <c r="O10" s="131"/>
      <c r="P10" s="131"/>
      <c r="Q10" s="20"/>
      <c r="R10" s="136"/>
    </row>
    <row r="11" spans="2:20" s="7" customFormat="1" ht="45" x14ac:dyDescent="0.3">
      <c r="B11" s="198" t="s">
        <v>302</v>
      </c>
      <c r="C11" s="38" t="s">
        <v>305</v>
      </c>
      <c r="D11" s="203" t="s">
        <v>310</v>
      </c>
      <c r="E11" s="191" t="s">
        <v>297</v>
      </c>
      <c r="F11" s="131">
        <v>20600</v>
      </c>
      <c r="G11" s="99" t="s">
        <v>196</v>
      </c>
      <c r="H11" s="89">
        <v>45597</v>
      </c>
      <c r="I11" s="124" t="s">
        <v>316</v>
      </c>
      <c r="K11" s="1"/>
      <c r="L11" s="4"/>
      <c r="M11" s="4"/>
      <c r="N11" s="140" t="s">
        <v>296</v>
      </c>
      <c r="O11" s="131"/>
      <c r="P11" s="131"/>
      <c r="Q11" s="133"/>
      <c r="R11" s="136"/>
    </row>
    <row r="12" spans="2:20" s="7" customFormat="1" ht="30" x14ac:dyDescent="0.3">
      <c r="B12" s="201" t="s">
        <v>307</v>
      </c>
      <c r="C12" s="38" t="s">
        <v>312</v>
      </c>
      <c r="D12" s="224" t="s">
        <v>338</v>
      </c>
      <c r="E12" s="202" t="s">
        <v>308</v>
      </c>
      <c r="F12" s="44">
        <v>4654.53</v>
      </c>
      <c r="G12" s="99" t="s">
        <v>196</v>
      </c>
      <c r="H12" s="24">
        <v>45717</v>
      </c>
      <c r="I12" s="225" t="s">
        <v>339</v>
      </c>
      <c r="K12" s="1"/>
      <c r="L12" s="4"/>
      <c r="M12" s="4"/>
      <c r="N12" s="21"/>
      <c r="O12" s="2"/>
      <c r="P12" s="2"/>
      <c r="Q12" s="2"/>
      <c r="R12" s="1"/>
    </row>
    <row r="13" spans="2:20" s="7" customFormat="1" ht="45" x14ac:dyDescent="0.3">
      <c r="B13" s="211" t="s">
        <v>314</v>
      </c>
      <c r="C13" s="38" t="s">
        <v>323</v>
      </c>
      <c r="D13" s="222" t="s">
        <v>334</v>
      </c>
      <c r="E13" s="212" t="s">
        <v>315</v>
      </c>
      <c r="F13" s="44">
        <v>3712</v>
      </c>
      <c r="G13" s="99" t="s">
        <v>196</v>
      </c>
      <c r="H13" s="24">
        <v>45717</v>
      </c>
      <c r="I13" s="221" t="s">
        <v>335</v>
      </c>
      <c r="K13" s="1"/>
      <c r="L13" s="4"/>
      <c r="M13" s="4"/>
      <c r="N13" s="21"/>
      <c r="O13" s="2"/>
      <c r="P13" s="2"/>
      <c r="Q13" s="2"/>
      <c r="R13" s="1"/>
    </row>
    <row r="14" spans="2:20" s="7" customFormat="1" ht="45" x14ac:dyDescent="0.3">
      <c r="B14" s="215" t="s">
        <v>324</v>
      </c>
      <c r="C14" s="38" t="s">
        <v>326</v>
      </c>
      <c r="D14" s="226" t="s">
        <v>342</v>
      </c>
      <c r="E14" s="216" t="s">
        <v>325</v>
      </c>
      <c r="F14" s="131">
        <v>5295</v>
      </c>
      <c r="G14" s="99" t="s">
        <v>196</v>
      </c>
      <c r="H14" s="24">
        <v>45748</v>
      </c>
      <c r="I14" s="68" t="s">
        <v>344</v>
      </c>
      <c r="K14" s="1"/>
      <c r="L14" s="4"/>
      <c r="M14" s="4"/>
      <c r="N14" s="21"/>
      <c r="O14" s="2"/>
      <c r="P14" s="2"/>
      <c r="Q14" s="2"/>
      <c r="R14" s="1"/>
    </row>
    <row r="15" spans="2:20" s="7" customFormat="1" ht="45" x14ac:dyDescent="0.3">
      <c r="B15" s="218" t="s">
        <v>327</v>
      </c>
      <c r="C15" s="38" t="s">
        <v>329</v>
      </c>
      <c r="D15" s="226" t="s">
        <v>341</v>
      </c>
      <c r="E15" s="217" t="s">
        <v>328</v>
      </c>
      <c r="F15" s="131">
        <v>1087.98</v>
      </c>
      <c r="G15" s="99" t="s">
        <v>196</v>
      </c>
      <c r="H15" s="24">
        <v>45748</v>
      </c>
      <c r="I15" s="68" t="s">
        <v>343</v>
      </c>
      <c r="K15" s="1"/>
      <c r="L15" s="4"/>
      <c r="M15" s="4"/>
      <c r="N15" s="21"/>
      <c r="O15" s="2"/>
      <c r="P15" s="2"/>
      <c r="Q15" s="2"/>
      <c r="R15" s="1"/>
    </row>
    <row r="16" spans="2:20" s="7" customFormat="1" ht="105" x14ac:dyDescent="0.3">
      <c r="B16" s="219" t="s">
        <v>332</v>
      </c>
      <c r="C16" s="38" t="s">
        <v>336</v>
      </c>
      <c r="D16" s="234" t="s">
        <v>352</v>
      </c>
      <c r="E16" s="220" t="s">
        <v>333</v>
      </c>
      <c r="F16" s="131">
        <v>0</v>
      </c>
      <c r="G16" s="232" t="s">
        <v>349</v>
      </c>
      <c r="H16" s="235" t="s">
        <v>352</v>
      </c>
      <c r="I16" s="240" t="s">
        <v>364</v>
      </c>
      <c r="K16" s="1"/>
      <c r="L16" s="4"/>
      <c r="M16" s="4"/>
      <c r="N16" s="21"/>
      <c r="O16" s="2"/>
      <c r="P16" s="2"/>
      <c r="Q16" s="2"/>
      <c r="R16" s="1"/>
    </row>
    <row r="17" spans="2:18" s="7" customFormat="1" ht="30" x14ac:dyDescent="0.3">
      <c r="B17" s="214" t="s">
        <v>322</v>
      </c>
      <c r="C17" s="38" t="s">
        <v>337</v>
      </c>
      <c r="D17" s="233" t="s">
        <v>351</v>
      </c>
      <c r="E17" s="231" t="s">
        <v>288</v>
      </c>
      <c r="F17" s="131">
        <v>1950</v>
      </c>
      <c r="G17" s="99" t="s">
        <v>196</v>
      </c>
      <c r="H17" s="24">
        <v>45778</v>
      </c>
      <c r="I17" s="68" t="s">
        <v>353</v>
      </c>
      <c r="K17" s="1"/>
      <c r="L17" s="4"/>
      <c r="M17" s="4"/>
      <c r="N17" s="21"/>
      <c r="O17" s="2"/>
      <c r="P17" s="2"/>
      <c r="Q17" s="2"/>
      <c r="R17" s="1"/>
    </row>
    <row r="18" spans="2:18" s="7" customFormat="1" ht="45" x14ac:dyDescent="0.3">
      <c r="B18" s="228" t="s">
        <v>346</v>
      </c>
      <c r="C18" s="229" t="s">
        <v>347</v>
      </c>
      <c r="D18" s="233" t="s">
        <v>350</v>
      </c>
      <c r="E18" s="230" t="s">
        <v>348</v>
      </c>
      <c r="F18" s="44">
        <v>5200</v>
      </c>
      <c r="G18" s="99" t="s">
        <v>196</v>
      </c>
      <c r="H18" s="24">
        <v>45778</v>
      </c>
      <c r="I18" s="68" t="s">
        <v>354</v>
      </c>
      <c r="K18" s="1"/>
      <c r="L18" s="4"/>
      <c r="M18" s="4"/>
      <c r="N18" s="21"/>
      <c r="O18" s="2"/>
      <c r="P18" s="2"/>
      <c r="Q18" s="2"/>
      <c r="R18" s="1"/>
    </row>
    <row r="19" spans="2:18" s="7" customFormat="1" ht="45" x14ac:dyDescent="0.3">
      <c r="B19" s="236" t="s">
        <v>355</v>
      </c>
      <c r="C19" s="38" t="s">
        <v>356</v>
      </c>
      <c r="D19" s="237" t="s">
        <v>314</v>
      </c>
      <c r="E19" s="238" t="s">
        <v>357</v>
      </c>
      <c r="F19" s="131">
        <v>6068.25</v>
      </c>
      <c r="G19" s="99" t="s">
        <v>196</v>
      </c>
      <c r="H19" s="24">
        <v>45809</v>
      </c>
      <c r="I19" s="68" t="s">
        <v>358</v>
      </c>
      <c r="K19" s="1"/>
      <c r="L19" s="4"/>
      <c r="M19" s="4"/>
      <c r="N19" s="21"/>
      <c r="O19" s="2"/>
      <c r="P19" s="2"/>
      <c r="Q19" s="2"/>
      <c r="R19" s="1"/>
    </row>
    <row r="20" spans="2:18" s="7" customFormat="1" ht="15" x14ac:dyDescent="0.3">
      <c r="B20" s="154"/>
      <c r="C20" s="154"/>
      <c r="D20" s="165"/>
      <c r="E20" s="154"/>
      <c r="F20" s="44"/>
      <c r="G20" s="177"/>
      <c r="H20" s="24"/>
      <c r="I20" s="170"/>
      <c r="K20" s="1"/>
      <c r="L20" s="4"/>
      <c r="M20" s="4"/>
      <c r="N20" s="21"/>
      <c r="O20" s="2"/>
      <c r="P20" s="2"/>
      <c r="Q20" s="2"/>
      <c r="R20" s="1"/>
    </row>
    <row r="21" spans="2:18" s="7" customFormat="1" ht="15" x14ac:dyDescent="0.3">
      <c r="B21" s="155"/>
      <c r="C21" s="148"/>
      <c r="D21" s="163"/>
      <c r="E21" s="138"/>
      <c r="F21" s="44"/>
      <c r="G21" s="177"/>
      <c r="H21" s="24"/>
      <c r="I21" s="167"/>
      <c r="K21" s="1"/>
      <c r="L21" s="1"/>
      <c r="M21" s="1"/>
      <c r="N21" s="3"/>
      <c r="O21" s="2"/>
      <c r="P21" s="2"/>
      <c r="Q21" s="2"/>
      <c r="R21" s="1"/>
    </row>
    <row r="22" spans="2:18" s="7" customFormat="1" ht="15" x14ac:dyDescent="0.3">
      <c r="B22" s="150"/>
      <c r="C22" s="150"/>
      <c r="D22" s="166"/>
      <c r="E22" s="151"/>
      <c r="F22" s="44"/>
      <c r="G22" s="177"/>
      <c r="H22" s="24"/>
      <c r="I22" s="171"/>
      <c r="K22" s="1"/>
      <c r="L22" s="1"/>
      <c r="M22" s="1"/>
      <c r="N22" s="3"/>
      <c r="O22" s="2"/>
      <c r="P22" s="2"/>
      <c r="Q22" s="2"/>
      <c r="R22" s="1"/>
    </row>
    <row r="23" spans="2:18" s="7" customFormat="1" ht="15" x14ac:dyDescent="0.3">
      <c r="B23" s="158"/>
      <c r="C23" s="164"/>
      <c r="D23" s="159"/>
      <c r="E23" s="158"/>
      <c r="F23" s="44"/>
      <c r="G23" s="178"/>
      <c r="H23" s="75"/>
      <c r="I23" s="153"/>
      <c r="K23" s="1"/>
      <c r="L23" s="1"/>
      <c r="M23" s="1"/>
      <c r="N23" s="3"/>
      <c r="O23" s="2"/>
      <c r="P23" s="2"/>
      <c r="Q23" s="2"/>
      <c r="R23" s="1"/>
    </row>
    <row r="24" spans="2:18" s="7" customFormat="1" ht="15" x14ac:dyDescent="0.3">
      <c r="B24" s="159"/>
      <c r="C24" s="164"/>
      <c r="D24" s="173"/>
      <c r="E24" s="157"/>
      <c r="F24" s="44"/>
      <c r="G24" s="177"/>
      <c r="H24" s="24"/>
      <c r="I24" s="172"/>
      <c r="K24" s="1"/>
      <c r="L24" s="1"/>
      <c r="M24" s="1"/>
      <c r="N24" s="3"/>
      <c r="O24" s="2"/>
      <c r="P24" s="2"/>
      <c r="Q24" s="2"/>
      <c r="R24" s="1"/>
    </row>
    <row r="25" spans="2:18" s="7" customFormat="1" ht="15" x14ac:dyDescent="0.3">
      <c r="B25" s="75"/>
      <c r="C25" s="23"/>
      <c r="D25" s="23"/>
      <c r="E25" s="75"/>
      <c r="F25" s="44"/>
      <c r="G25" s="85"/>
      <c r="H25" s="23"/>
      <c r="I25" s="75"/>
      <c r="K25" s="1"/>
      <c r="L25" s="1"/>
      <c r="M25" s="1"/>
      <c r="N25" s="3"/>
      <c r="O25" s="2"/>
      <c r="P25" s="2"/>
      <c r="Q25" s="2"/>
      <c r="R25" s="1"/>
    </row>
    <row r="26" spans="2:18" s="7" customFormat="1" ht="15" x14ac:dyDescent="0.3">
      <c r="B26" s="55"/>
      <c r="C26" s="1"/>
      <c r="D26" s="36"/>
      <c r="E26" s="29"/>
      <c r="F26" s="44"/>
      <c r="G26" s="36"/>
      <c r="H26" s="74"/>
      <c r="I26" s="41"/>
      <c r="K26" s="1"/>
      <c r="L26" s="1"/>
      <c r="M26" s="1"/>
      <c r="N26" s="3"/>
      <c r="O26" s="2"/>
      <c r="P26" s="2"/>
      <c r="Q26" s="2"/>
      <c r="R26" s="1"/>
    </row>
    <row r="27" spans="2:18" s="7" customFormat="1" ht="15" x14ac:dyDescent="0.3">
      <c r="B27" s="1"/>
      <c r="C27" s="38"/>
      <c r="D27" s="59"/>
      <c r="E27" s="31"/>
      <c r="F27" s="44"/>
      <c r="G27" s="36"/>
      <c r="H27" s="74"/>
      <c r="I27" s="41"/>
      <c r="K27" s="1"/>
      <c r="L27" s="1"/>
      <c r="M27" s="1"/>
      <c r="N27" s="3"/>
      <c r="O27" s="2"/>
      <c r="P27" s="2"/>
      <c r="Q27" s="2"/>
      <c r="R27" s="1"/>
    </row>
    <row r="28" spans="2:18" s="7" customFormat="1" ht="15" x14ac:dyDescent="0.3">
      <c r="B28" s="1"/>
      <c r="C28" s="38"/>
      <c r="D28" s="36"/>
      <c r="E28" s="29"/>
      <c r="F28" s="44"/>
      <c r="G28" s="36"/>
      <c r="H28" s="74"/>
      <c r="I28" s="41"/>
      <c r="K28" s="26"/>
      <c r="L28" s="26"/>
      <c r="M28" s="26"/>
      <c r="N28" s="3"/>
      <c r="O28" s="2"/>
      <c r="P28" s="1"/>
      <c r="Q28" s="1"/>
      <c r="R28" s="2"/>
    </row>
    <row r="29" spans="2:18" s="7" customFormat="1" ht="15" x14ac:dyDescent="0.3">
      <c r="B29" s="1"/>
      <c r="C29" s="38"/>
      <c r="D29" s="59"/>
      <c r="E29" s="29"/>
      <c r="F29" s="44"/>
      <c r="G29" s="36"/>
      <c r="H29" s="74"/>
      <c r="I29" s="41"/>
      <c r="K29" s="26"/>
      <c r="L29" s="26"/>
      <c r="M29" s="26"/>
      <c r="N29" s="3"/>
      <c r="O29" s="2"/>
      <c r="P29" s="1"/>
      <c r="Q29" s="1"/>
      <c r="R29" s="2"/>
    </row>
    <row r="30" spans="2:18" s="7" customFormat="1" ht="15" x14ac:dyDescent="0.3">
      <c r="B30" s="60"/>
      <c r="C30" s="61"/>
      <c r="D30" s="60"/>
      <c r="E30" s="30"/>
      <c r="F30" s="44"/>
      <c r="G30" s="60"/>
      <c r="H30" s="76"/>
      <c r="I30" s="77"/>
      <c r="K30" s="26"/>
      <c r="L30" s="26"/>
      <c r="M30" s="26"/>
      <c r="N30" s="3"/>
      <c r="O30" s="2"/>
      <c r="P30" s="1"/>
      <c r="Q30" s="1"/>
      <c r="R30" s="2"/>
    </row>
    <row r="31" spans="2:18" s="7" customFormat="1" ht="15" x14ac:dyDescent="0.3">
      <c r="B31" s="75"/>
      <c r="C31" s="23"/>
      <c r="D31" s="23"/>
      <c r="E31" s="75"/>
      <c r="F31" s="44"/>
      <c r="G31" s="75"/>
      <c r="H31" s="23"/>
      <c r="I31" s="75"/>
      <c r="K31" s="26"/>
      <c r="L31" s="26"/>
      <c r="M31" s="26"/>
      <c r="N31" s="3"/>
      <c r="O31" s="2"/>
      <c r="P31" s="1"/>
      <c r="Q31" s="1"/>
      <c r="R31" s="2"/>
    </row>
    <row r="32" spans="2:18" s="7" customFormat="1" ht="15" x14ac:dyDescent="0.3">
      <c r="B32" s="78"/>
      <c r="C32" s="79"/>
      <c r="D32" s="80"/>
      <c r="E32" s="37"/>
      <c r="F32" s="44"/>
      <c r="G32" s="78"/>
      <c r="H32" s="82"/>
      <c r="I32" s="83"/>
      <c r="K32" s="26"/>
      <c r="L32" s="26"/>
      <c r="M32" s="26"/>
      <c r="N32" s="3"/>
      <c r="O32" s="2"/>
      <c r="P32" s="1"/>
      <c r="Q32" s="1"/>
      <c r="R32" s="2"/>
    </row>
    <row r="33" spans="2:18" s="7" customFormat="1" ht="15" x14ac:dyDescent="0.3">
      <c r="B33" s="59"/>
      <c r="C33" s="38"/>
      <c r="D33" s="38"/>
      <c r="E33" s="63"/>
      <c r="F33" s="44"/>
      <c r="G33" s="36"/>
      <c r="H33" s="74"/>
      <c r="I33" s="67"/>
      <c r="K33" s="26"/>
      <c r="L33" s="26"/>
      <c r="M33" s="26"/>
      <c r="N33" s="3"/>
      <c r="O33" s="2"/>
      <c r="P33" s="1"/>
      <c r="Q33" s="1"/>
      <c r="R33" s="2"/>
    </row>
    <row r="34" spans="2:18" s="7" customFormat="1" ht="15" x14ac:dyDescent="0.3">
      <c r="B34" s="59"/>
      <c r="C34" s="38"/>
      <c r="D34" s="38"/>
      <c r="E34" s="63"/>
      <c r="F34" s="44"/>
      <c r="G34" s="36"/>
      <c r="H34" s="74"/>
      <c r="I34" s="67"/>
      <c r="K34" s="26"/>
      <c r="L34" s="26"/>
      <c r="M34" s="26"/>
      <c r="N34" s="3"/>
      <c r="O34" s="2"/>
      <c r="P34" s="1"/>
      <c r="Q34" s="1"/>
      <c r="R34" s="2"/>
    </row>
    <row r="35" spans="2:18" s="7" customFormat="1" ht="15" x14ac:dyDescent="0.3">
      <c r="B35" s="36"/>
      <c r="C35" s="36"/>
      <c r="D35" s="36"/>
      <c r="E35" s="34"/>
      <c r="F35" s="44"/>
      <c r="G35" s="36"/>
      <c r="H35" s="74"/>
      <c r="I35" s="41"/>
      <c r="K35" s="26"/>
      <c r="L35" s="26"/>
      <c r="M35" s="26"/>
      <c r="N35" s="3"/>
      <c r="O35" s="2"/>
      <c r="P35" s="1"/>
      <c r="Q35" s="1"/>
      <c r="R35" s="2"/>
    </row>
    <row r="36" spans="2:18" s="7" customFormat="1" ht="15" x14ac:dyDescent="0.3">
      <c r="B36" s="69"/>
      <c r="C36" s="69"/>
      <c r="D36" s="69"/>
      <c r="E36" s="70"/>
      <c r="F36" s="44"/>
      <c r="G36" s="36"/>
      <c r="H36" s="20"/>
      <c r="I36" s="41"/>
      <c r="K36" s="26"/>
      <c r="L36" s="26"/>
      <c r="M36" s="26"/>
      <c r="N36" s="3"/>
      <c r="O36" s="2"/>
      <c r="P36" s="1"/>
      <c r="Q36" s="1"/>
      <c r="R36" s="2"/>
    </row>
    <row r="37" spans="2:18" s="7" customFormat="1" ht="15.6" x14ac:dyDescent="0.3">
      <c r="B37" s="295" t="s">
        <v>210</v>
      </c>
      <c r="C37" s="296"/>
      <c r="D37" s="296"/>
      <c r="E37" s="297"/>
      <c r="F37" s="47">
        <f>SUM(F5:F36)</f>
        <v>337078.67000000004</v>
      </c>
      <c r="G37" s="12"/>
      <c r="H37" s="12"/>
      <c r="I37" s="12"/>
      <c r="K37" s="295" t="s">
        <v>211</v>
      </c>
      <c r="L37" s="296"/>
      <c r="M37" s="296"/>
      <c r="N37" s="297"/>
      <c r="O37" s="22">
        <f>SUM(O5:O36)</f>
        <v>0</v>
      </c>
      <c r="P37" s="197"/>
      <c r="Q37" s="197"/>
      <c r="R37" s="197"/>
    </row>
    <row r="38" spans="2:18" s="7" customFormat="1" ht="15.6" thickBot="1" x14ac:dyDescent="0.35">
      <c r="C38" s="12"/>
      <c r="D38" s="12"/>
      <c r="F38" s="48"/>
      <c r="G38" s="12"/>
      <c r="H38" s="12"/>
      <c r="I38" s="12"/>
      <c r="K38" s="12"/>
      <c r="N38" s="110"/>
      <c r="O38" s="10"/>
      <c r="P38" s="113"/>
      <c r="Q38" s="10"/>
    </row>
    <row r="39" spans="2:18" s="7" customFormat="1" ht="16.2" thickBot="1" x14ac:dyDescent="0.35">
      <c r="C39" s="12"/>
      <c r="D39" s="12"/>
      <c r="E39" s="18" t="s">
        <v>4</v>
      </c>
      <c r="F39" s="49" t="s">
        <v>59</v>
      </c>
      <c r="G39" s="12"/>
      <c r="H39" s="12"/>
      <c r="I39" s="12"/>
      <c r="K39" s="12"/>
      <c r="N39" s="110"/>
      <c r="O39" s="10"/>
      <c r="P39" s="113"/>
      <c r="Q39" s="10"/>
    </row>
    <row r="40" spans="2:18" s="7" customFormat="1" ht="15" x14ac:dyDescent="0.3">
      <c r="C40" s="277" t="s">
        <v>11</v>
      </c>
      <c r="D40" s="278"/>
      <c r="E40" s="25">
        <v>337157.91</v>
      </c>
      <c r="F40" s="50">
        <v>1</v>
      </c>
      <c r="G40" s="12"/>
      <c r="H40" s="12"/>
      <c r="I40" s="12"/>
      <c r="K40" s="12"/>
      <c r="N40" s="110"/>
      <c r="O40" s="10"/>
      <c r="P40" s="113"/>
      <c r="Q40" s="10"/>
    </row>
    <row r="41" spans="2:18" s="7" customFormat="1" ht="15" x14ac:dyDescent="0.3">
      <c r="C41" s="300" t="s">
        <v>330</v>
      </c>
      <c r="D41" s="272"/>
      <c r="E41" s="17">
        <f>F37</f>
        <v>337078.67000000004</v>
      </c>
      <c r="F41" s="51">
        <f>E41/E40</f>
        <v>0.99976497659509178</v>
      </c>
      <c r="G41" s="12"/>
      <c r="H41" s="12"/>
      <c r="I41" s="12"/>
      <c r="K41" s="12"/>
      <c r="N41" s="110"/>
      <c r="O41" s="10"/>
      <c r="P41" s="113"/>
      <c r="Q41" s="10"/>
    </row>
    <row r="42" spans="2:18" s="7" customFormat="1" ht="15" x14ac:dyDescent="0.3">
      <c r="C42" s="299" t="s">
        <v>331</v>
      </c>
      <c r="D42" s="274"/>
      <c r="E42" s="17">
        <f>O37</f>
        <v>0</v>
      </c>
      <c r="F42" s="51">
        <f>E42/E40</f>
        <v>0</v>
      </c>
      <c r="G42" s="12"/>
      <c r="H42" s="12"/>
      <c r="I42" s="12"/>
      <c r="K42" s="12"/>
      <c r="N42" s="110"/>
      <c r="O42" s="10"/>
      <c r="P42" s="113"/>
      <c r="Q42" s="10"/>
    </row>
    <row r="43" spans="2:18" s="7" customFormat="1" ht="15.6" thickBot="1" x14ac:dyDescent="0.35">
      <c r="C43" s="275" t="s">
        <v>10</v>
      </c>
      <c r="D43" s="276"/>
      <c r="E43" s="11">
        <f>SUM(F37+O37)</f>
        <v>337078.67000000004</v>
      </c>
      <c r="F43" s="52">
        <f>E43/E40</f>
        <v>0.99976497659509178</v>
      </c>
      <c r="G43" s="12"/>
      <c r="H43" s="12"/>
      <c r="I43" s="12"/>
      <c r="K43" s="12"/>
      <c r="N43" s="110"/>
      <c r="O43" s="10"/>
      <c r="P43" s="113"/>
      <c r="Q43" s="10"/>
    </row>
    <row r="44" spans="2:18" s="7" customFormat="1" ht="15.6" thickBot="1" x14ac:dyDescent="0.35">
      <c r="C44" s="12"/>
      <c r="D44" s="12"/>
      <c r="E44" s="12"/>
      <c r="F44" s="53"/>
      <c r="G44" s="12"/>
      <c r="H44" s="12"/>
      <c r="I44" s="12"/>
      <c r="K44" s="12"/>
      <c r="N44" s="110"/>
      <c r="O44" s="10"/>
      <c r="P44" s="113"/>
      <c r="Q44" s="10"/>
    </row>
    <row r="45" spans="2:18" s="7" customFormat="1" ht="15.6" thickBot="1" x14ac:dyDescent="0.35">
      <c r="C45" s="279" t="s">
        <v>9</v>
      </c>
      <c r="D45" s="280"/>
      <c r="E45" s="13">
        <f>E40-E43</f>
        <v>79.239999999932479</v>
      </c>
      <c r="F45" s="54">
        <f>E45/E40</f>
        <v>2.350234049082001E-4</v>
      </c>
      <c r="G45" s="12"/>
      <c r="H45" s="12"/>
      <c r="I45" s="12"/>
      <c r="K45" s="12"/>
      <c r="N45" s="110"/>
      <c r="O45" s="10"/>
      <c r="P45" s="113"/>
      <c r="Q45" s="10"/>
    </row>
    <row r="46" spans="2:18" s="7" customFormat="1" ht="15" x14ac:dyDescent="0.3">
      <c r="C46" s="12"/>
      <c r="D46" s="12"/>
      <c r="F46" s="48"/>
      <c r="G46" s="12"/>
      <c r="H46" s="12"/>
      <c r="I46" s="12"/>
      <c r="K46" s="12"/>
      <c r="N46" s="110"/>
      <c r="O46" s="10"/>
      <c r="P46" s="113"/>
      <c r="Q46" s="10"/>
    </row>
    <row r="47" spans="2:18" s="7" customFormat="1" ht="15" x14ac:dyDescent="0.3">
      <c r="C47" s="12"/>
      <c r="D47" s="12"/>
      <c r="F47" s="48"/>
      <c r="G47" s="12"/>
      <c r="H47" s="12"/>
      <c r="I47" s="12"/>
      <c r="K47" s="12"/>
      <c r="N47" s="110"/>
      <c r="O47" s="10"/>
      <c r="P47" s="113"/>
      <c r="Q47" s="10"/>
    </row>
    <row r="59" spans="3:4" x14ac:dyDescent="0.3">
      <c r="C59" s="57" t="s">
        <v>58</v>
      </c>
    </row>
    <row r="60" spans="3:4" x14ac:dyDescent="0.3">
      <c r="C60" s="57" t="s">
        <v>11</v>
      </c>
      <c r="D60" s="118">
        <f>E40</f>
        <v>337157.91</v>
      </c>
    </row>
    <row r="61" spans="3:4" x14ac:dyDescent="0.3">
      <c r="C61" s="57" t="s">
        <v>5</v>
      </c>
      <c r="D61" s="118">
        <f>F37</f>
        <v>337078.67000000004</v>
      </c>
    </row>
    <row r="62" spans="3:4" x14ac:dyDescent="0.3">
      <c r="C62" s="57" t="s">
        <v>6</v>
      </c>
      <c r="D62" s="118">
        <f>O37</f>
        <v>0</v>
      </c>
    </row>
    <row r="63" spans="3:4" x14ac:dyDescent="0.3">
      <c r="C63" s="57" t="s">
        <v>9</v>
      </c>
      <c r="D63" s="118">
        <f>E45</f>
        <v>79.239999999932479</v>
      </c>
    </row>
  </sheetData>
  <mergeCells count="9">
    <mergeCell ref="C42:D42"/>
    <mergeCell ref="C43:D43"/>
    <mergeCell ref="C45:D45"/>
    <mergeCell ref="B3:I3"/>
    <mergeCell ref="K3:R3"/>
    <mergeCell ref="B37:E37"/>
    <mergeCell ref="K37:N37"/>
    <mergeCell ref="C40:D40"/>
    <mergeCell ref="C41:D41"/>
  </mergeCells>
  <phoneticPr fontId="78" type="noConversion"/>
  <printOptions horizontalCentered="1" verticalCentered="1"/>
  <pageMargins left="0" right="0" top="0" bottom="0" header="0" footer="0"/>
  <pageSetup paperSize="66" scale="43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3E3A-0414-4F27-AC6F-E39970A2137C}">
  <sheetPr>
    <pageSetUpPr fitToPage="1"/>
  </sheetPr>
  <dimension ref="B1:T63"/>
  <sheetViews>
    <sheetView tabSelected="1" view="pageBreakPreview" topLeftCell="B27" zoomScaleNormal="70" zoomScaleSheetLayoutView="100" workbookViewId="0">
      <selection activeCell="L10" sqref="L10"/>
    </sheetView>
  </sheetViews>
  <sheetFormatPr defaultColWidth="8.88671875" defaultRowHeight="13.8" x14ac:dyDescent="0.3"/>
  <cols>
    <col min="1" max="1" width="8.88671875" style="8"/>
    <col min="2" max="2" width="15.109375" style="8" customWidth="1"/>
    <col min="3" max="3" width="31.5546875" style="57" bestFit="1" customWidth="1"/>
    <col min="4" max="4" width="16.77734375" style="57" bestFit="1" customWidth="1"/>
    <col min="5" max="5" width="70" style="241" customWidth="1"/>
    <col min="6" max="6" width="17.33203125" style="42" bestFit="1" customWidth="1"/>
    <col min="7" max="7" width="19.44140625" style="57" bestFit="1" customWidth="1"/>
    <col min="8" max="8" width="12.109375" style="57" customWidth="1"/>
    <col min="9" max="9" width="53" style="57" bestFit="1" customWidth="1"/>
    <col min="10" max="10" width="8.88671875" style="8"/>
    <col min="11" max="13" width="21.109375" style="57" customWidth="1"/>
    <col min="14" max="14" width="92.21875" style="241" bestFit="1" customWidth="1"/>
    <col min="15" max="15" width="26.33203125" style="112" customWidth="1"/>
    <col min="16" max="16" width="19.44140625" style="112" bestFit="1" customWidth="1"/>
    <col min="17" max="17" width="14.77734375" style="112" bestFit="1" customWidth="1"/>
    <col min="18" max="18" width="31.88671875" style="57" bestFit="1" customWidth="1"/>
    <col min="19" max="19" width="17.77734375" style="8" bestFit="1" customWidth="1"/>
    <col min="20" max="20" width="16" style="8" bestFit="1" customWidth="1"/>
    <col min="21" max="16384" width="8.88671875" style="8"/>
  </cols>
  <sheetData>
    <row r="1" spans="2:20" ht="73.95" customHeight="1" x14ac:dyDescent="0.3">
      <c r="G1" s="56"/>
    </row>
    <row r="3" spans="2:20" ht="22.8" x14ac:dyDescent="0.3">
      <c r="B3" s="286" t="s">
        <v>235</v>
      </c>
      <c r="C3" s="286"/>
      <c r="D3" s="286"/>
      <c r="E3" s="286"/>
      <c r="F3" s="286"/>
      <c r="G3" s="286"/>
      <c r="H3" s="286"/>
      <c r="I3" s="286"/>
      <c r="K3" s="286" t="s">
        <v>134</v>
      </c>
      <c r="L3" s="286"/>
      <c r="M3" s="286"/>
      <c r="N3" s="286"/>
      <c r="O3" s="286"/>
      <c r="P3" s="286"/>
      <c r="Q3" s="286"/>
      <c r="R3" s="286"/>
    </row>
    <row r="4" spans="2:20" s="7" customFormat="1" ht="15.6" x14ac:dyDescent="0.3">
      <c r="B4" s="5" t="s">
        <v>13</v>
      </c>
      <c r="C4" s="5" t="s">
        <v>0</v>
      </c>
      <c r="D4" s="5" t="s">
        <v>33</v>
      </c>
      <c r="E4" s="244" t="s">
        <v>3</v>
      </c>
      <c r="F4" s="43" t="s">
        <v>4</v>
      </c>
      <c r="G4" s="9" t="s">
        <v>1</v>
      </c>
      <c r="H4" s="5" t="s">
        <v>31</v>
      </c>
      <c r="I4" s="5" t="s">
        <v>32</v>
      </c>
      <c r="K4" s="141" t="s">
        <v>13</v>
      </c>
      <c r="L4" s="141" t="s">
        <v>0</v>
      </c>
      <c r="M4" s="141" t="s">
        <v>33</v>
      </c>
      <c r="N4" s="142" t="s">
        <v>3</v>
      </c>
      <c r="O4" s="143" t="s">
        <v>4</v>
      </c>
      <c r="P4" s="144" t="s">
        <v>1</v>
      </c>
      <c r="Q4" s="143"/>
      <c r="R4" s="141" t="s">
        <v>32</v>
      </c>
    </row>
    <row r="5" spans="2:20" s="7" customFormat="1" ht="30" x14ac:dyDescent="0.3">
      <c r="B5" s="236" t="s">
        <v>361</v>
      </c>
      <c r="C5" s="38" t="s">
        <v>362</v>
      </c>
      <c r="D5" s="38" t="s">
        <v>332</v>
      </c>
      <c r="E5" s="240" t="s">
        <v>363</v>
      </c>
      <c r="F5" s="44">
        <v>6833.79</v>
      </c>
      <c r="G5" s="99" t="s">
        <v>196</v>
      </c>
      <c r="H5" s="267">
        <v>45962</v>
      </c>
      <c r="I5" s="239" t="s">
        <v>428</v>
      </c>
      <c r="K5" s="75"/>
      <c r="L5" s="75"/>
      <c r="M5" s="75"/>
      <c r="N5" s="75"/>
      <c r="O5" s="75"/>
      <c r="P5" s="75"/>
      <c r="Q5" s="75"/>
      <c r="R5" s="75"/>
      <c r="T5" s="10"/>
    </row>
    <row r="6" spans="2:20" s="7" customFormat="1" ht="30" x14ac:dyDescent="0.3">
      <c r="B6" s="236" t="s">
        <v>359</v>
      </c>
      <c r="C6" s="38" t="s">
        <v>365</v>
      </c>
      <c r="D6" s="259" t="s">
        <v>377</v>
      </c>
      <c r="E6" s="239" t="s">
        <v>366</v>
      </c>
      <c r="F6" s="71">
        <v>39634</v>
      </c>
      <c r="G6" s="99" t="s">
        <v>196</v>
      </c>
      <c r="H6" s="24">
        <v>45901</v>
      </c>
      <c r="I6" s="239" t="s">
        <v>376</v>
      </c>
      <c r="K6" s="259" t="s">
        <v>454</v>
      </c>
      <c r="L6" s="23"/>
      <c r="M6" s="23"/>
      <c r="N6" s="240" t="s">
        <v>455</v>
      </c>
      <c r="O6" s="131">
        <v>2400</v>
      </c>
      <c r="P6" s="270" t="s">
        <v>450</v>
      </c>
      <c r="Q6" s="23"/>
      <c r="R6" s="239" t="s">
        <v>453</v>
      </c>
      <c r="T6" s="58"/>
    </row>
    <row r="7" spans="2:20" s="7" customFormat="1" ht="30" x14ac:dyDescent="0.3">
      <c r="B7" s="236" t="s">
        <v>337</v>
      </c>
      <c r="C7" s="236" t="s">
        <v>370</v>
      </c>
      <c r="D7" s="259" t="s">
        <v>380</v>
      </c>
      <c r="E7" s="240" t="s">
        <v>367</v>
      </c>
      <c r="F7" s="44">
        <v>14920</v>
      </c>
      <c r="G7" s="99" t="s">
        <v>196</v>
      </c>
      <c r="H7" s="24">
        <v>45901</v>
      </c>
      <c r="I7" s="239" t="s">
        <v>378</v>
      </c>
      <c r="K7" s="259"/>
      <c r="L7" s="23"/>
      <c r="M7" s="23"/>
      <c r="N7" s="23"/>
      <c r="O7" s="23"/>
      <c r="P7" s="23"/>
      <c r="Q7" s="23"/>
      <c r="R7" s="23"/>
    </row>
    <row r="8" spans="2:20" s="7" customFormat="1" ht="30" x14ac:dyDescent="0.3">
      <c r="B8" s="236" t="s">
        <v>369</v>
      </c>
      <c r="C8" s="236" t="s">
        <v>371</v>
      </c>
      <c r="D8" s="259" t="s">
        <v>322</v>
      </c>
      <c r="E8" s="240" t="s">
        <v>368</v>
      </c>
      <c r="F8" s="131">
        <v>24205.74</v>
      </c>
      <c r="G8" s="99" t="s">
        <v>196</v>
      </c>
      <c r="H8" s="24">
        <v>45901</v>
      </c>
      <c r="I8" s="239" t="s">
        <v>375</v>
      </c>
      <c r="K8" s="259"/>
      <c r="L8" s="23"/>
      <c r="M8" s="23"/>
      <c r="N8" s="258" t="s">
        <v>399</v>
      </c>
      <c r="O8" s="131"/>
      <c r="P8" s="23"/>
      <c r="Q8" s="131"/>
      <c r="R8" s="259" t="s">
        <v>409</v>
      </c>
    </row>
    <row r="9" spans="2:20" s="7" customFormat="1" ht="30" x14ac:dyDescent="0.3">
      <c r="B9" s="236" t="s">
        <v>373</v>
      </c>
      <c r="C9" s="236" t="s">
        <v>374</v>
      </c>
      <c r="D9" s="259" t="s">
        <v>387</v>
      </c>
      <c r="E9" s="240" t="s">
        <v>372</v>
      </c>
      <c r="F9" s="131">
        <v>6211.55</v>
      </c>
      <c r="G9" s="99" t="s">
        <v>196</v>
      </c>
      <c r="H9" s="24">
        <v>45931</v>
      </c>
      <c r="I9" s="239" t="s">
        <v>388</v>
      </c>
      <c r="K9" s="23"/>
      <c r="L9" s="23"/>
      <c r="M9" s="23"/>
      <c r="N9" s="240" t="s">
        <v>404</v>
      </c>
      <c r="O9" s="131"/>
      <c r="P9" s="260" t="s">
        <v>405</v>
      </c>
      <c r="Q9" s="131"/>
      <c r="R9" s="240" t="s">
        <v>406</v>
      </c>
      <c r="S9" s="10">
        <v>107595.26</v>
      </c>
    </row>
    <row r="10" spans="2:20" s="7" customFormat="1" ht="30" x14ac:dyDescent="0.3">
      <c r="B10" s="236" t="s">
        <v>381</v>
      </c>
      <c r="C10" s="38" t="s">
        <v>386</v>
      </c>
      <c r="D10" s="263" t="s">
        <v>324</v>
      </c>
      <c r="E10" s="243" t="s">
        <v>383</v>
      </c>
      <c r="F10" s="44">
        <v>3210</v>
      </c>
      <c r="G10" s="99" t="s">
        <v>196</v>
      </c>
      <c r="H10" s="20">
        <v>45962</v>
      </c>
      <c r="I10" s="239" t="s">
        <v>418</v>
      </c>
      <c r="K10" s="23"/>
      <c r="L10" s="23"/>
      <c r="M10" s="23"/>
      <c r="N10" s="23"/>
      <c r="O10" s="23"/>
      <c r="P10" s="23"/>
      <c r="Q10" s="23"/>
      <c r="R10" s="23"/>
    </row>
    <row r="11" spans="2:20" s="7" customFormat="1" ht="30" x14ac:dyDescent="0.3">
      <c r="B11" s="240" t="s">
        <v>384</v>
      </c>
      <c r="C11" s="252" t="s">
        <v>392</v>
      </c>
      <c r="D11" s="263" t="s">
        <v>327</v>
      </c>
      <c r="E11" s="240" t="s">
        <v>385</v>
      </c>
      <c r="F11" s="131">
        <v>10909.47</v>
      </c>
      <c r="G11" s="99" t="s">
        <v>196</v>
      </c>
      <c r="H11" s="20">
        <v>45962</v>
      </c>
      <c r="I11" s="239" t="s">
        <v>422</v>
      </c>
      <c r="K11" s="23"/>
      <c r="L11" s="23"/>
      <c r="M11" s="23"/>
      <c r="N11" s="140" t="s">
        <v>296</v>
      </c>
      <c r="O11" s="131"/>
      <c r="P11" s="260" t="s">
        <v>405</v>
      </c>
      <c r="Q11" s="131"/>
      <c r="R11" s="240" t="s">
        <v>408</v>
      </c>
      <c r="S11" s="10">
        <v>77090</v>
      </c>
    </row>
    <row r="12" spans="2:20" s="7" customFormat="1" ht="30" x14ac:dyDescent="0.3">
      <c r="B12" s="236" t="s">
        <v>389</v>
      </c>
      <c r="C12" s="252" t="s">
        <v>395</v>
      </c>
      <c r="D12" s="259" t="s">
        <v>448</v>
      </c>
      <c r="E12" s="243" t="s">
        <v>379</v>
      </c>
      <c r="F12" s="131">
        <v>21395</v>
      </c>
      <c r="G12" s="99" t="s">
        <v>196</v>
      </c>
      <c r="H12" s="269">
        <v>46054</v>
      </c>
      <c r="I12" s="257" t="s">
        <v>449</v>
      </c>
      <c r="K12" s="23"/>
      <c r="L12" s="23"/>
      <c r="M12" s="23"/>
      <c r="N12" s="23"/>
      <c r="O12" s="131"/>
      <c r="P12" s="23"/>
      <c r="Q12" s="131"/>
      <c r="R12" s="23"/>
    </row>
    <row r="13" spans="2:20" s="7" customFormat="1" ht="45" x14ac:dyDescent="0.3">
      <c r="B13" s="253" t="s">
        <v>390</v>
      </c>
      <c r="C13" s="252" t="s">
        <v>394</v>
      </c>
      <c r="D13" s="38" t="s">
        <v>423</v>
      </c>
      <c r="E13" s="264" t="s">
        <v>391</v>
      </c>
      <c r="F13" s="265">
        <v>5261.52</v>
      </c>
      <c r="G13" s="266" t="s">
        <v>196</v>
      </c>
      <c r="H13" s="267">
        <v>45962</v>
      </c>
      <c r="I13" s="255" t="s">
        <v>424</v>
      </c>
      <c r="K13" s="23"/>
      <c r="L13" s="23"/>
      <c r="M13" s="23"/>
      <c r="N13" s="23"/>
      <c r="O13" s="131"/>
      <c r="P13" s="23"/>
      <c r="Q13" s="131"/>
      <c r="R13" s="23"/>
    </row>
    <row r="14" spans="2:20" s="7" customFormat="1" ht="30" x14ac:dyDescent="0.3">
      <c r="B14" s="254" t="s">
        <v>396</v>
      </c>
      <c r="C14" s="254" t="s">
        <v>397</v>
      </c>
      <c r="D14" s="259" t="s">
        <v>430</v>
      </c>
      <c r="E14" s="254" t="s">
        <v>400</v>
      </c>
      <c r="F14" s="256">
        <v>15128.3</v>
      </c>
      <c r="G14" s="266" t="s">
        <v>196</v>
      </c>
      <c r="H14" s="268">
        <v>45992</v>
      </c>
      <c r="I14" s="239" t="s">
        <v>434</v>
      </c>
      <c r="K14" s="1"/>
      <c r="L14" s="4"/>
      <c r="M14" s="4"/>
      <c r="N14" s="183" t="s">
        <v>285</v>
      </c>
      <c r="O14" s="131"/>
      <c r="P14" s="2"/>
      <c r="Q14" s="131"/>
      <c r="R14" s="1"/>
    </row>
    <row r="15" spans="2:20" s="7" customFormat="1" ht="30" x14ac:dyDescent="0.3">
      <c r="B15" s="236" t="s">
        <v>393</v>
      </c>
      <c r="C15" s="254" t="s">
        <v>398</v>
      </c>
      <c r="D15" s="263" t="s">
        <v>421</v>
      </c>
      <c r="E15" s="243" t="s">
        <v>382</v>
      </c>
      <c r="F15" s="131">
        <v>6341.36</v>
      </c>
      <c r="G15" s="99" t="s">
        <v>196</v>
      </c>
      <c r="H15" s="20">
        <v>45962</v>
      </c>
      <c r="I15" s="239" t="s">
        <v>420</v>
      </c>
      <c r="K15" s="1"/>
      <c r="L15" s="4"/>
      <c r="M15" s="4"/>
      <c r="N15" s="21"/>
      <c r="O15" s="2"/>
      <c r="P15" s="2"/>
      <c r="Q15" s="2"/>
      <c r="R15" s="1"/>
    </row>
    <row r="16" spans="2:20" s="7" customFormat="1" ht="30" x14ac:dyDescent="0.3">
      <c r="B16" s="259" t="s">
        <v>402</v>
      </c>
      <c r="C16" s="259" t="s">
        <v>412</v>
      </c>
      <c r="D16" s="38" t="s">
        <v>432</v>
      </c>
      <c r="E16" s="259" t="s">
        <v>401</v>
      </c>
      <c r="F16" s="131">
        <v>20150</v>
      </c>
      <c r="G16" s="266" t="s">
        <v>196</v>
      </c>
      <c r="H16" s="268">
        <v>45992</v>
      </c>
      <c r="I16" s="239" t="s">
        <v>435</v>
      </c>
      <c r="K16" s="1"/>
      <c r="L16" s="4"/>
      <c r="M16" s="4"/>
      <c r="N16" s="21"/>
      <c r="O16" s="2"/>
      <c r="P16" s="2"/>
      <c r="Q16" s="2"/>
      <c r="R16" s="1"/>
    </row>
    <row r="17" spans="2:18" s="7" customFormat="1" ht="30" x14ac:dyDescent="0.3">
      <c r="B17" s="259" t="s">
        <v>407</v>
      </c>
      <c r="C17" s="259" t="s">
        <v>416</v>
      </c>
      <c r="D17" s="263" t="s">
        <v>415</v>
      </c>
      <c r="E17" s="259" t="s">
        <v>403</v>
      </c>
      <c r="F17" s="131">
        <v>5700</v>
      </c>
      <c r="G17" s="99" t="s">
        <v>196</v>
      </c>
      <c r="H17" s="89">
        <v>45962</v>
      </c>
      <c r="I17" s="239" t="s">
        <v>419</v>
      </c>
      <c r="K17" s="1"/>
      <c r="L17" s="4"/>
      <c r="M17" s="4"/>
      <c r="N17" s="21"/>
      <c r="O17" s="2"/>
      <c r="P17" s="2"/>
      <c r="Q17" s="2"/>
      <c r="R17" s="1"/>
    </row>
    <row r="18" spans="2:18" s="7" customFormat="1" ht="30" x14ac:dyDescent="0.3">
      <c r="B18" s="259" t="s">
        <v>411</v>
      </c>
      <c r="C18" s="259" t="s">
        <v>417</v>
      </c>
      <c r="D18" s="259" t="s">
        <v>442</v>
      </c>
      <c r="E18" s="259" t="s">
        <v>410</v>
      </c>
      <c r="F18" s="131">
        <v>2600</v>
      </c>
      <c r="G18" s="266" t="s">
        <v>196</v>
      </c>
      <c r="H18" s="89">
        <v>46023</v>
      </c>
      <c r="I18" s="239" t="s">
        <v>444</v>
      </c>
      <c r="K18" s="1"/>
      <c r="L18" s="4"/>
      <c r="M18" s="4"/>
      <c r="N18" s="21"/>
      <c r="O18" s="2"/>
      <c r="P18" s="2"/>
      <c r="Q18" s="2"/>
      <c r="R18" s="1"/>
    </row>
    <row r="19" spans="2:18" s="7" customFormat="1" ht="30" x14ac:dyDescent="0.3">
      <c r="B19" s="259" t="s">
        <v>414</v>
      </c>
      <c r="C19" s="259" t="s">
        <v>425</v>
      </c>
      <c r="D19" s="38" t="s">
        <v>431</v>
      </c>
      <c r="E19" s="41" t="s">
        <v>413</v>
      </c>
      <c r="F19" s="44">
        <v>3210</v>
      </c>
      <c r="G19" s="266" t="s">
        <v>196</v>
      </c>
      <c r="H19" s="268">
        <v>45992</v>
      </c>
      <c r="I19" s="239" t="s">
        <v>433</v>
      </c>
      <c r="K19" s="1"/>
      <c r="L19" s="4"/>
      <c r="M19" s="4"/>
      <c r="N19" s="21"/>
      <c r="O19" s="2"/>
      <c r="P19" s="2"/>
      <c r="Q19" s="2"/>
      <c r="R19" s="1"/>
    </row>
    <row r="20" spans="2:18" s="7" customFormat="1" ht="15" x14ac:dyDescent="0.3">
      <c r="B20" s="259" t="s">
        <v>426</v>
      </c>
      <c r="C20" s="259" t="s">
        <v>429</v>
      </c>
      <c r="D20" s="23"/>
      <c r="E20" s="259" t="s">
        <v>427</v>
      </c>
      <c r="F20" s="131">
        <v>9930</v>
      </c>
      <c r="G20" s="257" t="s">
        <v>360</v>
      </c>
      <c r="H20" s="85"/>
      <c r="I20" s="259" t="s">
        <v>439</v>
      </c>
      <c r="K20" s="1"/>
      <c r="L20" s="4"/>
      <c r="M20" s="4"/>
      <c r="N20" s="21"/>
      <c r="O20" s="2"/>
      <c r="P20" s="2"/>
      <c r="Q20" s="2"/>
      <c r="R20" s="1"/>
    </row>
    <row r="21" spans="2:18" s="7" customFormat="1" ht="30" x14ac:dyDescent="0.3">
      <c r="B21" s="91" t="s">
        <v>436</v>
      </c>
      <c r="C21" s="91" t="s">
        <v>440</v>
      </c>
      <c r="D21" s="91" t="s">
        <v>440</v>
      </c>
      <c r="E21" s="255" t="s">
        <v>441</v>
      </c>
      <c r="F21" s="131">
        <v>5200</v>
      </c>
      <c r="G21" s="266" t="s">
        <v>196</v>
      </c>
      <c r="H21" s="89">
        <v>46023</v>
      </c>
      <c r="I21" s="239" t="s">
        <v>443</v>
      </c>
      <c r="K21" s="1"/>
      <c r="L21" s="1"/>
      <c r="M21" s="1"/>
      <c r="N21" s="3"/>
      <c r="O21" s="2"/>
      <c r="P21" s="2"/>
      <c r="Q21" s="2"/>
      <c r="R21" s="1"/>
    </row>
    <row r="22" spans="2:18" s="7" customFormat="1" ht="30" x14ac:dyDescent="0.3">
      <c r="B22" s="259" t="s">
        <v>438</v>
      </c>
      <c r="C22" s="91" t="s">
        <v>446</v>
      </c>
      <c r="D22" s="259" t="s">
        <v>445</v>
      </c>
      <c r="E22" s="259" t="s">
        <v>437</v>
      </c>
      <c r="F22" s="131">
        <v>2818</v>
      </c>
      <c r="G22" s="266" t="s">
        <v>196</v>
      </c>
      <c r="H22" s="269">
        <v>46054</v>
      </c>
      <c r="I22" s="239" t="s">
        <v>447</v>
      </c>
      <c r="K22" s="1"/>
      <c r="L22" s="1"/>
      <c r="M22" s="1"/>
      <c r="N22" s="3"/>
      <c r="O22" s="2"/>
      <c r="P22" s="2"/>
      <c r="Q22" s="2"/>
      <c r="R22" s="1"/>
    </row>
    <row r="23" spans="2:18" s="7" customFormat="1" ht="30" x14ac:dyDescent="0.3">
      <c r="B23" s="259" t="s">
        <v>452</v>
      </c>
      <c r="C23" s="91" t="s">
        <v>456</v>
      </c>
      <c r="D23" s="259"/>
      <c r="E23" s="240" t="s">
        <v>451</v>
      </c>
      <c r="F23" s="131">
        <v>712.6</v>
      </c>
      <c r="G23" s="257" t="s">
        <v>360</v>
      </c>
      <c r="H23" s="23"/>
      <c r="I23" s="239" t="s">
        <v>457</v>
      </c>
      <c r="K23" s="1"/>
      <c r="L23" s="1"/>
      <c r="M23" s="1"/>
      <c r="N23" s="3"/>
      <c r="O23" s="2"/>
      <c r="P23" s="2"/>
      <c r="Q23" s="2"/>
      <c r="R23" s="1"/>
    </row>
    <row r="24" spans="2:18" s="7" customFormat="1" ht="15" x14ac:dyDescent="0.3">
      <c r="B24" s="159"/>
      <c r="C24" s="164"/>
      <c r="D24" s="173"/>
      <c r="E24" s="245"/>
      <c r="F24" s="44"/>
      <c r="G24" s="177"/>
      <c r="H24" s="24"/>
      <c r="I24" s="172"/>
      <c r="K24" s="1"/>
      <c r="L24" s="1"/>
      <c r="M24" s="1"/>
      <c r="N24" s="3"/>
      <c r="O24" s="2"/>
      <c r="P24" s="2"/>
      <c r="Q24" s="2"/>
      <c r="R24" s="1"/>
    </row>
    <row r="25" spans="2:18" s="7" customFormat="1" ht="15" x14ac:dyDescent="0.3">
      <c r="B25" s="75"/>
      <c r="C25" s="23"/>
      <c r="D25" s="23"/>
      <c r="E25" s="19"/>
      <c r="F25" s="44"/>
      <c r="G25" s="85"/>
      <c r="H25" s="23"/>
      <c r="I25" s="75"/>
      <c r="K25" s="1"/>
      <c r="L25" s="1"/>
      <c r="M25" s="1"/>
      <c r="N25" s="3"/>
      <c r="O25" s="2"/>
      <c r="P25" s="2"/>
      <c r="Q25" s="2"/>
      <c r="R25" s="1"/>
    </row>
    <row r="26" spans="2:18" s="7" customFormat="1" ht="15" x14ac:dyDescent="0.3">
      <c r="B26" s="55"/>
      <c r="C26" s="1"/>
      <c r="D26" s="36"/>
      <c r="E26" s="32"/>
      <c r="F26" s="44"/>
      <c r="G26" s="36"/>
      <c r="H26" s="74"/>
      <c r="I26" s="41"/>
      <c r="K26" s="1"/>
      <c r="L26" s="1"/>
      <c r="M26" s="1"/>
      <c r="N26" s="3"/>
      <c r="O26" s="2"/>
      <c r="P26" s="2"/>
      <c r="Q26" s="2"/>
      <c r="R26" s="1"/>
    </row>
    <row r="27" spans="2:18" s="7" customFormat="1" ht="15" x14ac:dyDescent="0.3">
      <c r="B27" s="1"/>
      <c r="C27" s="38"/>
      <c r="D27" s="59"/>
      <c r="E27" s="31"/>
      <c r="F27" s="44"/>
      <c r="G27" s="36"/>
      <c r="H27" s="74"/>
      <c r="I27" s="41"/>
      <c r="K27" s="1"/>
      <c r="L27" s="1"/>
      <c r="M27" s="1"/>
      <c r="N27" s="3"/>
      <c r="O27" s="2"/>
      <c r="P27" s="2"/>
      <c r="Q27" s="2"/>
      <c r="R27" s="1"/>
    </row>
    <row r="28" spans="2:18" s="7" customFormat="1" ht="15" x14ac:dyDescent="0.3">
      <c r="B28" s="1"/>
      <c r="C28" s="38"/>
      <c r="D28" s="36"/>
      <c r="E28" s="32"/>
      <c r="F28" s="44"/>
      <c r="G28" s="36"/>
      <c r="H28" s="74"/>
      <c r="I28" s="41"/>
      <c r="K28" s="26"/>
      <c r="L28" s="26"/>
      <c r="M28" s="26"/>
      <c r="N28" s="3"/>
      <c r="O28" s="2"/>
      <c r="P28" s="1"/>
      <c r="Q28" s="1"/>
      <c r="R28" s="2"/>
    </row>
    <row r="29" spans="2:18" s="7" customFormat="1" ht="15" x14ac:dyDescent="0.3">
      <c r="B29" s="1"/>
      <c r="C29" s="38"/>
      <c r="D29" s="59"/>
      <c r="E29" s="32"/>
      <c r="F29" s="44"/>
      <c r="G29" s="36"/>
      <c r="H29" s="74"/>
      <c r="I29" s="41"/>
      <c r="K29" s="26"/>
      <c r="L29" s="26"/>
      <c r="M29" s="26"/>
      <c r="N29" s="3"/>
      <c r="O29" s="2"/>
      <c r="P29" s="1"/>
      <c r="Q29" s="1"/>
      <c r="R29" s="2"/>
    </row>
    <row r="30" spans="2:18" s="7" customFormat="1" ht="15" x14ac:dyDescent="0.3">
      <c r="B30" s="60"/>
      <c r="C30" s="61"/>
      <c r="D30" s="60"/>
      <c r="E30" s="246"/>
      <c r="F30" s="44"/>
      <c r="G30" s="60"/>
      <c r="H30" s="76"/>
      <c r="I30" s="77"/>
      <c r="K30" s="26"/>
      <c r="L30" s="26"/>
      <c r="M30" s="26"/>
      <c r="N30" s="3"/>
      <c r="O30" s="2"/>
      <c r="P30" s="1"/>
      <c r="Q30" s="1"/>
      <c r="R30" s="2"/>
    </row>
    <row r="31" spans="2:18" s="7" customFormat="1" ht="15" x14ac:dyDescent="0.3">
      <c r="B31" s="75"/>
      <c r="C31" s="23"/>
      <c r="D31" s="23"/>
      <c r="E31" s="19"/>
      <c r="F31" s="44"/>
      <c r="G31" s="75"/>
      <c r="H31" s="23"/>
      <c r="I31" s="75"/>
      <c r="K31" s="26"/>
      <c r="L31" s="26"/>
      <c r="M31" s="26"/>
      <c r="N31" s="3"/>
      <c r="O31" s="2"/>
      <c r="P31" s="1"/>
      <c r="Q31" s="1"/>
      <c r="R31" s="2"/>
    </row>
    <row r="32" spans="2:18" s="7" customFormat="1" ht="15" x14ac:dyDescent="0.3">
      <c r="B32" s="78"/>
      <c r="C32" s="79"/>
      <c r="D32" s="80"/>
      <c r="E32" s="247"/>
      <c r="F32" s="44"/>
      <c r="G32" s="78"/>
      <c r="H32" s="82"/>
      <c r="I32" s="83"/>
      <c r="K32" s="26"/>
      <c r="L32" s="26"/>
      <c r="M32" s="26"/>
      <c r="N32" s="3"/>
      <c r="O32" s="2"/>
      <c r="P32" s="1"/>
      <c r="Q32" s="1"/>
      <c r="R32" s="2"/>
    </row>
    <row r="33" spans="2:18" s="7" customFormat="1" ht="15" x14ac:dyDescent="0.3">
      <c r="B33" s="59"/>
      <c r="C33" s="38"/>
      <c r="D33" s="38"/>
      <c r="E33" s="63"/>
      <c r="F33" s="44"/>
      <c r="G33" s="36"/>
      <c r="H33" s="74"/>
      <c r="I33" s="67"/>
      <c r="K33" s="26"/>
      <c r="L33" s="26"/>
      <c r="M33" s="26"/>
      <c r="N33" s="3"/>
      <c r="O33" s="2"/>
      <c r="P33" s="1"/>
      <c r="Q33" s="1"/>
      <c r="R33" s="2"/>
    </row>
    <row r="34" spans="2:18" s="7" customFormat="1" ht="15" x14ac:dyDescent="0.3">
      <c r="B34" s="59"/>
      <c r="C34" s="38"/>
      <c r="D34" s="38"/>
      <c r="E34" s="63"/>
      <c r="F34" s="44"/>
      <c r="G34" s="36"/>
      <c r="H34" s="74"/>
      <c r="I34" s="67"/>
      <c r="K34" s="26"/>
      <c r="L34" s="26"/>
      <c r="M34" s="26"/>
      <c r="N34" s="3"/>
      <c r="O34" s="2"/>
      <c r="P34" s="1"/>
      <c r="Q34" s="1"/>
      <c r="R34" s="2"/>
    </row>
    <row r="35" spans="2:18" s="7" customFormat="1" ht="15" x14ac:dyDescent="0.3">
      <c r="B35" s="36"/>
      <c r="C35" s="36"/>
      <c r="D35" s="36"/>
      <c r="E35" s="34"/>
      <c r="F35" s="44"/>
      <c r="G35" s="36"/>
      <c r="H35" s="74"/>
      <c r="I35" s="41"/>
      <c r="K35" s="26"/>
      <c r="L35" s="26"/>
      <c r="M35" s="26"/>
      <c r="N35" s="3"/>
      <c r="O35" s="2"/>
      <c r="P35" s="1"/>
      <c r="Q35" s="1"/>
      <c r="R35" s="2"/>
    </row>
    <row r="36" spans="2:18" s="7" customFormat="1" ht="15" x14ac:dyDescent="0.3">
      <c r="B36" s="69"/>
      <c r="C36" s="69"/>
      <c r="D36" s="69"/>
      <c r="E36" s="70"/>
      <c r="F36" s="44"/>
      <c r="G36" s="36"/>
      <c r="H36" s="20"/>
      <c r="I36" s="41"/>
      <c r="K36" s="26"/>
      <c r="L36" s="26"/>
      <c r="M36" s="26"/>
      <c r="N36" s="3"/>
      <c r="O36" s="2"/>
      <c r="P36" s="1"/>
      <c r="Q36" s="1"/>
      <c r="R36" s="2"/>
    </row>
    <row r="37" spans="2:18" s="7" customFormat="1" ht="15.6" x14ac:dyDescent="0.3">
      <c r="B37" s="295" t="s">
        <v>210</v>
      </c>
      <c r="C37" s="296"/>
      <c r="D37" s="296"/>
      <c r="E37" s="297"/>
      <c r="F37" s="47">
        <f>SUM(F5:F36)</f>
        <v>204371.33</v>
      </c>
      <c r="G37" s="12"/>
      <c r="H37" s="12"/>
      <c r="I37" s="12"/>
      <c r="K37" s="287" t="s">
        <v>211</v>
      </c>
      <c r="L37" s="288"/>
      <c r="M37" s="288"/>
      <c r="N37" s="289"/>
      <c r="O37" s="22">
        <f>SUM(O5:O36)</f>
        <v>2400</v>
      </c>
      <c r="P37" s="197"/>
      <c r="Q37" s="197"/>
      <c r="R37" s="197"/>
    </row>
    <row r="38" spans="2:18" s="7" customFormat="1" ht="15.6" thickBot="1" x14ac:dyDescent="0.35">
      <c r="C38" s="12"/>
      <c r="D38" s="12"/>
      <c r="E38" s="242"/>
      <c r="F38" s="48"/>
      <c r="G38" s="12"/>
      <c r="H38" s="12"/>
      <c r="I38" s="12"/>
      <c r="K38" s="12"/>
      <c r="L38" s="12"/>
      <c r="M38" s="12"/>
      <c r="N38" s="242"/>
      <c r="O38" s="113"/>
      <c r="P38" s="113"/>
      <c r="Q38" s="113"/>
      <c r="R38" s="12"/>
    </row>
    <row r="39" spans="2:18" s="7" customFormat="1" ht="16.2" thickBot="1" x14ac:dyDescent="0.35">
      <c r="C39" s="12"/>
      <c r="D39" s="12"/>
      <c r="E39" s="248" t="s">
        <v>4</v>
      </c>
      <c r="F39" s="49" t="s">
        <v>59</v>
      </c>
      <c r="G39" s="12"/>
      <c r="H39" s="12"/>
      <c r="I39" s="12"/>
      <c r="K39" s="12"/>
      <c r="L39" s="12"/>
      <c r="M39" s="12"/>
      <c r="N39" s="242"/>
      <c r="O39" s="113"/>
      <c r="P39" s="113"/>
      <c r="Q39" s="113"/>
      <c r="R39" s="12"/>
    </row>
    <row r="40" spans="2:18" s="7" customFormat="1" ht="15" x14ac:dyDescent="0.3">
      <c r="C40" s="277" t="s">
        <v>11</v>
      </c>
      <c r="D40" s="278"/>
      <c r="E40" s="249">
        <v>337157.91</v>
      </c>
      <c r="F40" s="50">
        <v>1</v>
      </c>
      <c r="G40" s="12"/>
      <c r="H40" s="12"/>
      <c r="I40" s="12"/>
      <c r="K40" s="12"/>
      <c r="L40" s="12"/>
      <c r="M40" s="12"/>
      <c r="N40" s="242"/>
      <c r="O40" s="113"/>
      <c r="P40" s="113"/>
      <c r="Q40" s="113"/>
      <c r="R40" s="12"/>
    </row>
    <row r="41" spans="2:18" s="7" customFormat="1" ht="15" x14ac:dyDescent="0.3">
      <c r="C41" s="300" t="s">
        <v>330</v>
      </c>
      <c r="D41" s="272"/>
      <c r="E41" s="250">
        <f>F37</f>
        <v>204371.33</v>
      </c>
      <c r="F41" s="51">
        <f>E41/E40</f>
        <v>0.60615908432935772</v>
      </c>
      <c r="G41" s="12"/>
      <c r="H41" s="12"/>
      <c r="I41" s="12"/>
      <c r="K41" s="12"/>
      <c r="L41" s="12"/>
      <c r="M41" s="12"/>
      <c r="N41" s="242"/>
      <c r="O41" s="113"/>
      <c r="P41" s="113"/>
      <c r="Q41" s="113"/>
      <c r="R41" s="12"/>
    </row>
    <row r="42" spans="2:18" s="7" customFormat="1" ht="15" x14ac:dyDescent="0.3">
      <c r="C42" s="299" t="s">
        <v>331</v>
      </c>
      <c r="D42" s="274"/>
      <c r="E42" s="250">
        <f>O37</f>
        <v>2400</v>
      </c>
      <c r="F42" s="51">
        <f>E42/E40</f>
        <v>7.11832624659466E-3</v>
      </c>
      <c r="G42" s="12"/>
      <c r="H42" s="12"/>
      <c r="I42" s="12"/>
      <c r="K42" s="12"/>
      <c r="L42" s="12"/>
      <c r="M42" s="12"/>
      <c r="N42" s="242"/>
      <c r="O42" s="113"/>
      <c r="P42" s="113"/>
      <c r="Q42" s="113"/>
      <c r="R42" s="12"/>
    </row>
    <row r="43" spans="2:18" s="7" customFormat="1" ht="15.6" thickBot="1" x14ac:dyDescent="0.35">
      <c r="C43" s="275" t="s">
        <v>10</v>
      </c>
      <c r="D43" s="276"/>
      <c r="E43" s="251">
        <f>SUM(F37+O37)</f>
        <v>206771.33</v>
      </c>
      <c r="F43" s="52">
        <f>E43/E40</f>
        <v>0.61327741057595242</v>
      </c>
      <c r="G43" s="12"/>
      <c r="H43" s="12"/>
      <c r="I43" s="12"/>
      <c r="K43" s="12"/>
      <c r="L43" s="12"/>
      <c r="M43" s="12"/>
      <c r="N43" s="242"/>
      <c r="O43" s="113"/>
      <c r="P43" s="113"/>
      <c r="Q43" s="113"/>
      <c r="R43" s="12"/>
    </row>
    <row r="44" spans="2:18" s="7" customFormat="1" ht="15.6" thickBot="1" x14ac:dyDescent="0.35">
      <c r="C44" s="12"/>
      <c r="D44" s="12"/>
      <c r="E44" s="242"/>
      <c r="F44" s="53"/>
      <c r="G44" s="12"/>
      <c r="H44" s="12"/>
      <c r="I44" s="12"/>
      <c r="K44" s="12"/>
      <c r="L44" s="12"/>
      <c r="M44" s="12"/>
      <c r="N44" s="242"/>
      <c r="O44" s="113"/>
      <c r="P44" s="113"/>
      <c r="Q44" s="113"/>
      <c r="R44" s="12"/>
    </row>
    <row r="45" spans="2:18" s="7" customFormat="1" ht="15.6" thickBot="1" x14ac:dyDescent="0.35">
      <c r="C45" s="279" t="s">
        <v>9</v>
      </c>
      <c r="D45" s="280"/>
      <c r="E45" s="261">
        <f>E40-E43</f>
        <v>130386.57999999999</v>
      </c>
      <c r="F45" s="54">
        <f>E45/E40</f>
        <v>0.38672258942404764</v>
      </c>
      <c r="G45" s="12"/>
      <c r="H45" s="12"/>
      <c r="I45" s="12"/>
      <c r="K45" s="12"/>
      <c r="L45" s="12"/>
      <c r="M45" s="12"/>
      <c r="N45" s="242"/>
      <c r="O45" s="113"/>
      <c r="P45" s="113"/>
      <c r="Q45" s="113"/>
      <c r="R45" s="12"/>
    </row>
    <row r="46" spans="2:18" s="7" customFormat="1" ht="15" x14ac:dyDescent="0.3">
      <c r="C46" s="12"/>
      <c r="D46" s="12"/>
      <c r="E46" s="242"/>
      <c r="F46" s="48"/>
      <c r="G46" s="12"/>
      <c r="H46" s="12"/>
      <c r="I46" s="12"/>
      <c r="K46" s="12"/>
      <c r="L46" s="12"/>
      <c r="M46" s="12"/>
      <c r="N46" s="242"/>
      <c r="O46" s="113"/>
      <c r="P46" s="113"/>
      <c r="Q46" s="113"/>
      <c r="R46" s="12"/>
    </row>
    <row r="47" spans="2:18" s="7" customFormat="1" ht="15" x14ac:dyDescent="0.3">
      <c r="C47" s="12"/>
      <c r="D47" s="12"/>
      <c r="E47" s="242"/>
      <c r="F47" s="48"/>
      <c r="G47" s="12"/>
      <c r="H47" s="12"/>
      <c r="I47" s="12"/>
      <c r="K47" s="12"/>
      <c r="L47" s="12"/>
      <c r="M47" s="12"/>
      <c r="N47" s="242"/>
      <c r="O47" s="113"/>
      <c r="P47" s="113"/>
      <c r="Q47" s="113"/>
      <c r="R47" s="12"/>
    </row>
    <row r="48" spans="2:18" x14ac:dyDescent="0.25">
      <c r="G48" s="262"/>
    </row>
    <row r="59" spans="3:4" x14ac:dyDescent="0.3">
      <c r="C59" s="57" t="s">
        <v>58</v>
      </c>
    </row>
    <row r="60" spans="3:4" x14ac:dyDescent="0.3">
      <c r="C60" s="57" t="s">
        <v>11</v>
      </c>
      <c r="D60" s="118">
        <f>E40</f>
        <v>337157.91</v>
      </c>
    </row>
    <row r="61" spans="3:4" x14ac:dyDescent="0.3">
      <c r="C61" s="57" t="s">
        <v>5</v>
      </c>
      <c r="D61" s="118">
        <f>F37</f>
        <v>204371.33</v>
      </c>
    </row>
    <row r="62" spans="3:4" x14ac:dyDescent="0.3">
      <c r="C62" s="57" t="s">
        <v>6</v>
      </c>
      <c r="D62" s="118">
        <f>O37</f>
        <v>2400</v>
      </c>
    </row>
    <row r="63" spans="3:4" x14ac:dyDescent="0.3">
      <c r="C63" s="57" t="s">
        <v>9</v>
      </c>
      <c r="D63" s="118">
        <f>E45</f>
        <v>130386.57999999999</v>
      </c>
    </row>
  </sheetData>
  <mergeCells count="9">
    <mergeCell ref="C42:D42"/>
    <mergeCell ref="C43:D43"/>
    <mergeCell ref="C45:D45"/>
    <mergeCell ref="B3:I3"/>
    <mergeCell ref="K3:R3"/>
    <mergeCell ref="B37:E37"/>
    <mergeCell ref="K37:N37"/>
    <mergeCell ref="C40:D40"/>
    <mergeCell ref="C41:D41"/>
  </mergeCells>
  <phoneticPr fontId="78" type="noConversion"/>
  <printOptions horizontalCentered="1" verticalCentered="1"/>
  <pageMargins left="0" right="0" top="0" bottom="0" header="0" footer="0"/>
  <pageSetup paperSize="66" scale="4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ANO 1</vt:lpstr>
      <vt:lpstr>ANO 2</vt:lpstr>
      <vt:lpstr>ANO 3</vt:lpstr>
      <vt:lpstr>ANO 4</vt:lpstr>
      <vt:lpstr>'ANO 1'!Area_de_impressao</vt:lpstr>
      <vt:lpstr>'ANO 2'!Area_de_impressao</vt:lpstr>
      <vt:lpstr>'ANO 3'!Area_de_impressao</vt:lpstr>
      <vt:lpstr>'ANO 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CMT-33925</cp:lastModifiedBy>
  <cp:lastPrinted>2023-05-31T14:02:07Z</cp:lastPrinted>
  <dcterms:created xsi:type="dcterms:W3CDTF">2022-11-24T17:43:00Z</dcterms:created>
  <dcterms:modified xsi:type="dcterms:W3CDTF">2026-02-24T18:51:08Z</dcterms:modified>
</cp:coreProperties>
</file>