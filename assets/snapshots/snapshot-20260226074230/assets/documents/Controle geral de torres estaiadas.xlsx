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f616c988c69463/Acervo/dev/projects/presentation/assets/documents/"/>
    </mc:Choice>
  </mc:AlternateContent>
  <xr:revisionPtr revIDLastSave="0" documentId="8_{E06E98AB-EBD3-41D5-8A07-EDBED003E954}" xr6:coauthVersionLast="47" xr6:coauthVersionMax="47" xr10:uidLastSave="{00000000-0000-0000-0000-000000000000}"/>
  <bookViews>
    <workbookView xWindow="-110" yWindow="-110" windowWidth="25820" windowHeight="15500" xr2:uid="{3D89DE25-0F0D-4CF1-816C-657C0AD30D71}"/>
  </bookViews>
  <sheets>
    <sheet name="Gráficos" sheetId="7" r:id="rId1"/>
    <sheet name="Eixo Leste" sheetId="8" r:id="rId2"/>
    <sheet name="Eixo Norte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B66" i="7"/>
  <c r="B68" i="7"/>
  <c r="G74" i="8"/>
  <c r="G20" i="9"/>
  <c r="G19" i="9"/>
  <c r="G14" i="9"/>
  <c r="G13" i="9"/>
  <c r="G8" i="9"/>
  <c r="G7" i="9"/>
  <c r="G6" i="9"/>
  <c r="G5" i="9"/>
  <c r="G9" i="9" s="1"/>
  <c r="G6" i="8"/>
  <c r="G7" i="8"/>
  <c r="G8" i="8"/>
  <c r="G9" i="8"/>
  <c r="G10" i="8"/>
  <c r="G15" i="8"/>
  <c r="G16" i="8"/>
  <c r="G17" i="8"/>
  <c r="G18" i="8"/>
  <c r="G19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41" i="8"/>
  <c r="G42" i="8"/>
  <c r="G43" i="8"/>
  <c r="G44" i="8"/>
  <c r="G45" i="8"/>
  <c r="G46" i="8"/>
  <c r="G47" i="8"/>
  <c r="G48" i="8"/>
  <c r="G49" i="8"/>
  <c r="G54" i="8"/>
  <c r="G78" i="8" s="1"/>
  <c r="G55" i="8"/>
  <c r="G56" i="8"/>
  <c r="G57" i="8"/>
  <c r="G58" i="8"/>
  <c r="G59" i="8"/>
  <c r="G60" i="8"/>
  <c r="G61" i="8"/>
  <c r="G62" i="8"/>
  <c r="G63" i="8"/>
  <c r="G64" i="8"/>
  <c r="G65" i="8"/>
  <c r="G67" i="8"/>
  <c r="G68" i="8"/>
  <c r="G69" i="8"/>
  <c r="G70" i="8"/>
  <c r="G71" i="8"/>
  <c r="G72" i="8"/>
  <c r="G73" i="8"/>
  <c r="G75" i="8"/>
  <c r="G76" i="8"/>
  <c r="G77" i="8"/>
  <c r="G5" i="8"/>
  <c r="G15" i="9" l="1"/>
  <c r="G11" i="8"/>
  <c r="G21" i="9"/>
  <c r="G50" i="8"/>
  <c r="G37" i="8"/>
  <c r="G20" i="8"/>
  <c r="G80" i="8" l="1"/>
  <c r="G23" i="9"/>
  <c r="E69" i="7" l="1"/>
  <c r="E70" i="7" s="1"/>
  <c r="E66" i="7"/>
  <c r="E5" i="7"/>
  <c r="E72" i="7" s="1"/>
  <c r="E68" i="7" l="1"/>
</calcChain>
</file>

<file path=xl/sharedStrings.xml><?xml version="1.0" encoding="utf-8"?>
<sst xmlns="http://schemas.openxmlformats.org/spreadsheetml/2006/main" count="360" uniqueCount="92">
  <si>
    <t>Norte</t>
  </si>
  <si>
    <t>Torres estaiadas</t>
  </si>
  <si>
    <t>QTD</t>
  </si>
  <si>
    <t>Backups instalados</t>
  </si>
  <si>
    <t>Leste</t>
  </si>
  <si>
    <t>Total de estais</t>
  </si>
  <si>
    <t>Torres estaiadas sem backup</t>
  </si>
  <si>
    <t>Torres estaiadas com bacukp</t>
  </si>
  <si>
    <t>Total de estais sem backup</t>
  </si>
  <si>
    <t>Total de estais com backups</t>
  </si>
  <si>
    <t>Total de estais com backup corrigidos</t>
  </si>
  <si>
    <t>Total de estais sem backup corrigidos</t>
  </si>
  <si>
    <t>Estais com backup corrigidos</t>
  </si>
  <si>
    <t>Estais sem backup corrigidos</t>
  </si>
  <si>
    <t>Total de estais com backups não atendidos</t>
  </si>
  <si>
    <t>Total de estais sem backup não atendidos</t>
  </si>
  <si>
    <t>Trecho entre SE-E0 e SE-E1</t>
  </si>
  <si>
    <t>Torre</t>
  </si>
  <si>
    <t>Tipo</t>
  </si>
  <si>
    <t>Haste</t>
  </si>
  <si>
    <t>0/2</t>
  </si>
  <si>
    <t>ESTAIADA    V21S</t>
  </si>
  <si>
    <t>A</t>
  </si>
  <si>
    <t>B</t>
  </si>
  <si>
    <t>C</t>
  </si>
  <si>
    <t>D</t>
  </si>
  <si>
    <t>0/3</t>
  </si>
  <si>
    <t>1/1</t>
  </si>
  <si>
    <t>1/2</t>
  </si>
  <si>
    <t>2/1</t>
  </si>
  <si>
    <t>3/1</t>
  </si>
  <si>
    <t>Trecho entre SE-E0 e SE-E2</t>
  </si>
  <si>
    <t xml:space="preserve">1/1 A </t>
  </si>
  <si>
    <t>4/1</t>
  </si>
  <si>
    <t>4/2</t>
  </si>
  <si>
    <t>5/1</t>
  </si>
  <si>
    <t>Trecho entre SE-E2 e SE-E3</t>
  </si>
  <si>
    <t>2/2</t>
  </si>
  <si>
    <t>3/3</t>
  </si>
  <si>
    <t>5/2</t>
  </si>
  <si>
    <t>7/3</t>
  </si>
  <si>
    <t>8/1</t>
  </si>
  <si>
    <t>8/2</t>
  </si>
  <si>
    <t>11/2</t>
  </si>
  <si>
    <t>13/1</t>
  </si>
  <si>
    <t>14/1</t>
  </si>
  <si>
    <t>Trecho entre SE-E3 e SE-E4</t>
  </si>
  <si>
    <t>10/1</t>
  </si>
  <si>
    <t>11/1</t>
  </si>
  <si>
    <t>11/3</t>
  </si>
  <si>
    <t>12/2</t>
  </si>
  <si>
    <t>18/1</t>
  </si>
  <si>
    <t>27/2</t>
  </si>
  <si>
    <t>28/2</t>
  </si>
  <si>
    <t>Trecho entre SE-E4 e SE-E6</t>
  </si>
  <si>
    <t>7/2</t>
  </si>
  <si>
    <t>24/1</t>
  </si>
  <si>
    <t>28/1</t>
  </si>
  <si>
    <t>30/3</t>
  </si>
  <si>
    <t>32/3</t>
  </si>
  <si>
    <t>33/1</t>
  </si>
  <si>
    <t>34/1</t>
  </si>
  <si>
    <t>37/1</t>
  </si>
  <si>
    <t>37/2</t>
  </si>
  <si>
    <t>39/2</t>
  </si>
  <si>
    <t>40/1</t>
  </si>
  <si>
    <t>40/3</t>
  </si>
  <si>
    <t>44/1</t>
  </si>
  <si>
    <t>45/3</t>
  </si>
  <si>
    <t>46/1</t>
  </si>
  <si>
    <t>46/2</t>
  </si>
  <si>
    <t>47/1</t>
  </si>
  <si>
    <t>50/1</t>
  </si>
  <si>
    <t>51/2</t>
  </si>
  <si>
    <t>53/2</t>
  </si>
  <si>
    <t>55/2</t>
  </si>
  <si>
    <t>56/1</t>
  </si>
  <si>
    <t>57/1</t>
  </si>
  <si>
    <t>Soma total de estais com backups</t>
  </si>
  <si>
    <t>Eixo Leste</t>
  </si>
  <si>
    <t>Eixo Norte</t>
  </si>
  <si>
    <t>Trecho entre SE-BNO e SE-N3</t>
  </si>
  <si>
    <t>Trecho entre SE-N3 e SE-N2</t>
  </si>
  <si>
    <t>Trecho entre SE-N2 e SE-N1</t>
  </si>
  <si>
    <t>7/1</t>
  </si>
  <si>
    <t>9/1</t>
  </si>
  <si>
    <t>6/2</t>
  </si>
  <si>
    <t>42/3</t>
  </si>
  <si>
    <t>Execultada</t>
  </si>
  <si>
    <t>Executada</t>
  </si>
  <si>
    <t>Em Execução</t>
  </si>
  <si>
    <t>Sem 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</si>
</sst>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3" x14ac:knownFonts="1">
    <font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Arial"/>
      <family val="2"/>
    </font>
    <font>
      <b/>
      <sz val="9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DC393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ck">
        <color theme="0"/>
      </right>
      <top style="thick">
        <color theme="0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theme="1"/>
      </left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164" fontId="0" fillId="0" borderId="0" xfId="0" applyNumberFormat="1"/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top"/>
    </xf>
    <xf numFmtId="0" fontId="4" fillId="5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vertical="top"/>
    </xf>
    <xf numFmtId="0" fontId="3" fillId="4" borderId="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 wrapText="1"/>
    </xf>
    <xf numFmtId="49" fontId="4" fillId="5" borderId="8" xfId="0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0" fillId="6" borderId="0" xfId="0" applyFill="1" applyAlignment="1">
      <alignment vertical="top"/>
    </xf>
    <xf numFmtId="0" fontId="0" fillId="6" borderId="0" xfId="0" applyFill="1" applyAlignment="1">
      <alignment horizontal="center" vertical="top"/>
    </xf>
    <xf numFmtId="0" fontId="0" fillId="6" borderId="0" xfId="0" applyFill="1" applyAlignment="1">
      <alignment horizontal="center" vertical="center" wrapText="1"/>
    </xf>
    <xf numFmtId="0" fontId="0" fillId="6" borderId="0" xfId="0" applyFill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/>
    <xf numFmtId="0" fontId="12" fillId="3" borderId="1" xfId="0" applyFont="1" applyFill="1" applyBorder="1"/>
    <xf numFmtId="0" fontId="12" fillId="8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4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right" vertical="center"/>
    </xf>
    <xf numFmtId="0" fontId="0" fillId="6" borderId="2" xfId="0" applyFill="1" applyBorder="1" applyAlignment="1">
      <alignment horizontal="center" vertical="top" wrapText="1"/>
    </xf>
    <xf numFmtId="0" fontId="0" fillId="6" borderId="0" xfId="0" applyFill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Torres estaiadas - Eixo Norte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04-473E-BD7E-6D5FD7ABA9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04-473E-BD7E-6D5FD7ABA9E6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04-473E-BD7E-6D5FD7ABA9E6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04-473E-BD7E-6D5FD7ABA9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Gráficos!$A$66:$A$67</c:f>
              <c:strCache>
                <c:ptCount val="2"/>
                <c:pt idx="0">
                  <c:v>Torres estaiadas sem backup</c:v>
                </c:pt>
                <c:pt idx="1">
                  <c:v>Torres estaiadas com bacukp</c:v>
                </c:pt>
              </c:strCache>
            </c:strRef>
          </c:cat>
          <c:val>
            <c:numRef>
              <c:f>Gráficos!$B$66:$B$67</c:f>
              <c:numCache>
                <c:formatCode>General</c:formatCode>
                <c:ptCount val="2"/>
                <c:pt idx="0">
                  <c:v>126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3-4D69-AD92-55D938A61B6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Estais - Eixo Norte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7-466D-B405-8EDB3550B2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7-466D-B405-8EDB3550B26B}"/>
              </c:ext>
            </c:extLst>
          </c:dPt>
          <c:dLbls>
            <c:dLbl>
              <c:idx val="1"/>
              <c:layout>
                <c:manualLayout>
                  <c:x val="-4.4423053370159761E-2"/>
                  <c:y val="0.19999105225483177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0943477324248774"/>
                      <c:h val="0.1180454545454545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507-466D-B405-8EDB3550B26B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Gráficos!$A$68:$A$69</c:f>
              <c:strCache>
                <c:ptCount val="2"/>
                <c:pt idx="0">
                  <c:v>Total de estais sem backup</c:v>
                </c:pt>
                <c:pt idx="1">
                  <c:v>Total de estais com backups</c:v>
                </c:pt>
              </c:strCache>
            </c:strRef>
          </c:cat>
          <c:val>
            <c:numRef>
              <c:f>Gráficos!$B$68:$B$69</c:f>
              <c:numCache>
                <c:formatCode>General</c:formatCode>
                <c:ptCount val="2"/>
                <c:pt idx="0">
                  <c:v>520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2-498D-B0E6-ABE4CE25F30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Torres estaiadas - Eixo Leste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81-4052-8BC7-9232FD8940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81-4052-8BC7-9232FD894006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Gráficos!$D$66:$D$67</c:f>
              <c:strCache>
                <c:ptCount val="2"/>
                <c:pt idx="0">
                  <c:v>Torres estaiadas sem backup</c:v>
                </c:pt>
                <c:pt idx="1">
                  <c:v>Torres estaiadas com bacukp</c:v>
                </c:pt>
              </c:strCache>
            </c:strRef>
          </c:cat>
          <c:val>
            <c:numRef>
              <c:f>Gráficos!$E$66:$E$67</c:f>
              <c:numCache>
                <c:formatCode>General</c:formatCode>
                <c:ptCount val="2"/>
                <c:pt idx="0">
                  <c:v>183</c:v>
                </c:pt>
                <c:pt idx="1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1-4F62-868E-F978889E9ED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Estais -</a:t>
            </a:r>
            <a:r>
              <a:rPr lang="pt-BR" baseline="0"/>
              <a:t> Eixo Leste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4D-4D27-A940-7D3BE681F4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4D-4D27-A940-7D3BE681F4F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Gráficos!$D$68:$D$69</c:f>
              <c:strCache>
                <c:ptCount val="2"/>
                <c:pt idx="0">
                  <c:v>Total de estais sem backup</c:v>
                </c:pt>
                <c:pt idx="1">
                  <c:v>Total de estais com backups</c:v>
                </c:pt>
              </c:strCache>
            </c:strRef>
          </c:cat>
          <c:val>
            <c:numRef>
              <c:f>Gráficos!$E$68:$E$69</c:f>
              <c:numCache>
                <c:formatCode>General</c:formatCode>
                <c:ptCount val="2"/>
                <c:pt idx="0">
                  <c:v>858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6-452B-8AA4-4E4894E175F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Estais</a:t>
            </a:r>
            <a:r>
              <a:rPr lang="pt-BR" baseline="0"/>
              <a:t> sem backup Leste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DD-4649-B4EC-A231AE993D55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10F-43F2-8640-C50D1566D284}"/>
              </c:ext>
            </c:extLst>
          </c:dPt>
          <c:dLbls>
            <c:dLbl>
              <c:idx val="1"/>
              <c:layout>
                <c:manualLayout>
                  <c:x val="2.4884373202009993E-2"/>
                  <c:y val="0.1594676764638517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0F-43F2-8640-C50D1566D28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Gráficos!$D$72:$D$73</c:f>
              <c:strCache>
                <c:ptCount val="2"/>
                <c:pt idx="0">
                  <c:v>Total de estais sem backup não atendidos</c:v>
                </c:pt>
                <c:pt idx="1">
                  <c:v>Total de estais sem backup corrigidos</c:v>
                </c:pt>
              </c:strCache>
            </c:strRef>
          </c:cat>
          <c:val>
            <c:numRef>
              <c:f>Gráficos!$E$72:$E$73</c:f>
              <c:numCache>
                <c:formatCode>General</c:formatCode>
                <c:ptCount val="2"/>
                <c:pt idx="0">
                  <c:v>855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F-43F2-8640-C50D1566D28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Estais</a:t>
            </a:r>
            <a:r>
              <a:rPr lang="pt-BR" baseline="0"/>
              <a:t> com backup Leste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7C2-4421-9409-A375FCE191C1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C2-4421-9409-A375FCE191C1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Gráficos!$D$70:$D$71</c:f>
              <c:strCache>
                <c:ptCount val="2"/>
                <c:pt idx="0">
                  <c:v>Total de estais com backups não atendidos</c:v>
                </c:pt>
                <c:pt idx="1">
                  <c:v>Total de estais com backup corrigidos</c:v>
                </c:pt>
              </c:strCache>
            </c:strRef>
          </c:cat>
          <c:val>
            <c:numRef>
              <c:f>Gráficos!$E$70:$E$71</c:f>
              <c:numCache>
                <c:formatCode>General</c:formatCode>
                <c:ptCount val="2"/>
                <c:pt idx="0">
                  <c:v>89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2-4421-9409-A375FCE191C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Estais</a:t>
            </a:r>
            <a:r>
              <a:rPr lang="pt-BR" baseline="0"/>
              <a:t> com backup Norte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2E-4C84-ABB1-BC127F3A1B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2E-4C84-ABB1-BC127F3A1BA2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2E-4C84-ABB1-BC127F3A1BA2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601649888143177"/>
                      <c:h val="0.156352490745041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E2E-4C84-ABB1-BC127F3A1BA2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Gráficos!$D$82:$D$83</c:f>
              <c:strCache>
                <c:ptCount val="2"/>
                <c:pt idx="0">
                  <c:v>Total de estais com backups não atendidos</c:v>
                </c:pt>
                <c:pt idx="1">
                  <c:v>Total de estais com backup corrigidos</c:v>
                </c:pt>
              </c:strCache>
            </c:strRef>
          </c:cat>
          <c:val>
            <c:numRef>
              <c:f>Gráficos!$E$82:$E$83</c:f>
              <c:numCache>
                <c:formatCode>General</c:formatCode>
                <c:ptCount val="2"/>
                <c:pt idx="0">
                  <c:v>11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2E-4C84-ABB1-BC127F3A1BA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6A-4386-BB3E-50C3C8DC8B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6-3E2E-4C84-ABB1-BC127F3A1BA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Estais</a:t>
            </a:r>
            <a:r>
              <a:rPr lang="pt-BR" baseline="0"/>
              <a:t> sem backup Norte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1E-466C-93A7-36803A2B07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1E-466C-93A7-36803A2B0763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037961996199318"/>
                      <c:h val="0.170128411843287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E1E-466C-93A7-36803A2B0763}"/>
                </c:ext>
              </c:extLst>
            </c:dLbl>
            <c:dLbl>
              <c:idx val="1"/>
              <c:layout>
                <c:manualLayout>
                  <c:x val="1.995761126162398E-2"/>
                  <c:y val="0.1891163804012642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690263030784722"/>
                      <c:h val="0.152213104694515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E1E-466C-93A7-36803A2B076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Gráficos!$D$84:$D$85</c:f>
              <c:strCache>
                <c:ptCount val="2"/>
                <c:pt idx="0">
                  <c:v>Total de estais sem backup não atendidos</c:v>
                </c:pt>
                <c:pt idx="1">
                  <c:v>Total de estais sem backup corrigidos</c:v>
                </c:pt>
              </c:strCache>
            </c:strRef>
          </c:cat>
          <c:val>
            <c:numRef>
              <c:f>Gráficos!$E$84:$E$85</c:f>
              <c:numCache>
                <c:formatCode>General</c:formatCode>
                <c:ptCount val="2"/>
                <c:pt idx="0">
                  <c:v>518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1E-466C-93A7-36803A2B076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279399</xdr:colOff>
      <xdr:row>32</xdr:row>
      <xdr:rowOff>42334</xdr:rowOff>
    </xdr:from>
    <xdr:to>
      <xdr:col>11</xdr:col>
      <xdr:colOff>169333</xdr:colOff>
      <xdr:row>47</xdr:row>
      <xdr:rowOff>138430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C991AB5-A50B-4C3B-AF55-52E3D6AB9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8466</xdr:colOff>
      <xdr:row>32</xdr:row>
      <xdr:rowOff>129965</xdr:rowOff>
    </xdr:from>
    <xdr:to>
      <xdr:col>18</xdr:col>
      <xdr:colOff>245533</xdr:colOff>
      <xdr:row>47</xdr:row>
      <xdr:rowOff>129965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A1AC018-108B-4F2E-898E-16320775E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253999</xdr:colOff>
      <xdr:row>1</xdr:row>
      <xdr:rowOff>1270</xdr:rowOff>
    </xdr:from>
    <xdr:to>
      <xdr:col>11</xdr:col>
      <xdr:colOff>152399</xdr:colOff>
      <xdr:row>16</xdr:row>
      <xdr:rowOff>1270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0C70A0B-A1E8-4B9F-B97C-57DBAD377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16088</xdr:colOff>
      <xdr:row>1</xdr:row>
      <xdr:rowOff>25400</xdr:rowOff>
    </xdr:from>
    <xdr:to>
      <xdr:col>18</xdr:col>
      <xdr:colOff>160867</xdr:colOff>
      <xdr:row>15</xdr:row>
      <xdr:rowOff>177800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A18BEBE-D6F3-455D-BC09-E6F78E12B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601135</xdr:colOff>
      <xdr:row>16</xdr:row>
      <xdr:rowOff>85053</xdr:rowOff>
    </xdr:from>
    <xdr:to>
      <xdr:col>18</xdr:col>
      <xdr:colOff>220133</xdr:colOff>
      <xdr:row>31</xdr:row>
      <xdr:rowOff>126617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A047CB-B179-42DB-8DF0-C45040DB6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254000</xdr:colOff>
      <xdr:row>16</xdr:row>
      <xdr:rowOff>83514</xdr:rowOff>
    </xdr:from>
    <xdr:to>
      <xdr:col>11</xdr:col>
      <xdr:colOff>152401</xdr:colOff>
      <xdr:row>31</xdr:row>
      <xdr:rowOff>125078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57E092-5857-4577-B4AF-7AE8274CD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229370</xdr:colOff>
      <xdr:row>48</xdr:row>
      <xdr:rowOff>76200</xdr:rowOff>
    </xdr:from>
    <xdr:to>
      <xdr:col>11</xdr:col>
      <xdr:colOff>220133</xdr:colOff>
      <xdr:row>64</xdr:row>
      <xdr:rowOff>49260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0D22BD-2BD8-48C7-87DA-924D6EC5E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8467</xdr:colOff>
      <xdr:row>48</xdr:row>
      <xdr:rowOff>67733</xdr:rowOff>
    </xdr:from>
    <xdr:to>
      <xdr:col>18</xdr:col>
      <xdr:colOff>321733</xdr:colOff>
      <xdr:row>64</xdr:row>
      <xdr:rowOff>50800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A5A368-3A2E-4280-AB8E-5807A1469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4B67-E033-407C-8460-8E9088843FDF}">
  <dimension ref="A1:F85"/>
  <sheetViews>
    <sheetView tabSelected="1" zoomScale="90" zoomScaleNormal="90" workbookViewId="0">
      <selection sqref="A1:B1"/>
    </sheetView>
  </sheetViews>
  <sheetFormatPr defaultRowHeight="14.5" x14ac:dyDescent="0.35"/>
  <cols>
    <col min="1" max="1" width="26.26953125" bestFit="1" customWidth="1"/>
    <col min="4" max="4" width="40" customWidth="1"/>
    <col min="6" max="6" width="12.7265625" customWidth="1"/>
  </cols>
  <sheetData>
    <row r="1" spans="1:5" x14ac:dyDescent="0.35">
      <c r="A1" s="40" t="s">
        <v>0</v>
      </c>
      <c r="B1" s="41"/>
      <c r="D1" s="42" t="s">
        <v>4</v>
      </c>
      <c r="E1" s="42"/>
    </row>
    <row r="2" spans="1:5" x14ac:dyDescent="0.35">
      <c r="A2" s="1"/>
      <c r="B2" s="1" t="s">
        <v>2</v>
      </c>
      <c r="D2" s="1"/>
      <c r="E2" s="22" t="s">
        <v>2</v>
      </c>
    </row>
    <row r="3" spans="1:5" x14ac:dyDescent="0.35">
      <c r="A3" s="1" t="s">
        <v>1</v>
      </c>
      <c r="B3" s="1">
        <v>134</v>
      </c>
      <c r="C3" s="1"/>
      <c r="D3" s="1" t="s">
        <v>1</v>
      </c>
      <c r="E3" s="1">
        <v>240</v>
      </c>
    </row>
    <row r="4" spans="1:5" x14ac:dyDescent="0.35">
      <c r="A4" s="1" t="s">
        <v>7</v>
      </c>
      <c r="B4" s="1">
        <v>8</v>
      </c>
      <c r="D4" s="1" t="s">
        <v>7</v>
      </c>
      <c r="E4" s="1">
        <v>57</v>
      </c>
    </row>
    <row r="5" spans="1:5" x14ac:dyDescent="0.35">
      <c r="A5" s="1" t="s">
        <v>5</v>
      </c>
      <c r="B5" s="1">
        <f>B3*4</f>
        <v>536</v>
      </c>
      <c r="D5" s="1" t="s">
        <v>5</v>
      </c>
      <c r="E5" s="1">
        <f>E3*4</f>
        <v>960</v>
      </c>
    </row>
    <row r="6" spans="1:5" x14ac:dyDescent="0.35">
      <c r="A6" s="1" t="s">
        <v>3</v>
      </c>
      <c r="B6" s="1">
        <v>16</v>
      </c>
      <c r="D6" s="1" t="s">
        <v>3</v>
      </c>
      <c r="E6" s="1">
        <v>102</v>
      </c>
    </row>
    <row r="7" spans="1:5" x14ac:dyDescent="0.35">
      <c r="D7" s="1" t="s">
        <v>12</v>
      </c>
      <c r="E7" s="1">
        <v>13</v>
      </c>
    </row>
    <row r="8" spans="1:5" x14ac:dyDescent="0.35">
      <c r="D8" s="1" t="s">
        <v>13</v>
      </c>
      <c r="E8" s="1">
        <v>3</v>
      </c>
    </row>
    <row r="10" spans="1:5" x14ac:dyDescent="0.35">
      <c r="C10" s="2"/>
      <c r="D10" s="42" t="s">
        <v>0</v>
      </c>
      <c r="E10" s="42"/>
    </row>
    <row r="11" spans="1:5" x14ac:dyDescent="0.35">
      <c r="D11" s="1"/>
      <c r="E11" s="22" t="s">
        <v>2</v>
      </c>
    </row>
    <row r="12" spans="1:5" x14ac:dyDescent="0.35">
      <c r="D12" s="1" t="s">
        <v>1</v>
      </c>
      <c r="E12" s="1">
        <v>134</v>
      </c>
    </row>
    <row r="13" spans="1:5" x14ac:dyDescent="0.35">
      <c r="D13" s="1" t="s">
        <v>7</v>
      </c>
      <c r="E13" s="1">
        <v>8</v>
      </c>
    </row>
    <row r="14" spans="1:5" x14ac:dyDescent="0.35">
      <c r="D14" s="1" t="s">
        <v>5</v>
      </c>
      <c r="E14" s="1">
        <v>536</v>
      </c>
    </row>
    <row r="15" spans="1:5" x14ac:dyDescent="0.35">
      <c r="D15" s="1" t="s">
        <v>3</v>
      </c>
      <c r="E15" s="1">
        <v>16</v>
      </c>
    </row>
    <row r="16" spans="1:5" x14ac:dyDescent="0.35">
      <c r="D16" s="1" t="s">
        <v>12</v>
      </c>
      <c r="E16" s="1">
        <v>5</v>
      </c>
    </row>
    <row r="17" spans="4:5" x14ac:dyDescent="0.35">
      <c r="D17" s="1" t="s">
        <v>13</v>
      </c>
      <c r="E17" s="1">
        <v>2</v>
      </c>
    </row>
    <row r="64" spans="1:5" x14ac:dyDescent="0.35">
      <c r="A64" s="40" t="s">
        <v>0</v>
      </c>
      <c r="B64" s="41"/>
      <c r="D64" s="42" t="s">
        <v>4</v>
      </c>
      <c r="E64" s="42"/>
    </row>
    <row r="65" spans="1:6" x14ac:dyDescent="0.35">
      <c r="A65" s="1"/>
      <c r="B65" s="1" t="s">
        <v>2</v>
      </c>
      <c r="D65" s="1"/>
      <c r="E65" s="22" t="s">
        <v>2</v>
      </c>
    </row>
    <row r="66" spans="1:6" x14ac:dyDescent="0.35">
      <c r="A66" s="1" t="s">
        <v>6</v>
      </c>
      <c r="B66" s="1">
        <f>134-8</f>
        <v>126</v>
      </c>
      <c r="D66" s="1" t="s">
        <v>6</v>
      </c>
      <c r="E66" s="1">
        <f>E3-E4</f>
        <v>183</v>
      </c>
    </row>
    <row r="67" spans="1:6" x14ac:dyDescent="0.35">
      <c r="A67" s="1" t="s">
        <v>7</v>
      </c>
      <c r="B67" s="1">
        <v>8</v>
      </c>
      <c r="D67" s="1" t="s">
        <v>7</v>
      </c>
      <c r="E67" s="1">
        <v>57</v>
      </c>
    </row>
    <row r="68" spans="1:6" x14ac:dyDescent="0.35">
      <c r="A68" s="1" t="s">
        <v>8</v>
      </c>
      <c r="B68" s="1">
        <f>536-16</f>
        <v>520</v>
      </c>
      <c r="D68" s="1" t="s">
        <v>8</v>
      </c>
      <c r="E68" s="1">
        <f>E5-E6</f>
        <v>858</v>
      </c>
    </row>
    <row r="69" spans="1:6" x14ac:dyDescent="0.35">
      <c r="A69" s="1" t="s">
        <v>9</v>
      </c>
      <c r="B69" s="1">
        <v>16</v>
      </c>
      <c r="D69" s="1" t="s">
        <v>9</v>
      </c>
      <c r="E69" s="1">
        <f>E6</f>
        <v>102</v>
      </c>
    </row>
    <row r="70" spans="1:6" x14ac:dyDescent="0.35">
      <c r="D70" s="1" t="s">
        <v>14</v>
      </c>
      <c r="E70" s="1">
        <f>E69-E71</f>
        <v>89</v>
      </c>
      <c r="F70" s="39" t="s">
        <v>91</v>
      </c>
    </row>
    <row r="71" spans="1:6" x14ac:dyDescent="0.35">
      <c r="D71" s="1" t="s">
        <v>10</v>
      </c>
      <c r="E71" s="1">
        <v>13</v>
      </c>
    </row>
    <row r="72" spans="1:6" x14ac:dyDescent="0.35">
      <c r="D72" s="1" t="s">
        <v>15</v>
      </c>
      <c r="E72" s="1">
        <f>E5-E6-E8</f>
        <v>855</v>
      </c>
      <c r="F72" s="39" t="s">
        <v>91</v>
      </c>
    </row>
    <row r="73" spans="1:6" x14ac:dyDescent="0.35">
      <c r="D73" s="1" t="s">
        <v>11</v>
      </c>
      <c r="E73" s="1">
        <v>3</v>
      </c>
    </row>
    <row r="76" spans="1:6" x14ac:dyDescent="0.35">
      <c r="D76" s="42" t="s">
        <v>0</v>
      </c>
      <c r="E76" s="42"/>
    </row>
    <row r="77" spans="1:6" x14ac:dyDescent="0.35">
      <c r="D77" s="1"/>
      <c r="E77" s="22" t="s">
        <v>2</v>
      </c>
    </row>
    <row r="78" spans="1:6" x14ac:dyDescent="0.35">
      <c r="D78" s="1" t="s">
        <v>6</v>
      </c>
      <c r="E78" s="1">
        <v>126</v>
      </c>
    </row>
    <row r="79" spans="1:6" x14ac:dyDescent="0.35">
      <c r="D79" s="1" t="s">
        <v>7</v>
      </c>
      <c r="E79" s="1">
        <v>8</v>
      </c>
    </row>
    <row r="80" spans="1:6" x14ac:dyDescent="0.35">
      <c r="D80" s="1" t="s">
        <v>8</v>
      </c>
      <c r="E80" s="1">
        <v>520</v>
      </c>
    </row>
    <row r="81" spans="4:6" x14ac:dyDescent="0.35">
      <c r="D81" s="1" t="s">
        <v>9</v>
      </c>
      <c r="E81" s="1">
        <v>16</v>
      </c>
      <c r="F81" s="39" t="s">
        <v>91</v>
      </c>
    </row>
    <row r="82" spans="4:6" x14ac:dyDescent="0.35">
      <c r="D82" s="1" t="s">
        <v>14</v>
      </c>
      <c r="E82" s="1">
        <v>11</v>
      </c>
    </row>
    <row r="83" spans="4:6" x14ac:dyDescent="0.35">
      <c r="D83" s="1" t="s">
        <v>10</v>
      </c>
      <c r="E83" s="1">
        <v>5</v>
      </c>
    </row>
    <row r="84" spans="4:6" x14ac:dyDescent="0.35">
      <c r="D84" s="1" t="s">
        <v>15</v>
      </c>
      <c r="E84" s="1">
        <v>518</v>
      </c>
      <c r="F84" s="39" t="s">
        <v>91</v>
      </c>
    </row>
    <row r="85" spans="4:6" x14ac:dyDescent="0.35">
      <c r="D85" s="1" t="s">
        <v>11</v>
      </c>
      <c r="E85" s="1">
        <v>2</v>
      </c>
    </row>
  </sheetData>
  <mergeCells count="6">
    <mergeCell ref="A1:B1"/>
    <mergeCell ref="D1:E1"/>
    <mergeCell ref="A64:B64"/>
    <mergeCell ref="D64:E64"/>
    <mergeCell ref="D76:E76"/>
    <mergeCell ref="D10:E1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9E9D-FC99-45B7-B294-C5D56D121E41}">
  <dimension ref="A1:AV102"/>
  <sheetViews>
    <sheetView workbookViewId="0">
      <selection activeCell="W73" sqref="W73"/>
    </sheetView>
  </sheetViews>
  <sheetFormatPr defaultRowHeight="14.5" x14ac:dyDescent="0.35"/>
  <cols>
    <col min="2" max="2" width="22" customWidth="1"/>
    <col min="3" max="6" width="1.7265625" bestFit="1" customWidth="1"/>
    <col min="8" max="8" width="16.54296875" customWidth="1"/>
  </cols>
  <sheetData>
    <row r="1" spans="1:48" ht="38.5" customHeight="1" x14ac:dyDescent="0.35">
      <c r="A1" s="49" t="s">
        <v>79</v>
      </c>
      <c r="B1" s="50"/>
      <c r="C1" s="50"/>
      <c r="D1" s="50"/>
      <c r="E1" s="50"/>
      <c r="F1" s="50"/>
      <c r="G1" s="50"/>
      <c r="H1" s="27"/>
      <c r="I1" s="27"/>
      <c r="J1" s="27"/>
      <c r="K1" s="27"/>
      <c r="L1" s="27"/>
      <c r="M1" s="27"/>
      <c r="N1" s="27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</row>
    <row r="2" spans="1:48" x14ac:dyDescent="0.35">
      <c r="A2" s="45"/>
      <c r="B2" s="46"/>
      <c r="C2" s="46"/>
      <c r="D2" s="46"/>
      <c r="E2" s="46"/>
      <c r="F2" s="46"/>
      <c r="G2" s="46"/>
      <c r="H2" s="27"/>
      <c r="I2" s="27"/>
      <c r="J2" s="27"/>
      <c r="K2" s="27"/>
      <c r="L2" s="27"/>
      <c r="M2" s="27"/>
      <c r="N2" s="27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20" thickBot="1" x14ac:dyDescent="0.4">
      <c r="A3" s="47" t="s">
        <v>16</v>
      </c>
      <c r="B3" s="48"/>
      <c r="C3" s="48"/>
      <c r="D3" s="48"/>
      <c r="E3" s="48"/>
      <c r="F3" s="48"/>
      <c r="G3" s="48"/>
      <c r="H3" s="31"/>
      <c r="I3" s="31"/>
      <c r="J3" s="31"/>
      <c r="K3" s="31"/>
      <c r="L3" s="31"/>
      <c r="M3" s="31"/>
      <c r="N3" s="31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</row>
    <row r="4" spans="1:48" ht="15" thickTop="1" x14ac:dyDescent="0.35">
      <c r="A4" s="3" t="s">
        <v>17</v>
      </c>
      <c r="B4" s="4" t="s">
        <v>18</v>
      </c>
      <c r="C4" s="43" t="s">
        <v>19</v>
      </c>
      <c r="D4" s="43"/>
      <c r="E4" s="43"/>
      <c r="F4" s="43"/>
      <c r="G4" s="16" t="s">
        <v>2</v>
      </c>
      <c r="H4" s="15"/>
      <c r="I4" s="15"/>
      <c r="J4" s="27"/>
      <c r="K4" s="27"/>
      <c r="L4" s="27"/>
      <c r="M4" s="27"/>
      <c r="N4" s="27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</row>
    <row r="5" spans="1:48" ht="14.5" customHeight="1" x14ac:dyDescent="0.35">
      <c r="A5" s="5" t="s">
        <v>20</v>
      </c>
      <c r="B5" s="6" t="s">
        <v>21</v>
      </c>
      <c r="C5" s="9"/>
      <c r="D5" s="7" t="s">
        <v>23</v>
      </c>
      <c r="E5" s="7" t="s">
        <v>24</v>
      </c>
      <c r="F5" s="7" t="s">
        <v>25</v>
      </c>
      <c r="G5" s="6">
        <f>SUM(IF(C5&lt;&gt;0,1,0),IF(D5&lt;&gt;0,1,0),IF(E5&lt;&gt;0,1,0),IF(F5&lt;&gt;0,1,0))</f>
        <v>3</v>
      </c>
      <c r="H5" s="29"/>
      <c r="I5" s="29"/>
      <c r="J5" s="29"/>
      <c r="K5" s="29"/>
      <c r="L5" s="29"/>
      <c r="M5" s="29"/>
      <c r="N5" s="29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</row>
    <row r="6" spans="1:48" ht="14.5" customHeight="1" x14ac:dyDescent="0.35">
      <c r="A6" s="5" t="s">
        <v>26</v>
      </c>
      <c r="B6" s="6" t="s">
        <v>21</v>
      </c>
      <c r="C6" s="9"/>
      <c r="D6" s="9"/>
      <c r="E6" s="7" t="s">
        <v>24</v>
      </c>
      <c r="F6" s="9"/>
      <c r="G6" s="6">
        <f t="shared" ref="G6:G70" si="0">SUM(IF(C6&lt;&gt;0,1,0),IF(D6&lt;&gt;0,1,0),IF(E6&lt;&gt;0,1,0),IF(F6&lt;&gt;0,1,0))</f>
        <v>1</v>
      </c>
      <c r="H6" s="29"/>
      <c r="I6" s="29"/>
      <c r="J6" s="29"/>
      <c r="K6" s="29"/>
      <c r="L6" s="29"/>
      <c r="M6" s="29"/>
      <c r="N6" s="29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</row>
    <row r="7" spans="1:48" ht="14.5" customHeight="1" x14ac:dyDescent="0.35">
      <c r="A7" s="5" t="s">
        <v>27</v>
      </c>
      <c r="B7" s="6" t="s">
        <v>21</v>
      </c>
      <c r="C7" s="7" t="s">
        <v>22</v>
      </c>
      <c r="D7" s="9"/>
      <c r="E7" s="8"/>
      <c r="F7" s="8"/>
      <c r="G7" s="6">
        <f t="shared" si="0"/>
        <v>1</v>
      </c>
      <c r="H7" s="29"/>
      <c r="I7" s="29"/>
      <c r="J7" s="29"/>
      <c r="K7" s="29"/>
      <c r="L7" s="29"/>
      <c r="M7" s="29"/>
      <c r="N7" s="29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</row>
    <row r="8" spans="1:48" ht="14.5" customHeight="1" x14ac:dyDescent="0.35">
      <c r="A8" s="5" t="s">
        <v>28</v>
      </c>
      <c r="B8" s="6" t="s">
        <v>21</v>
      </c>
      <c r="C8" s="7" t="s">
        <v>22</v>
      </c>
      <c r="D8" s="7" t="s">
        <v>23</v>
      </c>
      <c r="E8" s="7" t="s">
        <v>24</v>
      </c>
      <c r="F8" s="7" t="s">
        <v>25</v>
      </c>
      <c r="G8" s="6">
        <f t="shared" si="0"/>
        <v>4</v>
      </c>
      <c r="H8" s="29"/>
      <c r="I8" s="29"/>
      <c r="J8" s="29"/>
      <c r="K8" s="29"/>
      <c r="L8" s="29"/>
      <c r="M8" s="29"/>
      <c r="N8" s="29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</row>
    <row r="9" spans="1:48" ht="14.5" customHeight="1" x14ac:dyDescent="0.35">
      <c r="A9" s="5" t="s">
        <v>29</v>
      </c>
      <c r="B9" s="6" t="s">
        <v>21</v>
      </c>
      <c r="C9" s="9"/>
      <c r="D9" s="8"/>
      <c r="E9" s="7" t="s">
        <v>24</v>
      </c>
      <c r="F9" s="9"/>
      <c r="G9" s="6">
        <f t="shared" si="0"/>
        <v>1</v>
      </c>
      <c r="H9" s="29"/>
      <c r="I9" s="29"/>
      <c r="J9" s="29"/>
      <c r="K9" s="29"/>
      <c r="L9" s="29"/>
      <c r="M9" s="29"/>
      <c r="N9" s="29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</row>
    <row r="10" spans="1:48" ht="14.5" customHeight="1" x14ac:dyDescent="0.35">
      <c r="A10" s="17" t="s">
        <v>30</v>
      </c>
      <c r="B10" s="18" t="s">
        <v>21</v>
      </c>
      <c r="C10" s="19"/>
      <c r="D10" s="19"/>
      <c r="E10" s="20" t="s">
        <v>24</v>
      </c>
      <c r="F10" s="19"/>
      <c r="G10" s="18">
        <f t="shared" si="0"/>
        <v>1</v>
      </c>
      <c r="H10" s="29"/>
      <c r="I10" s="29"/>
      <c r="J10" s="29"/>
      <c r="K10" s="29"/>
      <c r="L10" s="29"/>
      <c r="M10" s="29"/>
      <c r="N10" s="29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</row>
    <row r="11" spans="1:48" x14ac:dyDescent="0.35">
      <c r="A11" s="44" t="s">
        <v>9</v>
      </c>
      <c r="B11" s="44"/>
      <c r="C11" s="44"/>
      <c r="D11" s="44"/>
      <c r="E11" s="44"/>
      <c r="F11" s="44"/>
      <c r="G11" s="21">
        <f>SUM(G5:G10)</f>
        <v>11</v>
      </c>
      <c r="H11" s="32"/>
      <c r="I11" s="32"/>
      <c r="J11" s="32"/>
      <c r="K11" s="32"/>
      <c r="L11" s="32"/>
      <c r="M11" s="32"/>
      <c r="N11" s="32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</row>
    <row r="12" spans="1:48" x14ac:dyDescent="0.35">
      <c r="A12" s="26"/>
      <c r="B12" s="27"/>
      <c r="C12" s="28"/>
      <c r="D12" s="28"/>
      <c r="E12" s="28"/>
      <c r="F12" s="28"/>
      <c r="G12" s="29"/>
      <c r="H12" s="27"/>
      <c r="I12" s="27"/>
      <c r="J12" s="27"/>
      <c r="K12" s="27"/>
      <c r="L12" s="27"/>
      <c r="M12" s="27"/>
      <c r="N12" s="27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</row>
    <row r="13" spans="1:48" ht="20" thickBot="1" x14ac:dyDescent="0.4">
      <c r="A13" s="53" t="s">
        <v>31</v>
      </c>
      <c r="B13" s="52"/>
      <c r="C13" s="52"/>
      <c r="D13" s="52"/>
      <c r="E13" s="52"/>
      <c r="F13" s="52"/>
      <c r="G13" s="52"/>
      <c r="H13" s="31"/>
      <c r="I13" s="31"/>
      <c r="J13" s="31"/>
      <c r="K13" s="31"/>
      <c r="L13" s="31"/>
      <c r="M13" s="31"/>
      <c r="N13" s="31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</row>
    <row r="14" spans="1:48" ht="15" thickTop="1" x14ac:dyDescent="0.35">
      <c r="A14" s="3" t="s">
        <v>17</v>
      </c>
      <c r="B14" s="4" t="s">
        <v>18</v>
      </c>
      <c r="C14" s="43" t="s">
        <v>19</v>
      </c>
      <c r="D14" s="43"/>
      <c r="E14" s="43"/>
      <c r="F14" s="43"/>
      <c r="G14" s="16" t="s">
        <v>2</v>
      </c>
      <c r="H14" s="27"/>
      <c r="I14" s="27"/>
      <c r="J14" s="27"/>
      <c r="K14" s="27"/>
      <c r="L14" s="27"/>
      <c r="M14" s="27"/>
      <c r="N14" s="27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</row>
    <row r="15" spans="1:48" ht="14.5" customHeight="1" x14ac:dyDescent="0.35">
      <c r="A15" s="10" t="s">
        <v>32</v>
      </c>
      <c r="B15" s="6" t="s">
        <v>21</v>
      </c>
      <c r="C15" s="8"/>
      <c r="D15" s="7" t="s">
        <v>23</v>
      </c>
      <c r="E15" s="8"/>
      <c r="F15" s="7" t="s">
        <v>25</v>
      </c>
      <c r="G15" s="6">
        <f t="shared" si="0"/>
        <v>2</v>
      </c>
      <c r="H15" s="29"/>
      <c r="I15" s="29"/>
      <c r="J15" s="29"/>
      <c r="K15" s="29"/>
      <c r="L15" s="29"/>
      <c r="M15" s="29"/>
      <c r="N15" s="29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</row>
    <row r="16" spans="1:48" ht="14.5" customHeight="1" x14ac:dyDescent="0.35">
      <c r="A16" s="5" t="s">
        <v>28</v>
      </c>
      <c r="B16" s="6" t="s">
        <v>21</v>
      </c>
      <c r="C16" s="8"/>
      <c r="D16" s="7" t="s">
        <v>23</v>
      </c>
      <c r="E16" s="8"/>
      <c r="F16" s="8"/>
      <c r="G16" s="6">
        <f t="shared" si="0"/>
        <v>1</v>
      </c>
      <c r="H16" s="29"/>
      <c r="I16" s="29"/>
      <c r="J16" s="29"/>
      <c r="K16" s="29"/>
      <c r="L16" s="29"/>
      <c r="M16" s="29"/>
      <c r="N16" s="29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</row>
    <row r="17" spans="1:48" ht="14.5" customHeight="1" x14ac:dyDescent="0.35">
      <c r="A17" s="5" t="s">
        <v>33</v>
      </c>
      <c r="B17" s="6" t="s">
        <v>21</v>
      </c>
      <c r="C17" s="9"/>
      <c r="D17" s="7" t="s">
        <v>23</v>
      </c>
      <c r="E17" s="9"/>
      <c r="F17" s="7" t="s">
        <v>25</v>
      </c>
      <c r="G17" s="6">
        <f t="shared" si="0"/>
        <v>2</v>
      </c>
      <c r="H17" s="29"/>
      <c r="I17" s="29"/>
      <c r="J17" s="29"/>
      <c r="K17" s="29"/>
      <c r="L17" s="29"/>
      <c r="M17" s="29"/>
      <c r="N17" s="29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</row>
    <row r="18" spans="1:48" ht="14.5" customHeight="1" x14ac:dyDescent="0.35">
      <c r="A18" s="5" t="s">
        <v>34</v>
      </c>
      <c r="B18" s="6" t="s">
        <v>21</v>
      </c>
      <c r="C18" s="7" t="s">
        <v>22</v>
      </c>
      <c r="D18" s="7" t="s">
        <v>23</v>
      </c>
      <c r="E18" s="7" t="s">
        <v>24</v>
      </c>
      <c r="F18" s="7" t="s">
        <v>25</v>
      </c>
      <c r="G18" s="6">
        <f t="shared" si="0"/>
        <v>4</v>
      </c>
      <c r="H18" s="29"/>
      <c r="I18" s="29"/>
      <c r="J18" s="29"/>
      <c r="K18" s="29"/>
      <c r="L18" s="29"/>
      <c r="M18" s="29"/>
      <c r="N18" s="29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</row>
    <row r="19" spans="1:48" ht="14.5" customHeight="1" x14ac:dyDescent="0.35">
      <c r="A19" s="17" t="s">
        <v>35</v>
      </c>
      <c r="B19" s="18" t="s">
        <v>21</v>
      </c>
      <c r="C19" s="19"/>
      <c r="D19" s="20" t="s">
        <v>23</v>
      </c>
      <c r="E19" s="20" t="s">
        <v>24</v>
      </c>
      <c r="F19" s="20" t="s">
        <v>25</v>
      </c>
      <c r="G19" s="6">
        <f t="shared" si="0"/>
        <v>3</v>
      </c>
      <c r="H19" s="29"/>
      <c r="I19" s="29"/>
      <c r="J19" s="29"/>
      <c r="K19" s="29"/>
      <c r="L19" s="29"/>
      <c r="M19" s="29"/>
      <c r="N19" s="29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</row>
    <row r="20" spans="1:48" x14ac:dyDescent="0.35">
      <c r="A20" s="44" t="s">
        <v>9</v>
      </c>
      <c r="B20" s="44"/>
      <c r="C20" s="44"/>
      <c r="D20" s="44"/>
      <c r="E20" s="44"/>
      <c r="F20" s="44"/>
      <c r="G20" s="21">
        <f>SUM(G15:G19)</f>
        <v>12</v>
      </c>
      <c r="H20" s="32"/>
      <c r="I20" s="32"/>
      <c r="J20" s="32"/>
      <c r="K20" s="32"/>
      <c r="L20" s="32"/>
      <c r="M20" s="32"/>
      <c r="N20" s="32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</row>
    <row r="21" spans="1:48" x14ac:dyDescent="0.35">
      <c r="A21" s="26"/>
      <c r="B21" s="27"/>
      <c r="C21" s="28"/>
      <c r="D21" s="28"/>
      <c r="E21" s="28"/>
      <c r="F21" s="28"/>
      <c r="G21" s="29"/>
      <c r="H21" s="27"/>
      <c r="I21" s="27"/>
      <c r="J21" s="27"/>
      <c r="K21" s="27"/>
      <c r="L21" s="27"/>
      <c r="M21" s="27"/>
      <c r="N21" s="27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</row>
    <row r="22" spans="1:48" ht="20" thickBot="1" x14ac:dyDescent="0.4">
      <c r="A22" s="51" t="s">
        <v>36</v>
      </c>
      <c r="B22" s="52"/>
      <c r="C22" s="52"/>
      <c r="D22" s="52"/>
      <c r="E22" s="52"/>
      <c r="F22" s="52"/>
      <c r="G22" s="52"/>
      <c r="H22" s="31"/>
      <c r="I22" s="31"/>
      <c r="J22" s="31"/>
      <c r="K22" s="31"/>
      <c r="L22" s="31"/>
      <c r="M22" s="31"/>
      <c r="N22" s="31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</row>
    <row r="23" spans="1:48" ht="15" thickTop="1" x14ac:dyDescent="0.35">
      <c r="A23" s="11" t="s">
        <v>17</v>
      </c>
      <c r="B23" s="4" t="s">
        <v>18</v>
      </c>
      <c r="C23" s="43" t="s">
        <v>19</v>
      </c>
      <c r="D23" s="43"/>
      <c r="E23" s="43"/>
      <c r="F23" s="43"/>
      <c r="G23" s="16" t="s">
        <v>2</v>
      </c>
      <c r="H23" s="27"/>
      <c r="I23" s="27"/>
      <c r="J23" s="27"/>
      <c r="K23" s="27"/>
      <c r="L23" s="27"/>
      <c r="M23" s="27"/>
      <c r="N23" s="27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</row>
    <row r="24" spans="1:48" x14ac:dyDescent="0.35">
      <c r="A24" s="5" t="s">
        <v>28</v>
      </c>
      <c r="B24" s="6" t="s">
        <v>21</v>
      </c>
      <c r="C24" s="7" t="s">
        <v>22</v>
      </c>
      <c r="D24" s="8"/>
      <c r="E24" s="8"/>
      <c r="F24" s="8"/>
      <c r="G24" s="6">
        <f t="shared" si="0"/>
        <v>1</v>
      </c>
      <c r="H24" s="29"/>
      <c r="I24" s="29"/>
      <c r="J24" s="29"/>
      <c r="K24" s="29"/>
      <c r="L24" s="29"/>
      <c r="M24" s="29"/>
      <c r="N24" s="29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</row>
    <row r="25" spans="1:48" x14ac:dyDescent="0.35">
      <c r="A25" s="5" t="s">
        <v>37</v>
      </c>
      <c r="B25" s="6" t="s">
        <v>21</v>
      </c>
      <c r="C25" s="8"/>
      <c r="D25" s="8"/>
      <c r="E25" s="7" t="s">
        <v>24</v>
      </c>
      <c r="F25" s="7" t="s">
        <v>25</v>
      </c>
      <c r="G25" s="6">
        <f t="shared" si="0"/>
        <v>2</v>
      </c>
      <c r="H25" s="29"/>
      <c r="I25" s="29"/>
      <c r="J25" s="29"/>
      <c r="K25" s="29"/>
      <c r="L25" s="29"/>
      <c r="M25" s="29"/>
      <c r="N25" s="29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</row>
    <row r="26" spans="1:48" x14ac:dyDescent="0.35">
      <c r="A26" s="10" t="s">
        <v>30</v>
      </c>
      <c r="B26" s="6" t="s">
        <v>21</v>
      </c>
      <c r="C26" s="8"/>
      <c r="D26" s="8"/>
      <c r="E26" s="8"/>
      <c r="F26" s="7" t="s">
        <v>25</v>
      </c>
      <c r="G26" s="6">
        <f t="shared" si="0"/>
        <v>1</v>
      </c>
      <c r="H26" s="29"/>
      <c r="I26" s="29"/>
      <c r="J26" s="29"/>
      <c r="K26" s="29"/>
      <c r="L26" s="29"/>
      <c r="M26" s="29"/>
      <c r="N26" s="29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</row>
    <row r="27" spans="1:48" x14ac:dyDescent="0.35">
      <c r="A27" s="10" t="s">
        <v>38</v>
      </c>
      <c r="B27" s="6" t="s">
        <v>21</v>
      </c>
      <c r="C27" s="9"/>
      <c r="D27" s="9"/>
      <c r="E27" s="9"/>
      <c r="F27" s="7" t="s">
        <v>25</v>
      </c>
      <c r="G27" s="6">
        <f t="shared" si="0"/>
        <v>1</v>
      </c>
      <c r="H27" s="29"/>
      <c r="I27" s="29"/>
      <c r="J27" s="29"/>
      <c r="K27" s="29"/>
      <c r="L27" s="29"/>
      <c r="M27" s="29"/>
      <c r="N27" s="29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</row>
    <row r="28" spans="1:48" x14ac:dyDescent="0.35">
      <c r="A28" s="5" t="s">
        <v>33</v>
      </c>
      <c r="B28" s="6" t="s">
        <v>21</v>
      </c>
      <c r="C28" s="9"/>
      <c r="D28" s="9"/>
      <c r="E28" s="9"/>
      <c r="F28" s="7" t="s">
        <v>25</v>
      </c>
      <c r="G28" s="6">
        <f t="shared" si="0"/>
        <v>1</v>
      </c>
      <c r="H28" s="29"/>
      <c r="I28" s="29"/>
      <c r="J28" s="29"/>
      <c r="K28" s="29"/>
      <c r="L28" s="29"/>
      <c r="M28" s="29"/>
      <c r="N28" s="29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</row>
    <row r="29" spans="1:48" x14ac:dyDescent="0.35">
      <c r="A29" s="5" t="s">
        <v>34</v>
      </c>
      <c r="B29" s="6" t="s">
        <v>21</v>
      </c>
      <c r="C29" s="7" t="s">
        <v>22</v>
      </c>
      <c r="D29" s="8"/>
      <c r="E29" s="7" t="s">
        <v>24</v>
      </c>
      <c r="F29" s="7" t="s">
        <v>25</v>
      </c>
      <c r="G29" s="6">
        <f t="shared" si="0"/>
        <v>3</v>
      </c>
      <c r="H29" s="29"/>
      <c r="I29" s="29"/>
      <c r="J29" s="29"/>
      <c r="K29" s="29"/>
      <c r="L29" s="29"/>
      <c r="M29" s="29"/>
      <c r="N29" s="29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</row>
    <row r="30" spans="1:48" x14ac:dyDescent="0.35">
      <c r="A30" s="5" t="s">
        <v>39</v>
      </c>
      <c r="B30" s="6" t="s">
        <v>21</v>
      </c>
      <c r="C30" s="7" t="s">
        <v>22</v>
      </c>
      <c r="D30" s="7" t="s">
        <v>23</v>
      </c>
      <c r="E30" s="7" t="s">
        <v>24</v>
      </c>
      <c r="F30" s="7" t="s">
        <v>25</v>
      </c>
      <c r="G30" s="6">
        <f t="shared" si="0"/>
        <v>4</v>
      </c>
      <c r="H30" s="29"/>
      <c r="I30" s="33"/>
      <c r="J30" s="29"/>
      <c r="K30" s="29"/>
      <c r="L30" s="29"/>
      <c r="M30" s="29"/>
      <c r="N30" s="29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</row>
    <row r="31" spans="1:48" x14ac:dyDescent="0.35">
      <c r="A31" s="10" t="s">
        <v>40</v>
      </c>
      <c r="B31" s="6" t="s">
        <v>21</v>
      </c>
      <c r="C31" s="8"/>
      <c r="D31" s="8"/>
      <c r="E31" s="8"/>
      <c r="F31" s="7" t="s">
        <v>25</v>
      </c>
      <c r="G31" s="6">
        <f t="shared" si="0"/>
        <v>1</v>
      </c>
      <c r="H31" s="29"/>
      <c r="I31" s="33"/>
      <c r="J31" s="29"/>
      <c r="K31" s="29"/>
      <c r="L31" s="29"/>
      <c r="M31" s="29"/>
      <c r="N31" s="29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</row>
    <row r="32" spans="1:48" x14ac:dyDescent="0.35">
      <c r="A32" s="10" t="s">
        <v>41</v>
      </c>
      <c r="B32" s="6" t="s">
        <v>21</v>
      </c>
      <c r="C32" s="7" t="s">
        <v>22</v>
      </c>
      <c r="D32" s="7" t="s">
        <v>23</v>
      </c>
      <c r="E32" s="7" t="s">
        <v>24</v>
      </c>
      <c r="F32" s="7" t="s">
        <v>25</v>
      </c>
      <c r="G32" s="6">
        <f t="shared" si="0"/>
        <v>4</v>
      </c>
      <c r="H32" s="29"/>
      <c r="I32" s="33"/>
      <c r="J32" s="29"/>
      <c r="K32" s="29"/>
      <c r="L32" s="29"/>
      <c r="M32" s="29"/>
      <c r="N32" s="29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</row>
    <row r="33" spans="1:48" x14ac:dyDescent="0.35">
      <c r="A33" s="10" t="s">
        <v>42</v>
      </c>
      <c r="B33" s="6" t="s">
        <v>21</v>
      </c>
      <c r="C33" s="9"/>
      <c r="D33" s="7" t="s">
        <v>23</v>
      </c>
      <c r="E33" s="8"/>
      <c r="F33" s="7" t="s">
        <v>25</v>
      </c>
      <c r="G33" s="6">
        <f t="shared" si="0"/>
        <v>2</v>
      </c>
      <c r="H33" s="29"/>
      <c r="I33" s="33"/>
      <c r="J33" s="29"/>
      <c r="K33" s="29"/>
      <c r="L33" s="29"/>
      <c r="M33" s="29"/>
      <c r="N33" s="29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</row>
    <row r="34" spans="1:48" x14ac:dyDescent="0.35">
      <c r="A34" s="5" t="s">
        <v>43</v>
      </c>
      <c r="B34" s="6" t="s">
        <v>21</v>
      </c>
      <c r="C34" s="7" t="s">
        <v>22</v>
      </c>
      <c r="D34" s="7" t="s">
        <v>23</v>
      </c>
      <c r="E34" s="8"/>
      <c r="F34" s="8"/>
      <c r="G34" s="6">
        <f t="shared" si="0"/>
        <v>2</v>
      </c>
      <c r="H34" s="29"/>
      <c r="I34" s="33"/>
      <c r="J34" s="29"/>
      <c r="K34" s="29"/>
      <c r="L34" s="29"/>
      <c r="M34" s="29"/>
      <c r="N34" s="29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</row>
    <row r="35" spans="1:48" x14ac:dyDescent="0.35">
      <c r="A35" s="10" t="s">
        <v>44</v>
      </c>
      <c r="B35" s="6" t="s">
        <v>21</v>
      </c>
      <c r="C35" s="12"/>
      <c r="D35" s="12"/>
      <c r="E35" s="7" t="s">
        <v>24</v>
      </c>
      <c r="F35" s="12"/>
      <c r="G35" s="6">
        <f t="shared" si="0"/>
        <v>1</v>
      </c>
      <c r="H35" s="29"/>
      <c r="I35" s="33"/>
      <c r="J35" s="29"/>
      <c r="K35" s="29"/>
      <c r="L35" s="29"/>
      <c r="M35" s="29"/>
      <c r="N35" s="29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</row>
    <row r="36" spans="1:48" x14ac:dyDescent="0.35">
      <c r="A36" s="24" t="s">
        <v>45</v>
      </c>
      <c r="B36" s="18" t="s">
        <v>21</v>
      </c>
      <c r="C36" s="20" t="s">
        <v>22</v>
      </c>
      <c r="D36" s="25"/>
      <c r="E36" s="25"/>
      <c r="F36" s="25"/>
      <c r="G36" s="18">
        <f t="shared" si="0"/>
        <v>1</v>
      </c>
      <c r="H36" s="29"/>
      <c r="I36" s="33"/>
      <c r="J36" s="29"/>
      <c r="K36" s="29"/>
      <c r="L36" s="29"/>
      <c r="M36" s="29"/>
      <c r="N36" s="29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</row>
    <row r="37" spans="1:48" x14ac:dyDescent="0.35">
      <c r="A37" s="44" t="s">
        <v>9</v>
      </c>
      <c r="B37" s="44"/>
      <c r="C37" s="44"/>
      <c r="D37" s="44"/>
      <c r="E37" s="44"/>
      <c r="F37" s="44"/>
      <c r="G37" s="21">
        <f>SUM(G24:G36)</f>
        <v>24</v>
      </c>
      <c r="H37" s="32"/>
      <c r="I37" s="33"/>
      <c r="J37" s="32"/>
      <c r="K37" s="32"/>
      <c r="L37" s="32"/>
      <c r="M37" s="32"/>
      <c r="N37" s="32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</row>
    <row r="38" spans="1:48" x14ac:dyDescent="0.35">
      <c r="A38" s="26"/>
      <c r="B38" s="27"/>
      <c r="C38" s="28"/>
      <c r="D38" s="28"/>
      <c r="E38" s="28"/>
      <c r="F38" s="28"/>
      <c r="G38" s="29"/>
      <c r="H38" s="27"/>
      <c r="I38" s="33"/>
      <c r="J38" s="27"/>
      <c r="K38" s="27"/>
      <c r="L38" s="27"/>
      <c r="M38" s="27"/>
      <c r="N38" s="27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</row>
    <row r="39" spans="1:48" ht="20" thickBot="1" x14ac:dyDescent="0.4">
      <c r="A39" s="53" t="s">
        <v>46</v>
      </c>
      <c r="B39" s="52"/>
      <c r="C39" s="52"/>
      <c r="D39" s="52"/>
      <c r="E39" s="52"/>
      <c r="F39" s="52"/>
      <c r="G39" s="52"/>
      <c r="H39" s="31"/>
      <c r="I39" s="33"/>
      <c r="J39" s="31"/>
      <c r="K39" s="31"/>
      <c r="L39" s="31"/>
      <c r="M39" s="31"/>
      <c r="N39" s="31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</row>
    <row r="40" spans="1:48" ht="15" thickTop="1" x14ac:dyDescent="0.35">
      <c r="A40" s="3" t="s">
        <v>17</v>
      </c>
      <c r="B40" s="4" t="s">
        <v>18</v>
      </c>
      <c r="C40" s="43" t="s">
        <v>19</v>
      </c>
      <c r="D40" s="43"/>
      <c r="E40" s="43"/>
      <c r="F40" s="43"/>
      <c r="G40" s="16" t="s">
        <v>2</v>
      </c>
      <c r="H40" s="27"/>
      <c r="I40" s="33"/>
      <c r="J40" s="27"/>
      <c r="K40" s="27"/>
      <c r="L40" s="27"/>
      <c r="M40" s="27"/>
      <c r="N40" s="27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</row>
    <row r="41" spans="1:48" x14ac:dyDescent="0.35">
      <c r="A41" s="10" t="s">
        <v>47</v>
      </c>
      <c r="B41" s="6" t="s">
        <v>21</v>
      </c>
      <c r="C41" s="8"/>
      <c r="D41" s="8"/>
      <c r="E41" s="7" t="s">
        <v>24</v>
      </c>
      <c r="F41" s="8"/>
      <c r="G41" s="6">
        <f t="shared" si="0"/>
        <v>1</v>
      </c>
      <c r="H41" s="29"/>
      <c r="I41" s="33"/>
      <c r="J41" s="29"/>
      <c r="K41" s="29"/>
      <c r="L41" s="29"/>
      <c r="M41" s="29"/>
      <c r="N41" s="29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</row>
    <row r="42" spans="1:48" x14ac:dyDescent="0.35">
      <c r="A42" s="5" t="s">
        <v>48</v>
      </c>
      <c r="B42" s="6" t="s">
        <v>21</v>
      </c>
      <c r="C42" s="8"/>
      <c r="D42" s="7" t="s">
        <v>23</v>
      </c>
      <c r="E42" s="8"/>
      <c r="F42" s="8"/>
      <c r="G42" s="6">
        <f t="shared" si="0"/>
        <v>1</v>
      </c>
      <c r="H42" s="29"/>
      <c r="I42" s="29"/>
      <c r="J42" s="29"/>
      <c r="K42" s="29"/>
      <c r="L42" s="29"/>
      <c r="M42" s="29"/>
      <c r="N42" s="29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</row>
    <row r="43" spans="1:48" x14ac:dyDescent="0.35">
      <c r="A43" s="5" t="s">
        <v>43</v>
      </c>
      <c r="B43" s="6" t="s">
        <v>21</v>
      </c>
      <c r="C43" s="13"/>
      <c r="D43" s="7" t="s">
        <v>23</v>
      </c>
      <c r="E43" s="7" t="s">
        <v>24</v>
      </c>
      <c r="F43" s="8"/>
      <c r="G43" s="6">
        <f t="shared" si="0"/>
        <v>2</v>
      </c>
      <c r="H43" s="29"/>
      <c r="I43" s="29"/>
      <c r="J43" s="29"/>
      <c r="K43" s="29"/>
      <c r="L43" s="29"/>
      <c r="M43" s="29"/>
      <c r="N43" s="29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</row>
    <row r="44" spans="1:48" x14ac:dyDescent="0.35">
      <c r="A44" s="5" t="s">
        <v>49</v>
      </c>
      <c r="B44" s="6" t="s">
        <v>21</v>
      </c>
      <c r="C44" s="13"/>
      <c r="D44" s="7" t="s">
        <v>23</v>
      </c>
      <c r="E44" s="8"/>
      <c r="F44" s="8"/>
      <c r="G44" s="6">
        <f t="shared" si="0"/>
        <v>1</v>
      </c>
      <c r="H44" s="29"/>
      <c r="I44" s="29"/>
      <c r="J44" s="29"/>
      <c r="K44" s="29"/>
      <c r="L44" s="29"/>
      <c r="M44" s="29"/>
      <c r="N44" s="29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</row>
    <row r="45" spans="1:48" x14ac:dyDescent="0.35">
      <c r="A45" s="10" t="s">
        <v>50</v>
      </c>
      <c r="B45" s="6" t="s">
        <v>21</v>
      </c>
      <c r="C45" s="7" t="s">
        <v>22</v>
      </c>
      <c r="D45" s="8"/>
      <c r="E45" s="8"/>
      <c r="F45" s="8"/>
      <c r="G45" s="6">
        <f t="shared" si="0"/>
        <v>1</v>
      </c>
      <c r="H45" s="29"/>
      <c r="I45" s="29"/>
      <c r="J45" s="29"/>
      <c r="K45" s="29"/>
      <c r="L45" s="29"/>
      <c r="M45" s="29"/>
      <c r="N45" s="29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</row>
    <row r="46" spans="1:48" x14ac:dyDescent="0.35">
      <c r="A46" s="10" t="s">
        <v>45</v>
      </c>
      <c r="B46" s="6" t="s">
        <v>21</v>
      </c>
      <c r="C46" s="8"/>
      <c r="D46" s="8"/>
      <c r="E46" s="8"/>
      <c r="F46" s="7" t="s">
        <v>25</v>
      </c>
      <c r="G46" s="6">
        <f t="shared" si="0"/>
        <v>1</v>
      </c>
      <c r="H46" s="29"/>
      <c r="I46" s="29"/>
      <c r="J46" s="29"/>
      <c r="K46" s="29"/>
      <c r="L46" s="29"/>
      <c r="M46" s="29"/>
      <c r="N46" s="29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</row>
    <row r="47" spans="1:48" x14ac:dyDescent="0.35">
      <c r="A47" s="10" t="s">
        <v>51</v>
      </c>
      <c r="B47" s="6" t="s">
        <v>21</v>
      </c>
      <c r="C47" s="7" t="s">
        <v>22</v>
      </c>
      <c r="D47" s="7" t="s">
        <v>23</v>
      </c>
      <c r="E47" s="7" t="s">
        <v>24</v>
      </c>
      <c r="F47" s="9"/>
      <c r="G47" s="6">
        <f t="shared" si="0"/>
        <v>3</v>
      </c>
      <c r="H47" s="29"/>
      <c r="I47" s="29"/>
      <c r="J47" s="29"/>
      <c r="K47" s="29"/>
      <c r="L47" s="29"/>
      <c r="M47" s="29"/>
      <c r="N47" s="29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</row>
    <row r="48" spans="1:48" x14ac:dyDescent="0.35">
      <c r="A48" s="10" t="s">
        <v>52</v>
      </c>
      <c r="B48" s="6" t="s">
        <v>21</v>
      </c>
      <c r="C48" s="8"/>
      <c r="D48" s="7" t="s">
        <v>23</v>
      </c>
      <c r="E48" s="8"/>
      <c r="F48" s="9"/>
      <c r="G48" s="6">
        <f t="shared" si="0"/>
        <v>1</v>
      </c>
      <c r="H48" s="29"/>
      <c r="I48" s="29"/>
      <c r="J48" s="29"/>
      <c r="K48" s="29"/>
      <c r="L48" s="29"/>
      <c r="M48" s="29"/>
      <c r="N48" s="29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</row>
    <row r="49" spans="1:48" x14ac:dyDescent="0.35">
      <c r="A49" s="17" t="s">
        <v>53</v>
      </c>
      <c r="B49" s="18" t="s">
        <v>21</v>
      </c>
      <c r="C49" s="20" t="s">
        <v>22</v>
      </c>
      <c r="D49" s="23"/>
      <c r="E49" s="19"/>
      <c r="F49" s="19"/>
      <c r="G49" s="6">
        <f t="shared" si="0"/>
        <v>1</v>
      </c>
      <c r="H49" s="29"/>
      <c r="I49" s="29"/>
      <c r="J49" s="29"/>
      <c r="K49" s="29"/>
      <c r="L49" s="29"/>
      <c r="M49" s="29"/>
      <c r="N49" s="29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</row>
    <row r="50" spans="1:48" x14ac:dyDescent="0.35">
      <c r="A50" s="44" t="s">
        <v>9</v>
      </c>
      <c r="B50" s="44"/>
      <c r="C50" s="44"/>
      <c r="D50" s="44"/>
      <c r="E50" s="44"/>
      <c r="F50" s="44"/>
      <c r="G50" s="21">
        <f>SUM(G41:G49)</f>
        <v>12</v>
      </c>
      <c r="H50" s="32"/>
      <c r="I50" s="32"/>
      <c r="J50" s="32"/>
      <c r="K50" s="32"/>
      <c r="L50" s="32"/>
      <c r="M50" s="32"/>
      <c r="N50" s="32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</row>
    <row r="51" spans="1:48" x14ac:dyDescent="0.35">
      <c r="A51" s="26"/>
      <c r="B51" s="27"/>
      <c r="C51" s="28"/>
      <c r="D51" s="28"/>
      <c r="E51" s="28"/>
      <c r="F51" s="28"/>
      <c r="G51" s="29"/>
      <c r="H51" s="27"/>
      <c r="I51" s="27"/>
      <c r="J51" s="27"/>
      <c r="K51" s="27"/>
      <c r="L51" s="27"/>
      <c r="M51" s="27"/>
      <c r="N51" s="27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</row>
    <row r="52" spans="1:48" ht="20" thickBot="1" x14ac:dyDescent="0.4">
      <c r="A52" s="53" t="s">
        <v>54</v>
      </c>
      <c r="B52" s="52"/>
      <c r="C52" s="52"/>
      <c r="D52" s="52"/>
      <c r="E52" s="52"/>
      <c r="F52" s="52"/>
      <c r="G52" s="52"/>
      <c r="H52" s="31"/>
      <c r="I52" s="31"/>
      <c r="J52" s="31"/>
      <c r="K52" s="31"/>
      <c r="L52" s="31"/>
      <c r="M52" s="31"/>
      <c r="N52" s="31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</row>
    <row r="53" spans="1:48" ht="15" thickTop="1" x14ac:dyDescent="0.35">
      <c r="A53" s="11" t="s">
        <v>17</v>
      </c>
      <c r="B53" s="4" t="s">
        <v>18</v>
      </c>
      <c r="C53" s="43" t="s">
        <v>19</v>
      </c>
      <c r="D53" s="43"/>
      <c r="E53" s="43"/>
      <c r="F53" s="43"/>
      <c r="G53" s="16" t="s">
        <v>2</v>
      </c>
      <c r="H53" s="27"/>
      <c r="I53" s="27"/>
      <c r="J53" s="27"/>
      <c r="K53" s="27"/>
      <c r="L53" s="27"/>
      <c r="M53" s="27"/>
      <c r="N53" s="27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</row>
    <row r="54" spans="1:48" x14ac:dyDescent="0.35">
      <c r="A54" s="5" t="s">
        <v>55</v>
      </c>
      <c r="B54" s="6" t="s">
        <v>21</v>
      </c>
      <c r="C54" s="8"/>
      <c r="D54" s="8"/>
      <c r="E54" s="7" t="s">
        <v>24</v>
      </c>
      <c r="F54" s="8"/>
      <c r="G54" s="6">
        <f t="shared" si="0"/>
        <v>1</v>
      </c>
      <c r="H54" s="29"/>
      <c r="I54" s="29"/>
      <c r="J54" s="29"/>
      <c r="K54" s="29"/>
      <c r="L54" s="29"/>
      <c r="M54" s="29"/>
      <c r="N54" s="29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</row>
    <row r="55" spans="1:48" x14ac:dyDescent="0.35">
      <c r="A55" s="5" t="s">
        <v>56</v>
      </c>
      <c r="B55" s="6" t="s">
        <v>21</v>
      </c>
      <c r="C55" s="13"/>
      <c r="D55" s="7" t="s">
        <v>23</v>
      </c>
      <c r="E55" s="13"/>
      <c r="F55" s="13"/>
      <c r="G55" s="6">
        <f t="shared" si="0"/>
        <v>1</v>
      </c>
      <c r="H55" s="29"/>
      <c r="I55" s="29"/>
      <c r="J55" s="29"/>
      <c r="K55" s="29"/>
      <c r="L55" s="29"/>
      <c r="M55" s="29"/>
      <c r="N55" s="29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</row>
    <row r="56" spans="1:48" x14ac:dyDescent="0.35">
      <c r="A56" s="5" t="s">
        <v>57</v>
      </c>
      <c r="B56" s="6" t="s">
        <v>21</v>
      </c>
      <c r="C56" s="7" t="s">
        <v>22</v>
      </c>
      <c r="D56" s="8"/>
      <c r="E56" s="7" t="s">
        <v>24</v>
      </c>
      <c r="F56" s="8"/>
      <c r="G56" s="6">
        <f t="shared" si="0"/>
        <v>2</v>
      </c>
      <c r="H56" s="29"/>
      <c r="I56" s="29"/>
      <c r="J56" s="29"/>
      <c r="K56" s="29"/>
      <c r="L56" s="29"/>
      <c r="M56" s="29"/>
      <c r="N56" s="29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</row>
    <row r="57" spans="1:48" x14ac:dyDescent="0.35">
      <c r="A57" s="5" t="s">
        <v>58</v>
      </c>
      <c r="B57" s="6" t="s">
        <v>21</v>
      </c>
      <c r="C57" s="7" t="s">
        <v>22</v>
      </c>
      <c r="D57" s="8"/>
      <c r="E57" s="8"/>
      <c r="F57" s="8"/>
      <c r="G57" s="6">
        <f t="shared" si="0"/>
        <v>1</v>
      </c>
      <c r="H57" s="29"/>
      <c r="I57" s="29"/>
      <c r="J57" s="29"/>
      <c r="K57" s="29"/>
      <c r="L57" s="29"/>
      <c r="M57" s="29"/>
      <c r="N57" s="29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</row>
    <row r="58" spans="1:48" x14ac:dyDescent="0.35">
      <c r="A58" s="5" t="s">
        <v>59</v>
      </c>
      <c r="B58" s="6" t="s">
        <v>21</v>
      </c>
      <c r="C58" s="8"/>
      <c r="D58" s="8"/>
      <c r="E58" s="8"/>
      <c r="F58" s="7" t="s">
        <v>25</v>
      </c>
      <c r="G58" s="6">
        <f t="shared" si="0"/>
        <v>1</v>
      </c>
      <c r="H58" s="29"/>
      <c r="I58" s="29"/>
      <c r="J58" s="29"/>
      <c r="K58" s="29"/>
      <c r="L58" s="29"/>
      <c r="M58" s="29"/>
      <c r="N58" s="29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</row>
    <row r="59" spans="1:48" x14ac:dyDescent="0.35">
      <c r="A59" s="5" t="s">
        <v>60</v>
      </c>
      <c r="B59" s="6" t="s">
        <v>21</v>
      </c>
      <c r="C59" s="7" t="s">
        <v>22</v>
      </c>
      <c r="D59" s="8"/>
      <c r="E59" s="8"/>
      <c r="F59" s="8"/>
      <c r="G59" s="6">
        <f t="shared" si="0"/>
        <v>1</v>
      </c>
      <c r="H59" s="29"/>
      <c r="I59" s="29"/>
      <c r="J59" s="29"/>
      <c r="K59" s="29"/>
      <c r="L59" s="29"/>
      <c r="M59" s="29"/>
      <c r="N59" s="29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</row>
    <row r="60" spans="1:48" x14ac:dyDescent="0.35">
      <c r="A60" s="5" t="s">
        <v>61</v>
      </c>
      <c r="B60" s="6" t="s">
        <v>21</v>
      </c>
      <c r="C60" s="8"/>
      <c r="D60" s="7" t="s">
        <v>23</v>
      </c>
      <c r="E60" s="8"/>
      <c r="F60" s="7" t="s">
        <v>25</v>
      </c>
      <c r="G60" s="6">
        <f t="shared" si="0"/>
        <v>2</v>
      </c>
      <c r="H60" s="29"/>
      <c r="I60" s="29"/>
      <c r="J60" s="29"/>
      <c r="K60" s="29"/>
      <c r="L60" s="29"/>
      <c r="M60" s="29"/>
      <c r="N60" s="29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</row>
    <row r="61" spans="1:48" x14ac:dyDescent="0.35">
      <c r="A61" s="5" t="s">
        <v>62</v>
      </c>
      <c r="B61" s="6" t="s">
        <v>21</v>
      </c>
      <c r="C61" s="7" t="s">
        <v>22</v>
      </c>
      <c r="D61" s="7" t="s">
        <v>23</v>
      </c>
      <c r="E61" s="8"/>
      <c r="F61" s="8"/>
      <c r="G61" s="6">
        <f t="shared" si="0"/>
        <v>2</v>
      </c>
      <c r="H61" s="29"/>
      <c r="I61" s="29"/>
      <c r="J61" s="29"/>
      <c r="K61" s="29"/>
      <c r="L61" s="29"/>
      <c r="M61" s="29"/>
      <c r="N61" s="29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</row>
    <row r="62" spans="1:48" x14ac:dyDescent="0.35">
      <c r="A62" s="5" t="s">
        <v>63</v>
      </c>
      <c r="B62" s="6" t="s">
        <v>21</v>
      </c>
      <c r="C62" s="8"/>
      <c r="D62" s="7" t="s">
        <v>23</v>
      </c>
      <c r="E62" s="8"/>
      <c r="F62" s="8"/>
      <c r="G62" s="6">
        <f t="shared" si="0"/>
        <v>1</v>
      </c>
      <c r="H62" s="29"/>
      <c r="I62" s="29"/>
      <c r="J62" s="29"/>
      <c r="K62" s="29"/>
      <c r="L62" s="29"/>
      <c r="M62" s="29"/>
      <c r="N62" s="29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</row>
    <row r="63" spans="1:48" x14ac:dyDescent="0.35">
      <c r="A63" s="5" t="s">
        <v>64</v>
      </c>
      <c r="B63" s="6" t="s">
        <v>21</v>
      </c>
      <c r="C63" s="7" t="s">
        <v>22</v>
      </c>
      <c r="D63" s="9"/>
      <c r="E63" s="8"/>
      <c r="F63" s="8"/>
      <c r="G63" s="6">
        <f t="shared" si="0"/>
        <v>1</v>
      </c>
      <c r="H63" s="29"/>
      <c r="I63" s="29"/>
      <c r="J63" s="29"/>
      <c r="K63" s="29"/>
      <c r="L63" s="29"/>
      <c r="M63" s="29"/>
      <c r="N63" s="29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</row>
    <row r="64" spans="1:48" x14ac:dyDescent="0.35">
      <c r="A64" s="5" t="s">
        <v>65</v>
      </c>
      <c r="B64" s="6" t="s">
        <v>21</v>
      </c>
      <c r="C64" s="9"/>
      <c r="D64" s="13"/>
      <c r="E64" s="7" t="s">
        <v>24</v>
      </c>
      <c r="F64" s="13"/>
      <c r="G64" s="6">
        <f t="shared" si="0"/>
        <v>1</v>
      </c>
      <c r="H64" s="29"/>
      <c r="I64" s="29"/>
      <c r="J64" s="29"/>
      <c r="K64" s="29"/>
      <c r="L64" s="29"/>
      <c r="M64" s="29"/>
      <c r="N64" s="29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</row>
    <row r="65" spans="1:48" x14ac:dyDescent="0.35">
      <c r="A65" s="5" t="s">
        <v>66</v>
      </c>
      <c r="B65" s="6" t="s">
        <v>21</v>
      </c>
      <c r="C65" s="8"/>
      <c r="D65" s="8"/>
      <c r="E65" s="8"/>
      <c r="F65" s="7" t="s">
        <v>25</v>
      </c>
      <c r="G65" s="6">
        <f t="shared" si="0"/>
        <v>1</v>
      </c>
      <c r="H65" s="29"/>
      <c r="I65" s="29"/>
      <c r="J65" s="29"/>
      <c r="K65" s="29"/>
      <c r="L65" s="29"/>
      <c r="M65" s="29"/>
      <c r="N65" s="29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</row>
    <row r="66" spans="1:48" x14ac:dyDescent="0.35">
      <c r="A66" s="5" t="s">
        <v>87</v>
      </c>
      <c r="B66" s="6" t="s">
        <v>21</v>
      </c>
      <c r="C66" s="7" t="s">
        <v>22</v>
      </c>
      <c r="D66" s="7" t="s">
        <v>23</v>
      </c>
      <c r="E66" s="7" t="s">
        <v>24</v>
      </c>
      <c r="F66" s="9"/>
      <c r="G66" s="34">
        <v>3</v>
      </c>
      <c r="H66" s="35" t="s">
        <v>88</v>
      </c>
      <c r="I66" s="29"/>
      <c r="J66" s="29"/>
      <c r="K66" s="29"/>
      <c r="L66" s="29"/>
      <c r="M66" s="29"/>
      <c r="N66" s="29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</row>
    <row r="67" spans="1:48" x14ac:dyDescent="0.35">
      <c r="A67" s="5" t="s">
        <v>67</v>
      </c>
      <c r="B67" s="6" t="s">
        <v>21</v>
      </c>
      <c r="C67" s="8"/>
      <c r="D67" s="7" t="s">
        <v>23</v>
      </c>
      <c r="E67" s="14"/>
      <c r="F67" s="14"/>
      <c r="G67" s="6">
        <f t="shared" si="0"/>
        <v>1</v>
      </c>
      <c r="H67" s="29"/>
      <c r="I67" s="29"/>
      <c r="J67" s="29"/>
      <c r="K67" s="29"/>
      <c r="L67" s="29"/>
      <c r="M67" s="29"/>
      <c r="N67" s="29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</row>
    <row r="68" spans="1:48" x14ac:dyDescent="0.35">
      <c r="A68" s="5" t="s">
        <v>68</v>
      </c>
      <c r="B68" s="6" t="s">
        <v>21</v>
      </c>
      <c r="C68" s="8"/>
      <c r="D68" s="7" t="s">
        <v>23</v>
      </c>
      <c r="E68" s="7" t="s">
        <v>24</v>
      </c>
      <c r="F68" s="7" t="s">
        <v>25</v>
      </c>
      <c r="G68" s="6">
        <f t="shared" si="0"/>
        <v>3</v>
      </c>
      <c r="H68" s="29"/>
      <c r="I68" s="29"/>
      <c r="J68" s="29"/>
      <c r="K68" s="29"/>
      <c r="L68" s="29"/>
      <c r="M68" s="29"/>
      <c r="N68" s="29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</row>
    <row r="69" spans="1:48" x14ac:dyDescent="0.35">
      <c r="A69" s="5" t="s">
        <v>69</v>
      </c>
      <c r="B69" s="6" t="s">
        <v>21</v>
      </c>
      <c r="C69" s="8"/>
      <c r="D69" s="7" t="s">
        <v>23</v>
      </c>
      <c r="E69" s="7" t="s">
        <v>24</v>
      </c>
      <c r="F69" s="8"/>
      <c r="G69" s="6">
        <f t="shared" si="0"/>
        <v>2</v>
      </c>
      <c r="H69" s="29"/>
      <c r="I69" s="29"/>
      <c r="J69" s="29"/>
      <c r="K69" s="29"/>
      <c r="L69" s="29"/>
      <c r="M69" s="29"/>
      <c r="N69" s="29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</row>
    <row r="70" spans="1:48" x14ac:dyDescent="0.35">
      <c r="A70" s="5" t="s">
        <v>70</v>
      </c>
      <c r="B70" s="6" t="s">
        <v>21</v>
      </c>
      <c r="C70" s="7" t="s">
        <v>22</v>
      </c>
      <c r="D70" s="7" t="s">
        <v>23</v>
      </c>
      <c r="E70" s="7" t="s">
        <v>24</v>
      </c>
      <c r="F70" s="7" t="s">
        <v>25</v>
      </c>
      <c r="G70" s="34">
        <f t="shared" si="0"/>
        <v>4</v>
      </c>
      <c r="H70" s="35" t="s">
        <v>88</v>
      </c>
      <c r="I70" s="29"/>
      <c r="J70" s="29"/>
      <c r="K70" s="29"/>
      <c r="L70" s="29"/>
      <c r="M70" s="29"/>
      <c r="N70" s="29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</row>
    <row r="71" spans="1:48" x14ac:dyDescent="0.35">
      <c r="A71" s="5" t="s">
        <v>71</v>
      </c>
      <c r="B71" s="6" t="s">
        <v>21</v>
      </c>
      <c r="C71" s="7" t="s">
        <v>22</v>
      </c>
      <c r="D71" s="8"/>
      <c r="E71" s="9"/>
      <c r="F71" s="8"/>
      <c r="G71" s="6">
        <f t="shared" ref="G71:G77" si="1">SUM(IF(C71&lt;&gt;0,1,0),IF(D71&lt;&gt;0,1,0),IF(E71&lt;&gt;0,1,0),IF(F71&lt;&gt;0,1,0))</f>
        <v>1</v>
      </c>
      <c r="H71" s="29"/>
      <c r="I71" s="29"/>
      <c r="J71" s="29"/>
      <c r="K71" s="29"/>
      <c r="L71" s="29"/>
      <c r="M71" s="29"/>
      <c r="N71" s="29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</row>
    <row r="72" spans="1:48" x14ac:dyDescent="0.35">
      <c r="A72" s="5" t="s">
        <v>72</v>
      </c>
      <c r="B72" s="6" t="s">
        <v>21</v>
      </c>
      <c r="C72" s="7" t="s">
        <v>22</v>
      </c>
      <c r="D72" s="7" t="s">
        <v>23</v>
      </c>
      <c r="E72" s="7" t="s">
        <v>24</v>
      </c>
      <c r="F72" s="7" t="s">
        <v>25</v>
      </c>
      <c r="G72" s="34">
        <f t="shared" si="1"/>
        <v>4</v>
      </c>
      <c r="H72" s="35" t="s">
        <v>88</v>
      </c>
      <c r="I72" s="29"/>
      <c r="J72" s="29"/>
      <c r="K72" s="29"/>
      <c r="L72" s="29"/>
      <c r="M72" s="29"/>
      <c r="N72" s="29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</row>
    <row r="73" spans="1:48" x14ac:dyDescent="0.35">
      <c r="A73" s="5" t="s">
        <v>73</v>
      </c>
      <c r="B73" s="6" t="s">
        <v>21</v>
      </c>
      <c r="C73" s="9"/>
      <c r="D73" s="8"/>
      <c r="E73" s="7" t="s">
        <v>24</v>
      </c>
      <c r="F73" s="7" t="s">
        <v>25</v>
      </c>
      <c r="G73" s="34">
        <f t="shared" si="1"/>
        <v>2</v>
      </c>
      <c r="H73" s="35" t="s">
        <v>88</v>
      </c>
      <c r="I73" s="29"/>
      <c r="J73" s="29"/>
      <c r="K73" s="29"/>
      <c r="L73" s="29"/>
      <c r="M73" s="29"/>
      <c r="N73" s="29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</row>
    <row r="74" spans="1:48" x14ac:dyDescent="0.35">
      <c r="A74" s="5" t="s">
        <v>74</v>
      </c>
      <c r="B74" s="6" t="s">
        <v>21</v>
      </c>
      <c r="C74" s="7" t="s">
        <v>22</v>
      </c>
      <c r="D74" s="7" t="s">
        <v>23</v>
      </c>
      <c r="E74" s="7" t="s">
        <v>24</v>
      </c>
      <c r="F74" s="7" t="s">
        <v>25</v>
      </c>
      <c r="G74" s="34">
        <f t="shared" si="1"/>
        <v>4</v>
      </c>
      <c r="H74" s="36" t="s">
        <v>90</v>
      </c>
      <c r="I74" s="29"/>
      <c r="J74" s="29"/>
      <c r="K74" s="29"/>
      <c r="L74" s="29"/>
      <c r="M74" s="29"/>
      <c r="N74" s="29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</row>
    <row r="75" spans="1:48" x14ac:dyDescent="0.35">
      <c r="A75" s="5" t="s">
        <v>75</v>
      </c>
      <c r="B75" s="6" t="s">
        <v>21</v>
      </c>
      <c r="C75" s="8"/>
      <c r="D75" s="9"/>
      <c r="E75" s="7" t="s">
        <v>24</v>
      </c>
      <c r="F75" s="9"/>
      <c r="G75" s="6">
        <f t="shared" si="1"/>
        <v>1</v>
      </c>
      <c r="H75" s="29"/>
      <c r="I75" s="29"/>
      <c r="J75" s="29"/>
      <c r="K75" s="29"/>
      <c r="L75" s="29"/>
      <c r="M75" s="29"/>
      <c r="N75" s="29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</row>
    <row r="76" spans="1:48" x14ac:dyDescent="0.35">
      <c r="A76" s="5" t="s">
        <v>76</v>
      </c>
      <c r="B76" s="6" t="s">
        <v>21</v>
      </c>
      <c r="C76" s="9"/>
      <c r="D76" s="9"/>
      <c r="E76" s="7" t="s">
        <v>24</v>
      </c>
      <c r="F76" s="9"/>
      <c r="G76" s="6">
        <f t="shared" si="1"/>
        <v>1</v>
      </c>
      <c r="H76" s="29"/>
      <c r="I76" s="29"/>
      <c r="J76" s="29"/>
      <c r="K76" s="29"/>
      <c r="L76" s="29"/>
      <c r="M76" s="29"/>
      <c r="N76" s="29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</row>
    <row r="77" spans="1:48" x14ac:dyDescent="0.35">
      <c r="A77" s="17" t="s">
        <v>77</v>
      </c>
      <c r="B77" s="18" t="s">
        <v>21</v>
      </c>
      <c r="C77" s="20" t="s">
        <v>22</v>
      </c>
      <c r="D77" s="19"/>
      <c r="E77" s="20" t="s">
        <v>24</v>
      </c>
      <c r="F77" s="19"/>
      <c r="G77" s="6">
        <f t="shared" si="1"/>
        <v>2</v>
      </c>
      <c r="H77" s="29"/>
      <c r="I77" s="29"/>
      <c r="J77" s="29"/>
      <c r="K77" s="29"/>
      <c r="L77" s="29"/>
      <c r="M77" s="29"/>
      <c r="N77" s="29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</row>
    <row r="78" spans="1:48" x14ac:dyDescent="0.35">
      <c r="A78" s="44" t="s">
        <v>9</v>
      </c>
      <c r="B78" s="44"/>
      <c r="C78" s="44"/>
      <c r="D78" s="44"/>
      <c r="E78" s="44"/>
      <c r="F78" s="44"/>
      <c r="G78" s="21">
        <f>SUM(G54:G77)</f>
        <v>43</v>
      </c>
      <c r="H78" s="32"/>
      <c r="I78" s="32"/>
      <c r="J78" s="32"/>
      <c r="K78" s="32"/>
      <c r="L78" s="32"/>
      <c r="M78" s="32"/>
      <c r="N78" s="32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</row>
    <row r="79" spans="1:48" x14ac:dyDescent="0.35">
      <c r="A79" s="26"/>
      <c r="B79" s="27"/>
      <c r="C79" s="28"/>
      <c r="D79" s="28"/>
      <c r="E79" s="28"/>
      <c r="F79" s="28"/>
      <c r="G79" s="30"/>
      <c r="H79" s="27"/>
      <c r="I79" s="27"/>
      <c r="J79" s="27"/>
      <c r="K79" s="27"/>
      <c r="L79" s="27"/>
      <c r="M79" s="27"/>
      <c r="N79" s="27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</row>
    <row r="80" spans="1:48" x14ac:dyDescent="0.35">
      <c r="A80" s="44" t="s">
        <v>78</v>
      </c>
      <c r="B80" s="44"/>
      <c r="C80" s="44"/>
      <c r="D80" s="44"/>
      <c r="E80" s="44"/>
      <c r="F80" s="44"/>
      <c r="G80" s="22">
        <f>G11+G20+G37+G50+G78</f>
        <v>102</v>
      </c>
      <c r="H80" s="32"/>
      <c r="I80" s="32"/>
      <c r="J80" s="32"/>
      <c r="K80" s="32"/>
      <c r="L80" s="32"/>
      <c r="M80" s="32"/>
      <c r="N80" s="32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</row>
    <row r="81" spans="1:48" x14ac:dyDescent="0.35">
      <c r="A81" s="26"/>
      <c r="B81" s="27"/>
      <c r="C81" s="28"/>
      <c r="D81" s="28"/>
      <c r="E81" s="28"/>
      <c r="F81" s="28"/>
      <c r="G81" s="30"/>
      <c r="H81" s="27"/>
      <c r="I81" s="27"/>
      <c r="J81" s="27"/>
      <c r="K81" s="27"/>
      <c r="L81" s="27"/>
      <c r="M81" s="27"/>
      <c r="N81" s="27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</row>
    <row r="82" spans="1:48" x14ac:dyDescent="0.35">
      <c r="A82" s="26"/>
      <c r="B82" s="27"/>
      <c r="C82" s="28"/>
      <c r="D82" s="28"/>
      <c r="E82" s="28"/>
      <c r="F82" s="28"/>
      <c r="G82" s="30"/>
      <c r="H82" s="27"/>
      <c r="I82" s="27"/>
      <c r="J82" s="27"/>
      <c r="K82" s="27"/>
      <c r="L82" s="27"/>
      <c r="M82" s="27"/>
      <c r="N82" s="27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</row>
    <row r="83" spans="1:48" x14ac:dyDescent="0.3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</row>
    <row r="84" spans="1:48" x14ac:dyDescent="0.3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</row>
    <row r="85" spans="1:48" x14ac:dyDescent="0.3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</row>
    <row r="86" spans="1:48" x14ac:dyDescent="0.3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</row>
    <row r="87" spans="1:48" x14ac:dyDescent="0.3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</row>
    <row r="88" spans="1:48" x14ac:dyDescent="0.3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</row>
    <row r="89" spans="1:48" x14ac:dyDescent="0.3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</row>
    <row r="90" spans="1:48" x14ac:dyDescent="0.3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</row>
    <row r="91" spans="1:48" x14ac:dyDescent="0.3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</row>
    <row r="92" spans="1:48" x14ac:dyDescent="0.3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</row>
    <row r="93" spans="1:48" x14ac:dyDescent="0.3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</row>
    <row r="94" spans="1:48" x14ac:dyDescent="0.3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</row>
    <row r="95" spans="1:48" x14ac:dyDescent="0.3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</row>
    <row r="96" spans="1:48" x14ac:dyDescent="0.3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</row>
    <row r="97" spans="1:48" x14ac:dyDescent="0.3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</row>
    <row r="98" spans="1:48" x14ac:dyDescent="0.3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</row>
    <row r="99" spans="1:48" x14ac:dyDescent="0.3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</row>
    <row r="100" spans="1:48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</row>
    <row r="101" spans="1:48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</row>
    <row r="102" spans="1:48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</row>
  </sheetData>
  <mergeCells count="18">
    <mergeCell ref="C53:F53"/>
    <mergeCell ref="A78:F78"/>
    <mergeCell ref="A80:F80"/>
    <mergeCell ref="A52:G52"/>
    <mergeCell ref="A37:F37"/>
    <mergeCell ref="C40:F40"/>
    <mergeCell ref="A50:F50"/>
    <mergeCell ref="A39:G39"/>
    <mergeCell ref="C14:F14"/>
    <mergeCell ref="A20:F20"/>
    <mergeCell ref="C23:F23"/>
    <mergeCell ref="A22:G22"/>
    <mergeCell ref="A13:G13"/>
    <mergeCell ref="C4:F4"/>
    <mergeCell ref="A11:F11"/>
    <mergeCell ref="A2:G2"/>
    <mergeCell ref="A3:G3"/>
    <mergeCell ref="A1:G1"/>
  </mergeCells>
  <conditionalFormatting sqref="A5:A10 A15:A19 A24:A36 A41:A49 A54:A77">
    <cfRule type="expression" dxfId="1" priority="6">
      <formula>(#REF! &gt; 0)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F5D3-9051-4B34-814E-679C4DF863DF}">
  <dimension ref="A1:AT131"/>
  <sheetViews>
    <sheetView workbookViewId="0">
      <selection activeCell="N11" sqref="N11"/>
    </sheetView>
  </sheetViews>
  <sheetFormatPr defaultRowHeight="14.5" x14ac:dyDescent="0.35"/>
  <cols>
    <col min="2" max="2" width="22" customWidth="1"/>
    <col min="3" max="6" width="1.7265625" bestFit="1" customWidth="1"/>
    <col min="8" max="8" width="11.7265625" bestFit="1" customWidth="1"/>
  </cols>
  <sheetData>
    <row r="1" spans="1:46" ht="28.5" x14ac:dyDescent="0.35">
      <c r="A1" s="49" t="s">
        <v>80</v>
      </c>
      <c r="B1" s="50"/>
      <c r="C1" s="50"/>
      <c r="D1" s="50"/>
      <c r="E1" s="50"/>
      <c r="F1" s="50"/>
      <c r="G1" s="5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</row>
    <row r="2" spans="1:46" x14ac:dyDescent="0.35">
      <c r="A2" s="54"/>
      <c r="B2" s="55"/>
      <c r="C2" s="55"/>
      <c r="D2" s="55"/>
      <c r="E2" s="55"/>
      <c r="F2" s="55"/>
      <c r="G2" s="55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</row>
    <row r="3" spans="1:46" ht="20" thickBot="1" x14ac:dyDescent="0.4">
      <c r="A3" s="47" t="s">
        <v>81</v>
      </c>
      <c r="B3" s="48"/>
      <c r="C3" s="48"/>
      <c r="D3" s="48"/>
      <c r="E3" s="48"/>
      <c r="F3" s="48"/>
      <c r="G3" s="48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</row>
    <row r="4" spans="1:46" ht="15" thickTop="1" x14ac:dyDescent="0.35">
      <c r="A4" s="3" t="s">
        <v>17</v>
      </c>
      <c r="B4" s="4" t="s">
        <v>18</v>
      </c>
      <c r="C4" s="43" t="s">
        <v>19</v>
      </c>
      <c r="D4" s="43"/>
      <c r="E4" s="43"/>
      <c r="F4" s="43"/>
      <c r="G4" s="16" t="s">
        <v>2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</row>
    <row r="5" spans="1:46" x14ac:dyDescent="0.35">
      <c r="A5" s="10" t="s">
        <v>86</v>
      </c>
      <c r="B5" s="6" t="s">
        <v>21</v>
      </c>
      <c r="C5" s="9"/>
      <c r="D5" s="9"/>
      <c r="E5" s="9"/>
      <c r="F5" s="7" t="s">
        <v>25</v>
      </c>
      <c r="G5" s="34">
        <f>SUM(IF(C5&lt;&gt;0,1,0),IF(D5&lt;&gt;0,1,0),IF(E5&lt;&gt;0,1,0),IF(F5&lt;&gt;0,1,0))</f>
        <v>1</v>
      </c>
      <c r="H5" s="37" t="s">
        <v>89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</row>
    <row r="6" spans="1:46" x14ac:dyDescent="0.35">
      <c r="A6" s="10" t="s">
        <v>84</v>
      </c>
      <c r="B6" s="6" t="s">
        <v>21</v>
      </c>
      <c r="C6" s="9"/>
      <c r="D6" s="7" t="s">
        <v>23</v>
      </c>
      <c r="E6" s="9"/>
      <c r="F6" s="7" t="s">
        <v>25</v>
      </c>
      <c r="G6" s="34">
        <f t="shared" ref="G6:G20" si="0">SUM(IF(C6&lt;&gt;0,1,0),IF(D6&lt;&gt;0,1,0),IF(E6&lt;&gt;0,1,0),IF(F6&lt;&gt;0,1,0))</f>
        <v>2</v>
      </c>
      <c r="H6" s="38" t="s">
        <v>90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</row>
    <row r="7" spans="1:46" x14ac:dyDescent="0.35">
      <c r="A7" s="10" t="s">
        <v>55</v>
      </c>
      <c r="B7" s="6" t="s">
        <v>21</v>
      </c>
      <c r="C7" s="9"/>
      <c r="D7" s="7" t="s">
        <v>23</v>
      </c>
      <c r="E7" s="9"/>
      <c r="F7" s="7" t="s">
        <v>25</v>
      </c>
      <c r="G7" s="6">
        <f t="shared" si="0"/>
        <v>2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</row>
    <row r="8" spans="1:46" x14ac:dyDescent="0.35">
      <c r="A8" s="10" t="s">
        <v>85</v>
      </c>
      <c r="B8" s="6" t="s">
        <v>21</v>
      </c>
      <c r="C8" s="7" t="s">
        <v>22</v>
      </c>
      <c r="D8" s="7" t="s">
        <v>23</v>
      </c>
      <c r="E8" s="7" t="s">
        <v>24</v>
      </c>
      <c r="F8" s="7" t="s">
        <v>25</v>
      </c>
      <c r="G8" s="34">
        <f t="shared" si="0"/>
        <v>4</v>
      </c>
      <c r="H8" s="37" t="s">
        <v>89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</row>
    <row r="9" spans="1:46" x14ac:dyDescent="0.35">
      <c r="A9" s="44" t="s">
        <v>9</v>
      </c>
      <c r="B9" s="44"/>
      <c r="C9" s="44"/>
      <c r="D9" s="44"/>
      <c r="E9" s="44"/>
      <c r="F9" s="44"/>
      <c r="G9" s="21">
        <f>SUM(G5:G8)</f>
        <v>9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</row>
    <row r="10" spans="1:46" x14ac:dyDescent="0.35">
      <c r="A10" s="26"/>
      <c r="B10" s="27"/>
      <c r="C10" s="28"/>
      <c r="D10" s="28"/>
      <c r="E10" s="28"/>
      <c r="F10" s="28"/>
      <c r="G10" s="29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</row>
    <row r="11" spans="1:46" ht="20" thickBot="1" x14ac:dyDescent="0.4">
      <c r="A11" s="53" t="s">
        <v>82</v>
      </c>
      <c r="B11" s="52"/>
      <c r="C11" s="52"/>
      <c r="D11" s="52"/>
      <c r="E11" s="52"/>
      <c r="F11" s="52"/>
      <c r="G11" s="52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</row>
    <row r="12" spans="1:46" ht="15" thickTop="1" x14ac:dyDescent="0.35">
      <c r="A12" s="3" t="s">
        <v>17</v>
      </c>
      <c r="B12" s="4" t="s">
        <v>18</v>
      </c>
      <c r="C12" s="43" t="s">
        <v>19</v>
      </c>
      <c r="D12" s="43"/>
      <c r="E12" s="43"/>
      <c r="F12" s="43"/>
      <c r="G12" s="16" t="s">
        <v>2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</row>
    <row r="13" spans="1:46" x14ac:dyDescent="0.35">
      <c r="A13" s="10" t="s">
        <v>37</v>
      </c>
      <c r="B13" s="6" t="s">
        <v>21</v>
      </c>
      <c r="C13" s="7" t="s">
        <v>22</v>
      </c>
      <c r="D13" s="9"/>
      <c r="E13" s="9"/>
      <c r="F13" s="9"/>
      <c r="G13" s="6">
        <f t="shared" si="0"/>
        <v>1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</row>
    <row r="14" spans="1:46" x14ac:dyDescent="0.35">
      <c r="A14" s="10" t="s">
        <v>86</v>
      </c>
      <c r="B14" s="6" t="s">
        <v>21</v>
      </c>
      <c r="C14" s="8"/>
      <c r="D14" s="9"/>
      <c r="E14" s="7" t="s">
        <v>24</v>
      </c>
      <c r="F14" s="8"/>
      <c r="G14" s="6">
        <f t="shared" si="0"/>
        <v>1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</row>
    <row r="15" spans="1:46" x14ac:dyDescent="0.35">
      <c r="A15" s="44" t="s">
        <v>9</v>
      </c>
      <c r="B15" s="44"/>
      <c r="C15" s="44"/>
      <c r="D15" s="44"/>
      <c r="E15" s="44"/>
      <c r="F15" s="44"/>
      <c r="G15" s="21">
        <f>SUM(G13:G14)</f>
        <v>2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</row>
    <row r="16" spans="1:46" x14ac:dyDescent="0.35">
      <c r="A16" s="26"/>
      <c r="B16" s="27"/>
      <c r="C16" s="28"/>
      <c r="D16" s="28"/>
      <c r="E16" s="28"/>
      <c r="F16" s="28"/>
      <c r="G16" s="29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</row>
    <row r="17" spans="1:46" ht="20" thickBot="1" x14ac:dyDescent="0.4">
      <c r="A17" s="51" t="s">
        <v>83</v>
      </c>
      <c r="B17" s="52"/>
      <c r="C17" s="52"/>
      <c r="D17" s="52"/>
      <c r="E17" s="52"/>
      <c r="F17" s="52"/>
      <c r="G17" s="52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</row>
    <row r="18" spans="1:46" ht="15" thickTop="1" x14ac:dyDescent="0.35">
      <c r="A18" s="11" t="s">
        <v>17</v>
      </c>
      <c r="B18" s="4" t="s">
        <v>18</v>
      </c>
      <c r="C18" s="43" t="s">
        <v>19</v>
      </c>
      <c r="D18" s="43"/>
      <c r="E18" s="43"/>
      <c r="F18" s="43"/>
      <c r="G18" s="16" t="s">
        <v>2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</row>
    <row r="19" spans="1:46" x14ac:dyDescent="0.35">
      <c r="A19" s="10" t="s">
        <v>47</v>
      </c>
      <c r="B19" s="6" t="s">
        <v>21</v>
      </c>
      <c r="C19" s="7" t="s">
        <v>22</v>
      </c>
      <c r="D19" s="9"/>
      <c r="E19" s="7" t="s">
        <v>24</v>
      </c>
      <c r="F19" s="7" t="s">
        <v>25</v>
      </c>
      <c r="G19" s="6">
        <f t="shared" si="0"/>
        <v>3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</row>
    <row r="20" spans="1:46" x14ac:dyDescent="0.35">
      <c r="A20" s="10" t="s">
        <v>53</v>
      </c>
      <c r="B20" s="6" t="s">
        <v>21</v>
      </c>
      <c r="C20" s="7" t="s">
        <v>22</v>
      </c>
      <c r="D20" s="7" t="s">
        <v>23</v>
      </c>
      <c r="E20" s="9"/>
      <c r="F20" s="9"/>
      <c r="G20" s="6">
        <f t="shared" si="0"/>
        <v>2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</row>
    <row r="21" spans="1:46" x14ac:dyDescent="0.35">
      <c r="A21" s="44" t="s">
        <v>9</v>
      </c>
      <c r="B21" s="44"/>
      <c r="C21" s="44"/>
      <c r="D21" s="44"/>
      <c r="E21" s="44"/>
      <c r="F21" s="44"/>
      <c r="G21" s="21">
        <f>SUM(G19:G20)</f>
        <v>5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</row>
    <row r="22" spans="1:46" x14ac:dyDescent="0.3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</row>
    <row r="23" spans="1:46" x14ac:dyDescent="0.35">
      <c r="A23" s="44" t="s">
        <v>78</v>
      </c>
      <c r="B23" s="44"/>
      <c r="C23" s="44"/>
      <c r="D23" s="44"/>
      <c r="E23" s="44"/>
      <c r="F23" s="44"/>
      <c r="G23" s="22">
        <f>G9+G15+G21</f>
        <v>16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</row>
    <row r="24" spans="1:46" x14ac:dyDescent="0.35">
      <c r="A24" s="26"/>
      <c r="B24" s="27"/>
      <c r="C24" s="28"/>
      <c r="D24" s="28"/>
      <c r="E24" s="28"/>
      <c r="F24" s="28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</row>
    <row r="25" spans="1:46" x14ac:dyDescent="0.3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</row>
    <row r="26" spans="1:46" x14ac:dyDescent="0.3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</row>
    <row r="27" spans="1:46" x14ac:dyDescent="0.3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</row>
    <row r="28" spans="1:46" x14ac:dyDescent="0.3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</row>
    <row r="29" spans="1:46" x14ac:dyDescent="0.3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</row>
    <row r="30" spans="1:46" x14ac:dyDescent="0.3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</row>
    <row r="31" spans="1:46" x14ac:dyDescent="0.3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</row>
    <row r="32" spans="1:46" x14ac:dyDescent="0.3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</row>
    <row r="33" spans="1:46" x14ac:dyDescent="0.3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</row>
    <row r="34" spans="1:46" x14ac:dyDescent="0.3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</row>
    <row r="35" spans="1:46" x14ac:dyDescent="0.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</row>
    <row r="36" spans="1:46" x14ac:dyDescent="0.3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</row>
    <row r="37" spans="1:46" x14ac:dyDescent="0.3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</row>
    <row r="38" spans="1:46" x14ac:dyDescent="0.3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</row>
    <row r="39" spans="1:46" x14ac:dyDescent="0.3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</row>
    <row r="40" spans="1:46" x14ac:dyDescent="0.3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</row>
    <row r="41" spans="1:46" x14ac:dyDescent="0.3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</row>
    <row r="42" spans="1:46" x14ac:dyDescent="0.3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</row>
    <row r="43" spans="1:46" x14ac:dyDescent="0.3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</row>
    <row r="44" spans="1:46" x14ac:dyDescent="0.3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</row>
    <row r="45" spans="1:46" x14ac:dyDescent="0.3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</row>
    <row r="46" spans="1:46" x14ac:dyDescent="0.3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</row>
    <row r="47" spans="1:46" x14ac:dyDescent="0.3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</row>
    <row r="48" spans="1:46" x14ac:dyDescent="0.3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</row>
    <row r="49" spans="1:46" x14ac:dyDescent="0.3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</row>
    <row r="50" spans="1:46" x14ac:dyDescent="0.3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</row>
    <row r="51" spans="1:46" x14ac:dyDescent="0.3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</row>
    <row r="52" spans="1:46" x14ac:dyDescent="0.3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</row>
    <row r="53" spans="1:46" x14ac:dyDescent="0.3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</row>
    <row r="54" spans="1:46" x14ac:dyDescent="0.3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</row>
    <row r="55" spans="1:46" x14ac:dyDescent="0.3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</row>
    <row r="56" spans="1:46" x14ac:dyDescent="0.3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</row>
    <row r="57" spans="1:46" x14ac:dyDescent="0.3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</row>
    <row r="58" spans="1:46" x14ac:dyDescent="0.3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</row>
    <row r="59" spans="1:46" x14ac:dyDescent="0.3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</row>
    <row r="60" spans="1:46" x14ac:dyDescent="0.3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</row>
    <row r="61" spans="1:46" x14ac:dyDescent="0.3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</row>
    <row r="62" spans="1:46" x14ac:dyDescent="0.3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</row>
    <row r="63" spans="1:46" x14ac:dyDescent="0.3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</row>
    <row r="64" spans="1:46" x14ac:dyDescent="0.3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</row>
    <row r="65" spans="1:46" x14ac:dyDescent="0.3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</row>
    <row r="66" spans="1:46" x14ac:dyDescent="0.3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</row>
    <row r="67" spans="1:46" x14ac:dyDescent="0.3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</row>
    <row r="68" spans="1:46" x14ac:dyDescent="0.3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</row>
    <row r="69" spans="1:46" x14ac:dyDescent="0.3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</row>
    <row r="70" spans="1:46" x14ac:dyDescent="0.3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</row>
    <row r="71" spans="1:46" x14ac:dyDescent="0.3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</row>
    <row r="72" spans="1:46" x14ac:dyDescent="0.3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</row>
    <row r="73" spans="1:46" x14ac:dyDescent="0.3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</row>
    <row r="74" spans="1:46" x14ac:dyDescent="0.3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</row>
    <row r="75" spans="1:46" x14ac:dyDescent="0.3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</row>
    <row r="76" spans="1:46" x14ac:dyDescent="0.3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</row>
    <row r="77" spans="1:46" x14ac:dyDescent="0.3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</row>
    <row r="78" spans="1:46" x14ac:dyDescent="0.3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</row>
    <row r="79" spans="1:46" x14ac:dyDescent="0.3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</row>
    <row r="80" spans="1:46" x14ac:dyDescent="0.3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</row>
    <row r="81" spans="1:46" x14ac:dyDescent="0.3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</row>
    <row r="82" spans="1:46" x14ac:dyDescent="0.3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</row>
    <row r="83" spans="1:46" x14ac:dyDescent="0.3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</row>
    <row r="84" spans="1:46" x14ac:dyDescent="0.3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</row>
    <row r="85" spans="1:46" x14ac:dyDescent="0.3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</row>
    <row r="86" spans="1:46" x14ac:dyDescent="0.3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</row>
    <row r="87" spans="1:46" x14ac:dyDescent="0.3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</row>
    <row r="88" spans="1:46" x14ac:dyDescent="0.3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</row>
    <row r="89" spans="1:46" x14ac:dyDescent="0.3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</row>
    <row r="90" spans="1:46" x14ac:dyDescent="0.3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</row>
    <row r="91" spans="1:46" x14ac:dyDescent="0.3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</row>
    <row r="92" spans="1:46" x14ac:dyDescent="0.3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</row>
    <row r="93" spans="1:46" x14ac:dyDescent="0.3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</row>
    <row r="94" spans="1:46" x14ac:dyDescent="0.3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</row>
    <row r="95" spans="1:46" x14ac:dyDescent="0.3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</row>
    <row r="96" spans="1:46" x14ac:dyDescent="0.3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</row>
    <row r="97" spans="1:46" x14ac:dyDescent="0.3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</row>
    <row r="98" spans="1:46" x14ac:dyDescent="0.3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</row>
    <row r="99" spans="1:46" x14ac:dyDescent="0.3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</row>
    <row r="100" spans="1:46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</row>
    <row r="101" spans="1:46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</row>
    <row r="102" spans="1:46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</row>
    <row r="103" spans="1:46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</row>
    <row r="104" spans="1:46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</row>
    <row r="105" spans="1:46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</row>
    <row r="106" spans="1:46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</row>
    <row r="107" spans="1:46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</row>
    <row r="108" spans="1:46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</row>
    <row r="109" spans="1:46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</row>
    <row r="110" spans="1:46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</row>
    <row r="111" spans="1:46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</row>
    <row r="112" spans="1:46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</row>
    <row r="113" spans="1:46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</row>
    <row r="114" spans="1:46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</row>
    <row r="115" spans="1:46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</row>
    <row r="116" spans="1:46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</row>
    <row r="117" spans="1:46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</row>
    <row r="118" spans="1:46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</row>
    <row r="119" spans="1:46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</row>
    <row r="120" spans="1:46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</row>
    <row r="121" spans="1:46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</row>
    <row r="122" spans="1:46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</row>
    <row r="123" spans="1:46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</row>
    <row r="124" spans="1:46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</row>
    <row r="125" spans="1:46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</row>
    <row r="126" spans="1:46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</row>
    <row r="127" spans="1:46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</row>
    <row r="128" spans="1:46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</row>
    <row r="129" spans="1:46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</row>
    <row r="130" spans="1:46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</row>
    <row r="131" spans="1:46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</row>
  </sheetData>
  <mergeCells count="12">
    <mergeCell ref="A21:F21"/>
    <mergeCell ref="A23:F23"/>
    <mergeCell ref="A1:G1"/>
    <mergeCell ref="A3:G3"/>
    <mergeCell ref="C4:F4"/>
    <mergeCell ref="A9:F9"/>
    <mergeCell ref="A11:G11"/>
    <mergeCell ref="A2:G2"/>
    <mergeCell ref="C12:F12"/>
    <mergeCell ref="A15:F15"/>
    <mergeCell ref="A17:G17"/>
    <mergeCell ref="C18:F18"/>
  </mergeCells>
  <conditionalFormatting sqref="A5:A8 A13:A14 A19:A20">
    <cfRule type="expression" dxfId="0" priority="1">
      <formula>(#REF! &gt; 0)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Gráficos</vt:lpstr>
      <vt:lpstr>Eixo Leste</vt:lpstr>
      <vt:lpstr>Eixo Norte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Leonel</dc:creator>
  <cp:lastModifiedBy>Daniel Carvalho</cp:lastModifiedBy>
  <dcterms:created xsi:type="dcterms:W3CDTF">2024-09-24T11:46:53Z</dcterms:created>
  <dcterms:modified xsi:type="dcterms:W3CDTF">2026-02-25T11:02:04Z</dcterms:modified>
</cp:coreProperties>
</file>