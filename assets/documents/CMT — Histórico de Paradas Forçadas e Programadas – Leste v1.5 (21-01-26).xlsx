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.xml" ContentType="application/vnd.openxmlformats-officedocument.themeOverrid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Z:\Histórico de paradas forçadas e programadas\"/>
    </mc:Choice>
  </mc:AlternateContent>
  <xr:revisionPtr revIDLastSave="0" documentId="13_ncr:1_{04926DD7-69C0-4CC9-BFB0-499F0C37DFB5}" xr6:coauthVersionLast="47" xr6:coauthVersionMax="47" xr10:uidLastSave="{00000000-0000-0000-0000-000000000000}"/>
  <bookViews>
    <workbookView xWindow="-108" yWindow="-108" windowWidth="23256" windowHeight="12456" activeTab="1" xr2:uid="{82784210-5AB6-4308-A5C1-6FE032FD5FE2}"/>
  </bookViews>
  <sheets>
    <sheet name="Resumo" sheetId="1" r:id="rId1"/>
    <sheet name="Preenchimento" sheetId="2" r:id="rId2"/>
    <sheet name="BCKSTG-TABLES" sheetId="3" state="veryHidden" r:id="rId3"/>
    <sheet name="BCKSTG-ANALYSIS" sheetId="4" state="veryHidden" r:id="rId4"/>
  </sheets>
  <definedNames>
    <definedName name="_xlchart.v1.0" hidden="1">'BCKSTG-ANALYSIS'!$D$20:$E$20</definedName>
    <definedName name="_xlchart.v1.1" hidden="1">'BCKSTG-ANALYSIS'!$E$10:$F$10</definedName>
    <definedName name="_xlchart.v1.2" hidden="1">'BCKSTG-ANALYSIS'!$D$10</definedName>
    <definedName name="_xlnm.Print_Area" localSheetId="0">Resumo!$A$1:$AA$113</definedName>
    <definedName name="NativeTimeline_Data_da_Ocorrência">#N/A</definedName>
    <definedName name="SegmentaçãodeDados_Estrutura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1" i="2" l="1"/>
  <c r="D221" i="2"/>
  <c r="E221" i="2" s="1"/>
  <c r="D214" i="2"/>
  <c r="D211" i="2"/>
  <c r="D208" i="2"/>
  <c r="D220" i="2"/>
  <c r="D219" i="2"/>
  <c r="D218" i="2"/>
  <c r="D217" i="2"/>
  <c r="D216" i="2"/>
  <c r="D215" i="2"/>
  <c r="D213" i="2"/>
  <c r="D212" i="2"/>
  <c r="D210" i="2"/>
  <c r="D209" i="2"/>
  <c r="D207" i="2"/>
  <c r="D206" i="2"/>
  <c r="D205" i="2"/>
  <c r="D204" i="2"/>
  <c r="D203" i="2"/>
  <c r="D202" i="2"/>
  <c r="D201" i="2"/>
  <c r="D200" i="2"/>
  <c r="D195" i="2"/>
  <c r="D196" i="2"/>
  <c r="D197" i="2"/>
  <c r="D198" i="2"/>
  <c r="D199" i="2"/>
  <c r="D194" i="2"/>
  <c r="J221" i="2" l="1"/>
  <c r="E205" i="2"/>
  <c r="I205" i="2" s="1"/>
  <c r="J205" i="2" s="1"/>
  <c r="E214" i="2"/>
  <c r="I214" i="2" s="1"/>
  <c r="J214" i="2" s="1"/>
  <c r="E208" i="2"/>
  <c r="I208" i="2" s="1"/>
  <c r="J208" i="2" s="1"/>
  <c r="E211" i="2"/>
  <c r="I211" i="2" s="1"/>
  <c r="J211" i="2" s="1"/>
  <c r="E219" i="2"/>
  <c r="I219" i="2" s="1"/>
  <c r="J219" i="2" s="1"/>
  <c r="E220" i="2"/>
  <c r="I220" i="2" s="1"/>
  <c r="J220" i="2" s="1"/>
  <c r="E218" i="2"/>
  <c r="I218" i="2" s="1"/>
  <c r="J218" i="2" s="1"/>
  <c r="E216" i="2"/>
  <c r="I216" i="2" s="1"/>
  <c r="J216" i="2" s="1"/>
  <c r="E217" i="2"/>
  <c r="I217" i="2" s="1"/>
  <c r="J217" i="2" s="1"/>
  <c r="E202" i="2"/>
  <c r="I202" i="2" s="1"/>
  <c r="J202" i="2" s="1"/>
  <c r="E215" i="2"/>
  <c r="I215" i="2" s="1"/>
  <c r="J215" i="2" s="1"/>
  <c r="E213" i="2"/>
  <c r="I213" i="2" s="1"/>
  <c r="J213" i="2" s="1"/>
  <c r="E206" i="2"/>
  <c r="I206" i="2" s="1"/>
  <c r="J206" i="2" s="1"/>
  <c r="E210" i="2"/>
  <c r="I210" i="2" s="1"/>
  <c r="J210" i="2" s="1"/>
  <c r="E212" i="2"/>
  <c r="I212" i="2" s="1"/>
  <c r="J212" i="2" s="1"/>
  <c r="E209" i="2"/>
  <c r="I209" i="2" s="1"/>
  <c r="J209" i="2" s="1"/>
  <c r="E203" i="2"/>
  <c r="I203" i="2" s="1"/>
  <c r="J203" i="2" s="1"/>
  <c r="E207" i="2"/>
  <c r="I207" i="2" s="1"/>
  <c r="J207" i="2" s="1"/>
  <c r="E200" i="2"/>
  <c r="I200" i="2" s="1"/>
  <c r="J200" i="2" s="1"/>
  <c r="E195" i="2"/>
  <c r="I195" i="2" s="1"/>
  <c r="J195" i="2" s="1"/>
  <c r="E204" i="2"/>
  <c r="I204" i="2" s="1"/>
  <c r="J204" i="2" s="1"/>
  <c r="E198" i="2"/>
  <c r="I198" i="2" s="1"/>
  <c r="J198" i="2" s="1"/>
  <c r="E197" i="2"/>
  <c r="I197" i="2" s="1"/>
  <c r="J197" i="2" s="1"/>
  <c r="E201" i="2"/>
  <c r="I201" i="2" s="1"/>
  <c r="J201" i="2" s="1"/>
  <c r="E196" i="2"/>
  <c r="I196" i="2" s="1"/>
  <c r="J196" i="2" s="1"/>
  <c r="E199" i="2"/>
  <c r="I199" i="2" s="1"/>
  <c r="J199" i="2" s="1"/>
  <c r="E194" i="2"/>
  <c r="I194" i="2" s="1"/>
  <c r="J194" i="2" s="1"/>
  <c r="D9" i="2"/>
  <c r="E9" i="2" s="1"/>
  <c r="I9" i="2" s="1"/>
  <c r="J9" i="2" s="1"/>
  <c r="D10" i="2"/>
  <c r="E10" i="2" s="1"/>
  <c r="I10" i="2" s="1"/>
  <c r="J10" i="2" s="1"/>
  <c r="D11" i="2"/>
  <c r="E11" i="2" s="1"/>
  <c r="I11" i="2" s="1"/>
  <c r="J11" i="2" s="1"/>
  <c r="D12" i="2"/>
  <c r="E12" i="2" s="1"/>
  <c r="I12" i="2" s="1"/>
  <c r="J12" i="2" s="1"/>
  <c r="D13" i="2"/>
  <c r="E13" i="2" s="1"/>
  <c r="I13" i="2" s="1"/>
  <c r="J13" i="2" s="1"/>
  <c r="D14" i="2"/>
  <c r="E14" i="2" s="1"/>
  <c r="I14" i="2" s="1"/>
  <c r="J14" i="2" s="1"/>
  <c r="D15" i="2"/>
  <c r="E15" i="2" s="1"/>
  <c r="I15" i="2" s="1"/>
  <c r="J15" i="2" s="1"/>
  <c r="D16" i="2"/>
  <c r="E16" i="2" s="1"/>
  <c r="I16" i="2" s="1"/>
  <c r="J16" i="2" s="1"/>
  <c r="D17" i="2"/>
  <c r="E17" i="2" s="1"/>
  <c r="I17" i="2" s="1"/>
  <c r="J17" i="2" s="1"/>
  <c r="D18" i="2"/>
  <c r="E18" i="2" s="1"/>
  <c r="I18" i="2" s="1"/>
  <c r="J18" i="2" s="1"/>
  <c r="D19" i="2"/>
  <c r="D20" i="2"/>
  <c r="D21" i="2"/>
  <c r="D22" i="2"/>
  <c r="D23" i="2"/>
  <c r="D24" i="2"/>
  <c r="E24" i="2" s="1"/>
  <c r="I24" i="2" s="1"/>
  <c r="J24" i="2" s="1"/>
  <c r="D25" i="2"/>
  <c r="E25" i="2" s="1"/>
  <c r="I25" i="2" s="1"/>
  <c r="J25" i="2" s="1"/>
  <c r="D26" i="2"/>
  <c r="E26" i="2" s="1"/>
  <c r="I26" i="2" s="1"/>
  <c r="J26" i="2" s="1"/>
  <c r="D27" i="2"/>
  <c r="E27" i="2" s="1"/>
  <c r="I27" i="2" s="1"/>
  <c r="J27" i="2" s="1"/>
  <c r="D28" i="2"/>
  <c r="E28" i="2" s="1"/>
  <c r="I28" i="2" s="1"/>
  <c r="J28" i="2" s="1"/>
  <c r="D29" i="2"/>
  <c r="E29" i="2" s="1"/>
  <c r="I29" i="2" s="1"/>
  <c r="J29" i="2" s="1"/>
  <c r="D30" i="2"/>
  <c r="D31" i="2"/>
  <c r="D32" i="2"/>
  <c r="E32" i="2" s="1"/>
  <c r="I32" i="2" s="1"/>
  <c r="J32" i="2" s="1"/>
  <c r="D33" i="2"/>
  <c r="E33" i="2" s="1"/>
  <c r="I33" i="2" s="1"/>
  <c r="J33" i="2" s="1"/>
  <c r="D34" i="2"/>
  <c r="E34" i="2" s="1"/>
  <c r="I34" i="2" s="1"/>
  <c r="J34" i="2" s="1"/>
  <c r="D35" i="2"/>
  <c r="D36" i="2"/>
  <c r="D37" i="2"/>
  <c r="D38" i="2"/>
  <c r="E38" i="2" s="1"/>
  <c r="I38" i="2" s="1"/>
  <c r="J38" i="2" s="1"/>
  <c r="D39" i="2"/>
  <c r="E39" i="2" s="1"/>
  <c r="I39" i="2" s="1"/>
  <c r="J39" i="2" s="1"/>
  <c r="D40" i="2"/>
  <c r="D41" i="2"/>
  <c r="D42" i="2"/>
  <c r="E42" i="2" s="1"/>
  <c r="I42" i="2" s="1"/>
  <c r="J42" i="2" s="1"/>
  <c r="D43" i="2"/>
  <c r="E43" i="2" s="1"/>
  <c r="I43" i="2" s="1"/>
  <c r="J43" i="2" s="1"/>
  <c r="D44" i="2"/>
  <c r="E44" i="2" s="1"/>
  <c r="I44" i="2" s="1"/>
  <c r="J44" i="2" s="1"/>
  <c r="D45" i="2"/>
  <c r="E45" i="2" s="1"/>
  <c r="I45" i="2" s="1"/>
  <c r="J45" i="2" s="1"/>
  <c r="D46" i="2"/>
  <c r="E46" i="2" s="1"/>
  <c r="I46" i="2" s="1"/>
  <c r="J46" i="2" s="1"/>
  <c r="D47" i="2"/>
  <c r="E47" i="2" s="1"/>
  <c r="I47" i="2" s="1"/>
  <c r="J47" i="2" s="1"/>
  <c r="D48" i="2"/>
  <c r="E48" i="2" s="1"/>
  <c r="I48" i="2" s="1"/>
  <c r="J48" i="2" s="1"/>
  <c r="D49" i="2"/>
  <c r="E49" i="2" s="1"/>
  <c r="I49" i="2" s="1"/>
  <c r="J49" i="2" s="1"/>
  <c r="D50" i="2"/>
  <c r="E50" i="2" s="1"/>
  <c r="I50" i="2" s="1"/>
  <c r="J50" i="2" s="1"/>
  <c r="D51" i="2"/>
  <c r="E51" i="2" s="1"/>
  <c r="I51" i="2" s="1"/>
  <c r="J51" i="2" s="1"/>
  <c r="D52" i="2"/>
  <c r="E52" i="2" s="1"/>
  <c r="I52" i="2" s="1"/>
  <c r="J52" i="2" s="1"/>
  <c r="D53" i="2"/>
  <c r="D54" i="2"/>
  <c r="D55" i="2"/>
  <c r="E55" i="2" s="1"/>
  <c r="I55" i="2" s="1"/>
  <c r="J55" i="2" s="1"/>
  <c r="D56" i="2"/>
  <c r="E56" i="2" s="1"/>
  <c r="I56" i="2" s="1"/>
  <c r="J56" i="2" s="1"/>
  <c r="D57" i="2"/>
  <c r="E57" i="2" s="1"/>
  <c r="I57" i="2" s="1"/>
  <c r="J57" i="2" s="1"/>
  <c r="D58" i="2"/>
  <c r="E58" i="2" s="1"/>
  <c r="I58" i="2" s="1"/>
  <c r="J58" i="2" s="1"/>
  <c r="D59" i="2"/>
  <c r="E59" i="2" s="1"/>
  <c r="I59" i="2" s="1"/>
  <c r="J59" i="2" s="1"/>
  <c r="D60" i="2"/>
  <c r="E60" i="2" s="1"/>
  <c r="I60" i="2" s="1"/>
  <c r="J60" i="2" s="1"/>
  <c r="D61" i="2"/>
  <c r="E61" i="2" s="1"/>
  <c r="I61" i="2" s="1"/>
  <c r="J61" i="2" s="1"/>
  <c r="D62" i="2"/>
  <c r="D63" i="2"/>
  <c r="D64" i="2"/>
  <c r="D65" i="2"/>
  <c r="D66" i="2"/>
  <c r="E66" i="2" s="1"/>
  <c r="I66" i="2" s="1"/>
  <c r="J66" i="2" s="1"/>
  <c r="D67" i="2"/>
  <c r="D68" i="2"/>
  <c r="D69" i="2"/>
  <c r="D70" i="2"/>
  <c r="D71" i="2"/>
  <c r="D72" i="2"/>
  <c r="E72" i="2" s="1"/>
  <c r="I72" i="2" s="1"/>
  <c r="J72" i="2" s="1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E121" i="2" s="1"/>
  <c r="I121" i="2" s="1"/>
  <c r="J121" i="2" s="1"/>
  <c r="D122" i="2"/>
  <c r="E122" i="2" s="1"/>
  <c r="I122" i="2" s="1"/>
  <c r="J122" i="2" s="1"/>
  <c r="D123" i="2"/>
  <c r="E123" i="2" s="1"/>
  <c r="I123" i="2" s="1"/>
  <c r="J123" i="2" s="1"/>
  <c r="D124" i="2"/>
  <c r="E124" i="2" s="1"/>
  <c r="I124" i="2" s="1"/>
  <c r="J124" i="2" s="1"/>
  <c r="D125" i="2"/>
  <c r="E125" i="2" s="1"/>
  <c r="I125" i="2" s="1"/>
  <c r="J125" i="2" s="1"/>
  <c r="D126" i="2"/>
  <c r="E126" i="2" s="1"/>
  <c r="I126" i="2" s="1"/>
  <c r="J126" i="2" s="1"/>
  <c r="D127" i="2"/>
  <c r="E127" i="2" s="1"/>
  <c r="I127" i="2" s="1"/>
  <c r="J127" i="2" s="1"/>
  <c r="D128" i="2"/>
  <c r="E128" i="2" s="1"/>
  <c r="I128" i="2" s="1"/>
  <c r="J128" i="2" s="1"/>
  <c r="D129" i="2"/>
  <c r="E129" i="2" s="1"/>
  <c r="I129" i="2" s="1"/>
  <c r="J129" i="2" s="1"/>
  <c r="D130" i="2"/>
  <c r="D131" i="2"/>
  <c r="D132" i="2"/>
  <c r="D133" i="2"/>
  <c r="D134" i="2"/>
  <c r="D135" i="2"/>
  <c r="D136" i="2"/>
  <c r="D137" i="2"/>
  <c r="D138" i="2"/>
  <c r="E138" i="2" s="1"/>
  <c r="I138" i="2" s="1"/>
  <c r="J138" i="2" s="1"/>
  <c r="D139" i="2"/>
  <c r="E139" i="2" s="1"/>
  <c r="I139" i="2" s="1"/>
  <c r="J139" i="2" s="1"/>
  <c r="D140" i="2"/>
  <c r="E140" i="2" s="1"/>
  <c r="I140" i="2" s="1"/>
  <c r="J140" i="2" s="1"/>
  <c r="D141" i="2"/>
  <c r="E141" i="2" s="1"/>
  <c r="I141" i="2" s="1"/>
  <c r="J141" i="2" s="1"/>
  <c r="D142" i="2"/>
  <c r="D143" i="2"/>
  <c r="D144" i="2"/>
  <c r="D145" i="2"/>
  <c r="D146" i="2"/>
  <c r="D147" i="2"/>
  <c r="D148" i="2"/>
  <c r="D149" i="2"/>
  <c r="D150" i="2"/>
  <c r="D151" i="2"/>
  <c r="D152" i="2"/>
  <c r="E152" i="2" s="1"/>
  <c r="I152" i="2" s="1"/>
  <c r="J152" i="2" s="1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C20" i="4"/>
  <c r="E22" i="2" l="1"/>
  <c r="I22" i="2" s="1"/>
  <c r="J22" i="2" s="1"/>
  <c r="E20" i="2"/>
  <c r="I20" i="2" s="1"/>
  <c r="J20" i="2" s="1"/>
  <c r="E151" i="2"/>
  <c r="I151" i="2" s="1"/>
  <c r="J151" i="2" s="1"/>
  <c r="E150" i="2"/>
  <c r="I150" i="2" s="1"/>
  <c r="J150" i="2" s="1"/>
  <c r="E189" i="2"/>
  <c r="I189" i="2" s="1"/>
  <c r="J189" i="2" s="1"/>
  <c r="E19" i="2"/>
  <c r="I19" i="2" s="1"/>
  <c r="J19" i="2" s="1"/>
  <c r="E31" i="2"/>
  <c r="I31" i="2" s="1"/>
  <c r="J31" i="2" s="1"/>
  <c r="E188" i="2"/>
  <c r="I188" i="2" s="1"/>
  <c r="J188" i="2" s="1"/>
  <c r="E149" i="2"/>
  <c r="I149" i="2" s="1"/>
  <c r="J149" i="2" s="1"/>
  <c r="E65" i="2"/>
  <c r="I65" i="2" s="1"/>
  <c r="J65" i="2" s="1"/>
  <c r="E41" i="2"/>
  <c r="I41" i="2" s="1"/>
  <c r="J41" i="2" s="1"/>
  <c r="E187" i="2"/>
  <c r="I187" i="2" s="1"/>
  <c r="J187" i="2" s="1"/>
  <c r="E186" i="2"/>
  <c r="I186" i="2" s="1"/>
  <c r="J186" i="2" s="1"/>
  <c r="E23" i="2"/>
  <c r="I23" i="2" s="1"/>
  <c r="J23" i="2" s="1"/>
  <c r="E96" i="2"/>
  <c r="I96" i="2" s="1"/>
  <c r="J96" i="2" s="1"/>
  <c r="E190" i="2"/>
  <c r="I190" i="2" s="1"/>
  <c r="J190" i="2" s="1"/>
  <c r="E94" i="2"/>
  <c r="I94" i="2" s="1"/>
  <c r="J94" i="2" s="1"/>
  <c r="E93" i="2"/>
  <c r="I93" i="2" s="1"/>
  <c r="J93" i="2" s="1"/>
  <c r="E54" i="2"/>
  <c r="I54" i="2" s="1"/>
  <c r="J54" i="2" s="1"/>
  <c r="E21" i="2"/>
  <c r="I21" i="2" s="1"/>
  <c r="J21" i="2" s="1"/>
  <c r="E143" i="2"/>
  <c r="I143" i="2" s="1"/>
  <c r="J143" i="2" s="1"/>
  <c r="E30" i="2"/>
  <c r="I30" i="2" s="1"/>
  <c r="J30" i="2" s="1"/>
  <c r="E171" i="2"/>
  <c r="I171" i="2" s="1"/>
  <c r="J171" i="2" s="1"/>
  <c r="E142" i="2"/>
  <c r="I142" i="2" s="1"/>
  <c r="J142" i="2" s="1"/>
  <c r="E137" i="2"/>
  <c r="I137" i="2" s="1"/>
  <c r="J137" i="2" s="1"/>
  <c r="E179" i="2"/>
  <c r="I179" i="2" s="1"/>
  <c r="J179" i="2" s="1"/>
  <c r="E120" i="2"/>
  <c r="I120" i="2" s="1"/>
  <c r="J120" i="2" s="1"/>
  <c r="E158" i="2"/>
  <c r="I158" i="2" s="1"/>
  <c r="J158" i="2" s="1"/>
  <c r="E71" i="2"/>
  <c r="I71" i="2" s="1"/>
  <c r="J71" i="2" s="1"/>
  <c r="E155" i="2"/>
  <c r="I155" i="2" s="1"/>
  <c r="J155" i="2" s="1"/>
  <c r="E62" i="2"/>
  <c r="I62" i="2" s="1"/>
  <c r="J62" i="2" s="1"/>
  <c r="E53" i="2"/>
  <c r="I53" i="2" s="1"/>
  <c r="J53" i="2" s="1"/>
  <c r="E148" i="2"/>
  <c r="I148" i="2" s="1"/>
  <c r="J148" i="2" s="1"/>
  <c r="E135" i="2"/>
  <c r="I135" i="2" s="1"/>
  <c r="J135" i="2" s="1"/>
  <c r="E37" i="2"/>
  <c r="I37" i="2" s="1"/>
  <c r="J37" i="2" s="1"/>
  <c r="E178" i="2"/>
  <c r="I178" i="2" s="1"/>
  <c r="J178" i="2" s="1"/>
  <c r="E145" i="2"/>
  <c r="I145" i="2" s="1"/>
  <c r="J145" i="2" s="1"/>
  <c r="E146" i="2"/>
  <c r="I146" i="2" s="1"/>
  <c r="J146" i="2" s="1"/>
  <c r="E114" i="2"/>
  <c r="I114" i="2" s="1"/>
  <c r="J114" i="2" s="1"/>
  <c r="E144" i="2"/>
  <c r="I144" i="2" s="1"/>
  <c r="J144" i="2" s="1"/>
  <c r="E104" i="2"/>
  <c r="I104" i="2" s="1"/>
  <c r="J104" i="2" s="1"/>
  <c r="E167" i="2"/>
  <c r="I167" i="2" s="1"/>
  <c r="J167" i="2" s="1"/>
  <c r="E166" i="2"/>
  <c r="I166" i="2" s="1"/>
  <c r="J166" i="2" s="1"/>
  <c r="E70" i="2"/>
  <c r="I70" i="2" s="1"/>
  <c r="J70" i="2" s="1"/>
  <c r="E133" i="2"/>
  <c r="I133" i="2" s="1"/>
  <c r="J133" i="2" s="1"/>
  <c r="E164" i="2"/>
  <c r="I164" i="2" s="1"/>
  <c r="J164" i="2" s="1"/>
  <c r="E68" i="2"/>
  <c r="I68" i="2" s="1"/>
  <c r="J68" i="2" s="1"/>
  <c r="E170" i="2"/>
  <c r="I170" i="2" s="1"/>
  <c r="J170" i="2" s="1"/>
  <c r="E99" i="2"/>
  <c r="I99" i="2" s="1"/>
  <c r="J99" i="2" s="1"/>
  <c r="E67" i="2"/>
  <c r="I67" i="2" s="1"/>
  <c r="J67" i="2" s="1"/>
  <c r="E35" i="2"/>
  <c r="I35" i="2" s="1"/>
  <c r="J35" i="2" s="1"/>
  <c r="E183" i="2"/>
  <c r="I183" i="2" s="1"/>
  <c r="J183" i="2" s="1"/>
  <c r="E115" i="2"/>
  <c r="I115" i="2" s="1"/>
  <c r="J115" i="2" s="1"/>
  <c r="E156" i="2"/>
  <c r="I156" i="2" s="1"/>
  <c r="J156" i="2" s="1"/>
  <c r="E130" i="2"/>
  <c r="I130" i="2" s="1"/>
  <c r="J130" i="2" s="1"/>
  <c r="E98" i="2"/>
  <c r="I98" i="2" s="1"/>
  <c r="J98" i="2" s="1"/>
  <c r="E182" i="2"/>
  <c r="I182" i="2" s="1"/>
  <c r="J182" i="2" s="1"/>
  <c r="E169" i="2"/>
  <c r="I169" i="2" s="1"/>
  <c r="J169" i="2" s="1"/>
  <c r="E73" i="2"/>
  <c r="I73" i="2" s="1"/>
  <c r="J73" i="2" s="1"/>
  <c r="E119" i="2"/>
  <c r="I119" i="2" s="1"/>
  <c r="J119" i="2" s="1"/>
  <c r="E102" i="2"/>
  <c r="I102" i="2" s="1"/>
  <c r="J102" i="2" s="1"/>
  <c r="E165" i="2"/>
  <c r="I165" i="2" s="1"/>
  <c r="J165" i="2" s="1"/>
  <c r="E117" i="2"/>
  <c r="I117" i="2" s="1"/>
  <c r="J117" i="2" s="1"/>
  <c r="E132" i="2"/>
  <c r="I132" i="2" s="1"/>
  <c r="J132" i="2" s="1"/>
  <c r="E36" i="2"/>
  <c r="I36" i="2" s="1"/>
  <c r="J36" i="2" s="1"/>
  <c r="E108" i="2"/>
  <c r="I108" i="2" s="1"/>
  <c r="J108" i="2" s="1"/>
  <c r="E181" i="2"/>
  <c r="I181" i="2" s="1"/>
  <c r="J181" i="2" s="1"/>
  <c r="E64" i="2"/>
  <c r="I64" i="2" s="1"/>
  <c r="J64" i="2" s="1"/>
  <c r="E107" i="2"/>
  <c r="I107" i="2" s="1"/>
  <c r="J107" i="2" s="1"/>
  <c r="E101" i="2"/>
  <c r="I101" i="2" s="1"/>
  <c r="J101" i="2" s="1"/>
  <c r="E69" i="2"/>
  <c r="I69" i="2" s="1"/>
  <c r="J69" i="2" s="1"/>
  <c r="E184" i="2"/>
  <c r="I184" i="2" s="1"/>
  <c r="J184" i="2" s="1"/>
  <c r="E63" i="2"/>
  <c r="I63" i="2" s="1"/>
  <c r="J63" i="2" s="1"/>
  <c r="E103" i="2"/>
  <c r="I103" i="2" s="1"/>
  <c r="J103" i="2" s="1"/>
  <c r="E134" i="2"/>
  <c r="I134" i="2" s="1"/>
  <c r="J134" i="2" s="1"/>
  <c r="E118" i="2"/>
  <c r="I118" i="2" s="1"/>
  <c r="J118" i="2" s="1"/>
  <c r="E131" i="2"/>
  <c r="I131" i="2" s="1"/>
  <c r="J131" i="2" s="1"/>
  <c r="E180" i="2"/>
  <c r="I180" i="2" s="1"/>
  <c r="J180" i="2" s="1"/>
  <c r="E92" i="2"/>
  <c r="I92" i="2" s="1"/>
  <c r="J92" i="2" s="1"/>
  <c r="E86" i="2"/>
  <c r="I86" i="2" s="1"/>
  <c r="J86" i="2" s="1"/>
  <c r="E113" i="2"/>
  <c r="I113" i="2" s="1"/>
  <c r="J113" i="2" s="1"/>
  <c r="E75" i="2"/>
  <c r="I75" i="2" s="1"/>
  <c r="J75" i="2" s="1"/>
  <c r="E136" i="2"/>
  <c r="I136" i="2" s="1"/>
  <c r="J136" i="2" s="1"/>
  <c r="E40" i="2"/>
  <c r="I40" i="2" s="1"/>
  <c r="J40" i="2" s="1"/>
  <c r="E100" i="2"/>
  <c r="I100" i="2" s="1"/>
  <c r="J100" i="2" s="1"/>
  <c r="E192" i="2"/>
  <c r="I192" i="2" s="1"/>
  <c r="J192" i="2" s="1"/>
  <c r="E88" i="2"/>
  <c r="I88" i="2" s="1"/>
  <c r="J88" i="2" s="1"/>
  <c r="E91" i="2"/>
  <c r="I91" i="2" s="1"/>
  <c r="J91" i="2" s="1"/>
  <c r="E90" i="2"/>
  <c r="I90" i="2" s="1"/>
  <c r="J90" i="2" s="1"/>
  <c r="E85" i="2"/>
  <c r="I85" i="2" s="1"/>
  <c r="J85" i="2" s="1"/>
  <c r="E116" i="2"/>
  <c r="I116" i="2" s="1"/>
  <c r="J116" i="2" s="1"/>
  <c r="E105" i="2"/>
  <c r="I105" i="2" s="1"/>
  <c r="J105" i="2" s="1"/>
  <c r="E168" i="2"/>
  <c r="I168" i="2" s="1"/>
  <c r="J168" i="2" s="1"/>
  <c r="E160" i="2"/>
  <c r="I160" i="2" s="1"/>
  <c r="J160" i="2" s="1"/>
  <c r="E153" i="2"/>
  <c r="I153" i="2" s="1"/>
  <c r="J153" i="2" s="1"/>
  <c r="E89" i="2"/>
  <c r="I89" i="2" s="1"/>
  <c r="J89" i="2" s="1"/>
  <c r="E87" i="2"/>
  <c r="I87" i="2" s="1"/>
  <c r="J87" i="2" s="1"/>
  <c r="E176" i="2"/>
  <c r="I176" i="2" s="1"/>
  <c r="J176" i="2" s="1"/>
  <c r="E147" i="2"/>
  <c r="I147" i="2" s="1"/>
  <c r="J147" i="2" s="1"/>
  <c r="E175" i="2"/>
  <c r="I175" i="2" s="1"/>
  <c r="J175" i="2" s="1"/>
  <c r="E112" i="2"/>
  <c r="I112" i="2" s="1"/>
  <c r="J112" i="2" s="1"/>
  <c r="E173" i="2"/>
  <c r="I173" i="2" s="1"/>
  <c r="J173" i="2" s="1"/>
  <c r="E109" i="2"/>
  <c r="I109" i="2" s="1"/>
  <c r="J109" i="2" s="1"/>
  <c r="E163" i="2"/>
  <c r="I163" i="2" s="1"/>
  <c r="J163" i="2" s="1"/>
  <c r="E162" i="2"/>
  <c r="I162" i="2" s="1"/>
  <c r="J162" i="2" s="1"/>
  <c r="E193" i="2"/>
  <c r="I193" i="2" s="1"/>
  <c r="J193" i="2" s="1"/>
  <c r="E97" i="2"/>
  <c r="I97" i="2" s="1"/>
  <c r="J97" i="2" s="1"/>
  <c r="E161" i="2"/>
  <c r="I161" i="2" s="1"/>
  <c r="J161" i="2" s="1"/>
  <c r="E191" i="2"/>
  <c r="I191" i="2" s="1"/>
  <c r="J191" i="2" s="1"/>
  <c r="E159" i="2"/>
  <c r="I159" i="2" s="1"/>
  <c r="J159" i="2" s="1"/>
  <c r="E95" i="2"/>
  <c r="I95" i="2" s="1"/>
  <c r="J95" i="2" s="1"/>
  <c r="E154" i="2"/>
  <c r="I154" i="2" s="1"/>
  <c r="J154" i="2" s="1"/>
  <c r="E81" i="2"/>
  <c r="I81" i="2" s="1"/>
  <c r="J81" i="2" s="1"/>
  <c r="E111" i="2"/>
  <c r="I111" i="2" s="1"/>
  <c r="J111" i="2" s="1"/>
  <c r="E79" i="2"/>
  <c r="I79" i="2" s="1"/>
  <c r="J79" i="2" s="1"/>
  <c r="E80" i="2"/>
  <c r="I80" i="2" s="1"/>
  <c r="J80" i="2" s="1"/>
  <c r="E110" i="2"/>
  <c r="I110" i="2" s="1"/>
  <c r="J110" i="2" s="1"/>
  <c r="E78" i="2"/>
  <c r="I78" i="2" s="1"/>
  <c r="J78" i="2" s="1"/>
  <c r="E157" i="2"/>
  <c r="I157" i="2" s="1"/>
  <c r="J157" i="2" s="1"/>
  <c r="E84" i="2"/>
  <c r="I84" i="2" s="1"/>
  <c r="J84" i="2" s="1"/>
  <c r="E172" i="2"/>
  <c r="I172" i="2" s="1"/>
  <c r="J172" i="2" s="1"/>
  <c r="E106" i="2"/>
  <c r="I106" i="2" s="1"/>
  <c r="J106" i="2" s="1"/>
  <c r="E185" i="2"/>
  <c r="I185" i="2" s="1"/>
  <c r="J185" i="2" s="1"/>
  <c r="E83" i="2"/>
  <c r="I83" i="2" s="1"/>
  <c r="J83" i="2" s="1"/>
  <c r="E174" i="2"/>
  <c r="I174" i="2" s="1"/>
  <c r="J174" i="2" s="1"/>
  <c r="E76" i="2"/>
  <c r="I76" i="2" s="1"/>
  <c r="J76" i="2" s="1"/>
  <c r="E74" i="2"/>
  <c r="I74" i="2" s="1"/>
  <c r="J74" i="2" s="1"/>
  <c r="E177" i="2"/>
  <c r="I177" i="2" s="1"/>
  <c r="J177" i="2" s="1"/>
  <c r="E82" i="2"/>
  <c r="I82" i="2" s="1"/>
  <c r="J82" i="2" s="1"/>
  <c r="E77" i="2"/>
  <c r="I77" i="2" s="1"/>
  <c r="J77" i="2" s="1"/>
  <c r="M59" i="4" a="1"/>
  <c r="M59" i="4" s="1"/>
  <c r="K59" i="4" a="1"/>
  <c r="K59" i="4" s="1"/>
  <c r="I59" i="4" a="1"/>
  <c r="I59" i="4" s="1"/>
  <c r="M58" i="4" a="1"/>
  <c r="M58" i="4" s="1"/>
  <c r="K58" i="4" a="1"/>
  <c r="K58" i="4" s="1"/>
  <c r="I58" i="4" a="1"/>
  <c r="I58" i="4" s="1"/>
  <c r="M48" i="4" a="1"/>
  <c r="M48" i="4" s="1"/>
  <c r="K48" i="4" a="1"/>
  <c r="K48" i="4" s="1"/>
  <c r="I48" i="4" a="1"/>
  <c r="I48" i="4" s="1"/>
  <c r="M47" i="4" a="1"/>
  <c r="M47" i="4" s="1"/>
  <c r="K47" i="4" a="1"/>
  <c r="K47" i="4" s="1"/>
  <c r="I47" i="4" a="1"/>
  <c r="I47" i="4" s="1"/>
  <c r="M37" i="4" a="1"/>
  <c r="M37" i="4" s="1"/>
  <c r="K37" i="4" a="1"/>
  <c r="K37" i="4" s="1"/>
  <c r="I37" i="4" a="1"/>
  <c r="I37" i="4" s="1"/>
  <c r="M36" i="4" a="1"/>
  <c r="M36" i="4" s="1"/>
  <c r="K36" i="4" a="1"/>
  <c r="K36" i="4" s="1"/>
  <c r="I36" i="4" a="1"/>
  <c r="I36" i="4" s="1"/>
  <c r="M26" i="4" a="1"/>
  <c r="M26" i="4" s="1"/>
  <c r="M25" i="4" a="1"/>
  <c r="M25" i="4" s="1"/>
  <c r="K26" i="4" a="1"/>
  <c r="K26" i="4" s="1"/>
  <c r="K25" i="4" a="1"/>
  <c r="K25" i="4" s="1"/>
  <c r="I26" i="4" a="1"/>
  <c r="I26" i="4" s="1"/>
  <c r="I25" i="4" a="1"/>
  <c r="I25" i="4" s="1"/>
  <c r="I50" i="4" a="1"/>
  <c r="K50" i="4" a="1"/>
  <c r="K28" i="4" a="1"/>
  <c r="I39" i="4" a="1"/>
  <c r="M39" i="4" a="1"/>
  <c r="M61" i="4" a="1"/>
  <c r="I61" i="4" a="1"/>
  <c r="M50" i="4" a="1"/>
  <c r="I28" i="4" a="1"/>
  <c r="M28" i="4" a="1"/>
  <c r="K39" i="4" a="1"/>
  <c r="K61" i="4" a="1"/>
  <c r="M28" i="4" l="1"/>
  <c r="I39" i="4"/>
  <c r="K39" i="4"/>
  <c r="K28" i="4"/>
  <c r="M39" i="4"/>
  <c r="I61" i="4"/>
  <c r="M50" i="4"/>
  <c r="K50" i="4"/>
  <c r="M61" i="4"/>
  <c r="K61" i="4"/>
  <c r="I50" i="4"/>
  <c r="I28" i="4"/>
  <c r="I60" i="4"/>
  <c r="K60" i="4"/>
  <c r="M60" i="4"/>
  <c r="I49" i="4"/>
  <c r="K49" i="4"/>
  <c r="M49" i="4"/>
  <c r="K38" i="4"/>
  <c r="I38" i="4"/>
  <c r="M38" i="4"/>
  <c r="M27" i="4"/>
  <c r="K27" i="4"/>
  <c r="I27" i="4"/>
  <c r="I21" i="4"/>
  <c r="I54" i="4"/>
  <c r="K32" i="4"/>
  <c r="I43" i="4"/>
  <c r="M21" i="4"/>
  <c r="M43" i="4"/>
  <c r="I32" i="4"/>
  <c r="M54" i="4"/>
  <c r="K43" i="4"/>
  <c r="M32" i="4"/>
  <c r="K54" i="4"/>
  <c r="K21" i="4"/>
  <c r="I53" i="4"/>
  <c r="I42" i="4"/>
  <c r="K42" i="4"/>
  <c r="I31" i="4"/>
  <c r="I20" i="4"/>
  <c r="K53" i="4"/>
  <c r="M53" i="4"/>
  <c r="M20" i="4"/>
  <c r="M42" i="4"/>
  <c r="K31" i="4"/>
  <c r="M31" i="4"/>
  <c r="K20" i="4"/>
  <c r="P42" i="4" l="1"/>
  <c r="P41" i="4"/>
  <c r="P40" i="4"/>
  <c r="Q41" i="4"/>
  <c r="Q42" i="4"/>
  <c r="Q40" i="4"/>
  <c r="P31" i="4"/>
  <c r="P32" i="4"/>
  <c r="Q35" i="4"/>
  <c r="Q27" i="4"/>
  <c r="P36" i="4"/>
  <c r="Q28" i="4"/>
  <c r="Q31" i="4"/>
  <c r="P29" i="4"/>
  <c r="Q34" i="4"/>
  <c r="Q36" i="4"/>
  <c r="Q30" i="4"/>
  <c r="P33" i="4"/>
  <c r="P30" i="4"/>
  <c r="Q26" i="4"/>
  <c r="P28" i="4"/>
  <c r="P25" i="4"/>
  <c r="P26" i="4"/>
  <c r="P27" i="4"/>
  <c r="Q33" i="4"/>
  <c r="Q29" i="4"/>
  <c r="Q32" i="4"/>
  <c r="Q25" i="4"/>
  <c r="P35" i="4"/>
  <c r="P34" i="4"/>
  <c r="K45" i="4"/>
  <c r="S32" i="4" s="1"/>
  <c r="K44" i="4"/>
  <c r="R32" i="4" s="1"/>
  <c r="I45" i="4"/>
  <c r="S31" i="4" s="1"/>
  <c r="I44" i="4"/>
  <c r="R31" i="4" s="1"/>
  <c r="I23" i="4"/>
  <c r="I22" i="4"/>
  <c r="M23" i="4"/>
  <c r="S27" i="4" s="1"/>
  <c r="M22" i="4"/>
  <c r="R27" i="4" s="1"/>
  <c r="M34" i="4"/>
  <c r="S30" i="4" s="1"/>
  <c r="M33" i="4"/>
  <c r="R30" i="4" s="1"/>
  <c r="M56" i="4"/>
  <c r="S36" i="4" s="1"/>
  <c r="M55" i="4"/>
  <c r="R36" i="4" s="1"/>
  <c r="K23" i="4"/>
  <c r="S26" i="4" s="1"/>
  <c r="K22" i="4"/>
  <c r="R26" i="4" s="1"/>
  <c r="K34" i="4"/>
  <c r="S29" i="4" s="1"/>
  <c r="K33" i="4"/>
  <c r="R29" i="4" s="1"/>
  <c r="K55" i="4"/>
  <c r="R35" i="4" s="1"/>
  <c r="K56" i="4"/>
  <c r="S35" i="4" s="1"/>
  <c r="M45" i="4"/>
  <c r="S33" i="4" s="1"/>
  <c r="M44" i="4"/>
  <c r="R33" i="4" s="1"/>
  <c r="I34" i="4"/>
  <c r="S28" i="4" s="1"/>
  <c r="I33" i="4"/>
  <c r="R28" i="4" s="1"/>
  <c r="I55" i="4"/>
  <c r="R34" i="4" s="1"/>
  <c r="I56" i="4"/>
  <c r="S34" i="4" s="1"/>
  <c r="C47" i="4"/>
  <c r="Q23" i="4" l="1" a="1"/>
  <c r="Q23" i="4" s="1"/>
  <c r="P23" i="4" a="1"/>
  <c r="P23" i="4" s="1"/>
  <c r="P21" i="4" a="1"/>
  <c r="P21" i="4" s="1"/>
  <c r="P22" i="4" a="1"/>
  <c r="P22" i="4" s="1"/>
  <c r="Q21" i="4" a="1"/>
  <c r="Q21" i="4" s="1"/>
  <c r="Q22" i="4" a="1"/>
  <c r="Q22" i="4" s="1"/>
  <c r="R25" i="4"/>
  <c r="R42" i="4"/>
  <c r="R41" i="4"/>
  <c r="R40" i="4"/>
  <c r="S25" i="4"/>
  <c r="S23" i="4" s="1" a="1"/>
  <c r="S23" i="4" s="1"/>
  <c r="S42" i="4"/>
  <c r="S41" i="4"/>
  <c r="S40" i="4"/>
  <c r="D20" i="4"/>
  <c r="E20" i="4" s="1"/>
  <c r="Y5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58" i="3"/>
  <c r="Y58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6" i="3"/>
  <c r="Y8" i="3"/>
  <c r="Y9" i="3"/>
  <c r="Y10" i="3"/>
  <c r="Y7" i="3"/>
  <c r="D10" i="4"/>
  <c r="B5" i="4"/>
  <c r="C5" i="4"/>
  <c r="D15" i="4"/>
  <c r="B10" i="4"/>
  <c r="B15" i="4"/>
  <c r="C15" i="4"/>
  <c r="D5" i="4"/>
  <c r="C10" i="4"/>
  <c r="R21" i="4" l="1" a="1"/>
  <c r="R21" i="4" s="1"/>
  <c r="R23" i="4" a="1"/>
  <c r="R23" i="4" s="1"/>
  <c r="S22" i="4" a="1"/>
  <c r="S22" i="4" s="1"/>
  <c r="S21" i="4" a="1"/>
  <c r="S21" i="4" s="1"/>
  <c r="R22" i="4" a="1"/>
  <c r="R22" i="4" s="1"/>
  <c r="F15" i="4"/>
  <c r="E15" i="4"/>
  <c r="F10" i="4"/>
  <c r="E10" i="4"/>
  <c r="E5" i="4"/>
  <c r="F5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<sst xmlns="http://schemas.openxmlformats.org/spreadsheetml/2006/main" count="1091" uniqueCount="198">
  <si>
    <t>Data da Ocorrência</t>
  </si>
  <si>
    <t>Estrutura</t>
  </si>
  <si>
    <t>Tipo</t>
  </si>
  <si>
    <t>Descriminação</t>
  </si>
  <si>
    <t>SE-E1. DJ6-02 - VÃO BX</t>
  </si>
  <si>
    <t>SE-E3. DJ6-03 - VÃO BX</t>
  </si>
  <si>
    <t>SE-E5. DJ4-02 - VÃO AY</t>
  </si>
  <si>
    <t>SE-E2. DJ6-03 - VÃO BX</t>
  </si>
  <si>
    <t>SE-E4. DJ6-03 - VÃO BX</t>
  </si>
  <si>
    <t>SE-E6. DJ6-01 - VÃO AX</t>
  </si>
  <si>
    <t>SE-E6. DJ4-02 - VÃO AZ - RAMAL DO AGRESTE</t>
  </si>
  <si>
    <t>SE-E6. DJ4-06 - VÃO CZ</t>
  </si>
  <si>
    <t>SE-E4. DJ6-02 - VÃO AY</t>
  </si>
  <si>
    <t>PONTO DE CONEXÃO 04P2</t>
  </si>
  <si>
    <t>SE-E3. DJ6-02 - VÃO AY</t>
  </si>
  <si>
    <t>SE-E2. DJ6-02 - VÃO AY</t>
  </si>
  <si>
    <t>PROGRAMADA</t>
  </si>
  <si>
    <t>FORÇADA</t>
  </si>
  <si>
    <t>Início</t>
  </si>
  <si>
    <t>Término</t>
  </si>
  <si>
    <t>Período: 17/02/2023 (19h43) a 01/03/2023 (11h13)
Causa: Ocorrência no ramal 6,9kV no interior da EBV-1. Na ocasião, foi realizada inspeção no transformador 6TR1 do vão BX, disjuntor DJ6-02 e cubículo 6,9 kV.</t>
  </si>
  <si>
    <t>Período: 27/02/2023 (10h05) a 27/02/2023 (16h06), Fixação dos condutores do link 6,9kV na EBV-03&gt; Na ocasião foi realizada a inspeção no transformador 6TR1 do vão BX, disjuntor DJ6-03 e cubículo 6,9 kV.</t>
  </si>
  <si>
    <t>Manobra autorizada pelo Eng: Fabio,  foram abertos os Disjuntores DJ4-02 E DJ4-01.
Manobra realizada Para retirada de resíduos de ninho no 4TR1.</t>
  </si>
  <si>
    <t>Período: 28/02/2023 (09h11) a 28/02/2023 (16h31)
Causa: Fixação dos condutores do link 6,9 kV no interior da EBV-2. Na ocasião foi realizada inspeção no transformador 6TR1 do vão BX, disjuntor DJ6-03 e cubículo de 6,9 kV. Também foi realizada a retirada de ninho de pássaro nos TCs no secundário do transformador 6TR1.</t>
  </si>
  <si>
    <t xml:space="preserve"> Fixação dos condutores do link 6,9kV na EBV-03&gt; Na ocasião foi realizada a inspeção no transformador 6TR1 do vão BX, disjuntor DJ6-03 e cubículo 6,9 kV.</t>
  </si>
  <si>
    <t xml:space="preserve">Com autorização do Eng. Adriano, foi realizado a manobra de desligamento da EBV-4 , sendo abertos DJ1-01 Cubiculo 6.9 Kv, DJ6-03 e SD6-03 para a realização da manobra. </t>
  </si>
  <si>
    <t xml:space="preserve">Manobra autoriza pelo Eng: Fábio, Desenergizado o link de 6.9KV entre SE-E6/EBV-6. 
Manobra de desenergização do Vão AX, DJ1-01, DJ6-01 e a  chave seccionadora SB6-01 .
Manutenção do transformador 6TR5. </t>
  </si>
  <si>
    <t xml:space="preserve">Trip no disjuntor DJ4-02 da LT Ramal do agreste. Manobra de energização do vão AZ foi fechado o disjuntor DJ4-02 às 15h:37m da LT Ramal do agreste. </t>
  </si>
  <si>
    <t>Manobra autoriza pelo Eng: Fábio, disjuntor DJ4-02 Desenergizando e LT Ramal do agreste vão AZ. Manobra programada, Manutenção na SE-E7.</t>
  </si>
  <si>
    <t>Manobra autorizada pelo Eng: Fábio, foram aberto o Disjuntores DJ4-02, DJ4-01 E A SD4-01.
Manobra programa para retirada de resíduos de ninhos nas torres .</t>
  </si>
  <si>
    <t xml:space="preserve">Manobra autoriza pelo Eng: Fábio, Desenergizado a LT SE-E6/SE-E5 vão CZ. Foi aberto o disjuntor DJ4-06 e seccionadora SD4-06.  Manobra programada, Manutenção na SE-E5. </t>
  </si>
  <si>
    <t>Manobra autoriza pelo Eng: Fábio, Desenergizado o link de 6.9KV vão AX. Manobra de Desenergização, disjuntor DJ1-01 e o disjuntor DJ6-01.
Manobra programada 
Manutenção e limpeza dos cubículo.</t>
  </si>
  <si>
    <t>Manutenção programada conforme NC
Foi realizado a limpeza no cubículo de 6.9kv
DJ1-01 CUBÍCULO 6.9kv)</t>
  </si>
  <si>
    <t>Retirada do ninho da chave 289-01 e inspeção nas buchas do 6TR1.
Com autorização do Eng.Fábio foi realizado as seguintes manobras: DJ1-01 08:43 (CUBÍCULO 6.9kv)
DJ6-03 08:45 (VÃO BX).</t>
  </si>
  <si>
    <t>Manobra autorizada pelo Eng: Fabio, foram aberto os Disjuntores DJ4-02 E DJ4-01.
Manobra Programada para a retirada de resíduos de ninho nas estruturas.</t>
  </si>
  <si>
    <t xml:space="preserve">Manobra autoriza pelo Eng: Fábio, Desenergizado da SE-E6 Vãos: AX,BX,CX,AY,BY,AW,CW,AZ,BZ e CZ. Foram aberto os disjuntores: DJ4-06, DJ4-02, DJ4-01, DJ6-04, DJ6-02, DJ1-01, DJ6-01, DJ6-05 e DJ6-03 às 08h:30m 
 Foi aberto a seccionadora SD4-06 às 08h:28m.
Manobra programada. 
Para retirar resíduos de ninho nas chave seccionadora, limpeza do TC do vão BX Fase B e regulagem dos braços móveis das Seccionadoras SD4-06 e CA4-06. </t>
  </si>
  <si>
    <t>Manutenção programada na SE-E5 e na SE-E6.
Para realizar as seguintes atividades:
SE-E5 retirada de ninhos 
SE-E6 retirada de ninhos e reajustes na chave seccionadora SD4-06 (VÃO CZ) e manutenção no 6TR5.
Foi solicitado pelo técnico Iranilson a desenergizacao da LT SEE4 a SEE6.  
DJ6-02  (VÃO AY)
SD6-02  (VÃO AY)
Foi fechado a chave CA6-02  (VÃO AY)</t>
  </si>
  <si>
    <t>Retirada do ninho da chave 289-01 e inspeção nas buchas do 6TR1.
Com autorização do Eng.Fábio foi realizado as seguintes manobras. DJ1-01  (CUBÍCULO 6.9kv)
DJ6-03 (VÃO BX)</t>
  </si>
  <si>
    <t xml:space="preserve">Manobra autoriza pelo Eng: Fábio, Desenergização do vão AZ que alimenta o Ramal do agreste. Foi aberto o disjuntor DJ4-02, como também aberto as chaves Seccionadoras SD4-02 e SB4-02 e fechado a chave de aterramento CA4-02.
Manobra programada. 
Troca do conector de derivação T cabo-cabo da fase B do vão AZ e realizado  torqueamento dos conectores de derivação das fases A,B e C e realizado o teste de resistência com homimetro das Fase A,B e C do vão AZ. </t>
  </si>
  <si>
    <t>Inspeção e manutenção preventiva nos cabos isolados de alimntação da EBV5.</t>
  </si>
  <si>
    <t>Inspeção e manutenção preventiva nos cabos isolados de alimntação da EBV6.</t>
  </si>
  <si>
    <t>Manutenção preventiva/ corretiva- manutenção na selenoide do mecanismo de acionamento da chave 289-01</t>
  </si>
  <si>
    <t>Desligamento para Manutenção na SE-E0 a pedido da Chesf. Como também manutenção preventiva- Disjuntores/Chaves/Para- ráios/TPs/TCs FTB04p2(SE-E0). Das Se E1.¨E manutenção preventiva- Disjuntores/Chaves/Para- ráios/TPs/TCs, DJ6-03 vão BX,DJ6-02 vão AY da SE-E4.</t>
  </si>
  <si>
    <t>Desligamento para Manutenção na SE-E0 a pedido da Chesf. Como também manutenção preventiva- Disjuntores/Chaves/Para- ráios/TPs/TCs FTB04p2(SE-E0). Das Se E1. Manutenção preventiva- Disjuntores/Chaves/Para- ráios/TPs/TCs, DJ6-01 vão AX,DJ4-06 vão CZ e DJ4-02 vão AZ- RAMAL DO AGRESTE da SE-E6</t>
  </si>
  <si>
    <t>Manutenção preventiva/ corretiva, testes de microhomímentro, regulagem de chave secc e aterramento.</t>
  </si>
  <si>
    <t>Realizar inspeção, limpeza, ensaios e reapertos na chave seccionadora 289-1. Realizar inspeção e limpeza no cubículo 6,9 kV. Inspeção ramal 6,9kV na entrada da EBV-2.</t>
  </si>
  <si>
    <t>Realizar inspeção, limpeza, ensaios e reapertos na chave seccionadora 289-1. Realizar inspeção e limpeza no cubículo 6,9 kV. Inspeção ramal 6,9kV na entrada da EBV-3.</t>
  </si>
  <si>
    <t>1-Realizar inspeção, limpeza, reaperto das buchas do 6TR1. 
2-Realizar inspeção e limpeza no cubículo 6,9 kV;
3-Inspeção ramal 6,9 kV na entrada da EBV-1;
4- Inspeção, limpeza e reperto das caixas dos TP e TC. (Equipamento(s):  DJ6-01, 6TR1, Cubiculos 6.9Kv, caixas dos TP e TC).</t>
  </si>
  <si>
    <t>1-Realizar inspeção, limpeza e reaperto dos paineis SD6-01,SB6-01, SD6-02,SB6-02, SV6-01,SV6-02. 
2-Realizar aspiração e limpeza e reaperto nos paineis DJ6-01, DJ6-02.</t>
  </si>
  <si>
    <t>1- Realizado limpeza e Reaperto do cubículo de 6.9kv.
2 Realizado Reaperto e limpeza do painel do 6TR1 e da caixa do TC do secundário.
3 -  Realizado recarga de gás  SF6 nos polos do disjuntor DJ6-03 polo B e C.
4- Retirada de ninho da chave 289-01.
5- Reaperto nas buchas do transformador 6TR1.
6- Limpeza na tubulação e parte externa do relé buchhols do transformador 6TR1.
7- Realizado inspeção na chegada da linha de 6.9kv na EBV4 e nas muflas.
8- Realizado teste de resistência nos contatos na                seccionadora 289-01  antes e depois da limpeza.
9- Realizado ajuste na chave 289-01.</t>
  </si>
  <si>
    <t>Manutenção no link de 6.9KV, na ocasião foi realizado limpeza e reaperto nos conectores dos cubículos, chaves Seccionadoras 289-01, SB4-01, SB4-02, SD4-02, transformador 4TR1 e TC e na chegada da EBV-5. Foram retirado também resíduos de ninho das chaves Seccionadoras SB4-02, SD4-02 e na estrutura de Barramento.</t>
  </si>
  <si>
    <t xml:space="preserve">Manutenção no link de 6.9KV, na ocasião foi realizado limpeza e reaperto nos conectores dos cubículos, chaves Seccionadoras 289-01, transformador 6TR5 e na chegada da EBV-6. Foram retirado também resíduos de ninho das chave Seccionadora SD6-01, SB6-01, SB6-04, SD6-02 e SB6-05. Foi corrigido a ponta do cabo que estava irregular no Polo A da chave seccionadora 289-01. </t>
  </si>
  <si>
    <t>1-Realizar inspeção, limpeza e reaperto dos paineis  DJ1-01, 501-01, SB1-01, DJ1-02. OBS. As atividades supracitadas serão realizadas em sequencias, como citadas, sendo realizado o aterramento provisório na saida do trafo 6TR1.(Equipamento(s):  DJ6-03, SD6-03, SY6-03). Obs: Solicitação pelo COP para limpeza das muflas e inspeção anual do ramal de entrada da EBV-01.</t>
  </si>
  <si>
    <t>1-Realizar inspeção, limpeza e reaperto dos paineis  DJ1-01, 501-01, SB1-01, DJ1-02. As atividades supracitadas serão realizadas em sequencias, como citadas, sendo realizado o aterramento provisório na saida do trafo 6TR1.(Equipamento(s):  DJ6-03, SD6-03, SY6-03). Obs:Solicitação pelo COP para limpeza das muflas e inspeção anual do ramal de entrada da EBV-03.</t>
  </si>
  <si>
    <t>1-Realizar inspeção, limpeza e reaperto dos paineis  DJ1-01, 501-01, SB1-01, DJ1-02. As atividades supracitadas serão realizadas em sequencias, como citadas, sendo realizado o aterramento provisório na saida do trafo 6TR1.(Equipamento(s):  DJ6-03, SD6-03, SY6-03).Obs: Solicitação pelo COP para limpeza das muflas e inspeção anual do ramal de entrada da EBV-02.</t>
  </si>
  <si>
    <t>Inspeção e regulagem das seccionaodras SD4-01/SB4-01/SB4-02 - inspeção e limpeza da seccionaodora 289-1 e inpseção e limpeza das buchas de alta e baixa, de toda tubulação de óleo do 6TR1 - Inspeção e limpeza dos TCs e TPs.(Obs: Solicitação pelo COP para limpeza das mulfas e inspeção anual do ramal de entrada da EBV-05).</t>
  </si>
  <si>
    <t xml:space="preserve"> Inspeção e limpeza da seccionaodora 289-1 e inpseção e limpeza das buchas de alta e baixa, de toda tubulação de óleo do 6TR5.(Obs: Solicitação pelo COP para limpeza das mulfas e inspeção anual do ramal de entrada da EBV-06).</t>
  </si>
  <si>
    <t>Desnergização para limpeza da vegetação rasteira da SE-E07.</t>
  </si>
  <si>
    <t>Foram realizado ajustes e limpeza dos contatos das chave 289-01, SY4-02 SY4-01, SB4-02 e abertura da chave elo fusível no religador de 13,8kV.
Retirada de resíduos de ninho na estrutura da SY4-01 e nos polos da SY4-01 e  SY4-02.</t>
  </si>
  <si>
    <t>Retirada de ninhos, inspeção indicador de nível de óleo 6TR1 e inspeção relé Buchholz 6TR1,6RE1.</t>
  </si>
  <si>
    <t>Retirada de resíduos de ninho novamente finalizado ajustes na SY4-01 e SD4-01.</t>
  </si>
  <si>
    <t>Retirado resíduos de ninho na estrutura da chave seccionadora SY4-06 e nos polos da SY4-05.
Realizado a correção do vazamento do Trafo 6TR5, limpeza do TC do vão BX fase B e limpeza da bucha do Reator fase A.
Realizado teste de atuação do relé buchholz, válvula de alívio de pressão e no indicador de nível de óleo dos 6TR5, Reator 6RE1 e  Trafo de Aterramento 4TT1 69KV. 
Nos 6TR1 e 6TR2 foram realizado a atuação do relé buchholz, relé de fluxo de óleo do comutador, válvula de alívio de pressão e dos indicador de nível de óleos.</t>
  </si>
  <si>
    <t>Complemento de gás SF6 nos disjuntores  DJ6-01, DJ6-02 e DJ6-03. limpeza dos TC, realizar inspeção, limpeza e reaperto dos paineis  DJ1-01, 501-01, SB1-01, DJ1-02 e inspeção nas buchas e reaperto geral no 6TR1. Equipamento(s):  DJ6-01, DJ6-02,  DJ6-03, 6TR1, TP e cubiculos de 6.9kV.</t>
  </si>
  <si>
    <t>Complemento de gás SF6 nos disjuntores  DJ6-01, DJ6-02 e DJ6-03,
limpeza dos TC, realizar inspeção, limpeza e reaperto dos paineis  DJ1-01, 501-01, SB1-01, DJ1-02 e inspeção nas buchas e reaperto geral no 6TR1.</t>
  </si>
  <si>
    <t>Complemento de gás no disjuntor DJ6-02, DJ6-01 e Restauração da pintura da base dos isoladores dos disjuntores DJ6-01, DJ6-02 e DJ6-03.</t>
  </si>
  <si>
    <t>Limpeza das bucha do Transformador de potência 6TR1-E2, Complemento de gás no disjuntor DJ6-01 E Restauração da pintura da base dos isoladores dos disjuntores DJ6-01, DJ6-02 e DJ6-03.</t>
  </si>
  <si>
    <t>Limpeza das buchas do Transformador de potência 6TR1-04, Complemento do gás SF6 DJ6-03, Remoção de resíduo(s) de ninho(s) na Seccionadora  CA6-01,SD6-02,SD6-04,  no Cubículo de média tensão  Revisão de fechadura do painel: reaperto e lubrificação. Reaperto geral nos terminais de borne dos cubículo/painéis e limpeza geral.</t>
  </si>
  <si>
    <t xml:space="preserve"> Limpeza dos isoladores de porcelana do Transformador - corrente 94TR5-AX-A – 94TR5-AX-B – 94TR5-AX-V – 94P4-BX-A – 94P4-BX-B – 94P4-BX-V – 94RE-CX-A – 94RE-CX-B – 94RE-CX-V – 94TR2-BY-A – 94TR2-BY-B – 94TR2-BY-V – 94TR1-AY-A – 94TR1-AY-B – 94TR1-AY-V – 94P6-CZ-A – 94P6-CZ-B – 94P6-CZ-V – 94AGR-AZ-A – 94AGR-AZ-B – 94AGR-AZ-V – 94TR1-AW-A – 94TR1-AW-B – 94TR1-AW-V – 94TR2-CW-A – 94TR2-CW-B – 94TR2-CW-V Manutenção no braço de acionamento mecânico da chave Seccionadora  SD6-01 – SY6-02 – SY6-04</t>
  </si>
  <si>
    <t>Limpar o isolador de porcelana Transformador -corrente. 94P4-AX-A – 94P4-AX-B – 94P4-AX-C – 94TR1-AY-A – 94TR1-AY-B – 94TR1-AY-C. Remoção de resíduo(s) de ninho(s) Seccionadora  SD4-01 – SY4-02,</t>
  </si>
  <si>
    <t>Procedimento de desligamento da SE-E7/ EBV07, (ramal do agreste ). Desligamento para realizar lançamento final da linha em 69kV (Neoenergia) sobre a linha de 69kV do Pisf entre a SE Sertânia e a SE Arcoverde.
SE-E6 (Pisf Sertânia) e SE-E7 (Pisf Arcoverde).</t>
  </si>
  <si>
    <t xml:space="preserve">Equipamento(s):  DJ6-03, SD6-03, SY6-03, 6TR1, 289-01, 1- Realizar a finalização da inspeção, limpeza, reaperto e retirada de ponto quente nos conectores da chave faca 289-01 do link 6.9kV, 2-  Realizar a finalização da limpeza, reaperto e retirada de ponto quente nos conectores das buchas do trafo 6TR1. ( OBS. As atividades supracitadas serão realizadas em sequencias, como citadas, sendo realizado a retirada do  aterramento provisório na saida do trafo 6TR1 somente após a finalização de todas as atividades).                                                           </t>
  </si>
  <si>
    <t>Equipamento(s):  DJ6-01, DJ6-02, SD6-02, SY6-02, 6TR1, 289-01. 1- Finalizar as atividades de inspeção, limpeza, reaperto e retirada de ponto quente nos conectores da chave faca 289-01 do link 6.9kV. 2- Finalizar as atividades de inspeção, limpeza, reaperto e retirada de ponto quente nos conectores das buchas do trafo 6TR1. ( OBS. As atividades supracitadas serão realizadas em sequencias, como citadas, sendo retirado o aterramento provisório na saida do trafo 6TR1 apenas após a finalização de todas as atividades).</t>
  </si>
  <si>
    <t xml:space="preserve">Equipamento(s):  DJ6-03, SD6-03, SY6-03, 6TR1, 289-01. 1- Finalizar as atividades de inspeção, limpeza, reaperto e retirada de ponto quente nos conectores da chave faca 289-01 do link 6.9kV.
2- Finalizar as atividades de inspeção, limpeza, reaperto e retirada de ponto quente nos conectores das buchas do trafo 6TR1. (OBS. As atividades supracitadas serão realizadas em sequencias, como citadas, sendo retirado o aterramento provisório na saida do trafo 6TR1 apenas após a finalização de todas as atividades). </t>
  </si>
  <si>
    <t>Realizar inspeção em todos os pontos de conexões e reaperto geral no 6TR1 e de todo o link de 6,9kV.</t>
  </si>
  <si>
    <t>Total Geral</t>
  </si>
  <si>
    <t>Rótulos de Coluna</t>
  </si>
  <si>
    <t>Linha do Tempo</t>
  </si>
  <si>
    <t>Soma de Duração da Parada (H)</t>
  </si>
  <si>
    <t>% Duração Total de Paradas Forçadas</t>
  </si>
  <si>
    <t>% Duração Total de Paradas Programadas</t>
  </si>
  <si>
    <t>#001 – Quantitativo para Desligamentos Forçados e Programados</t>
  </si>
  <si>
    <t>Contagem de Duração da Parada (H)</t>
  </si>
  <si>
    <t>#002 – Contagem de Desligamentos Forçados e Programados</t>
  </si>
  <si>
    <t>Quantidade de Paradas Forçadas</t>
  </si>
  <si>
    <t>Quantidade de Paradas Programadas</t>
  </si>
  <si>
    <t>Quantidade Total</t>
  </si>
  <si>
    <t>% Quantidade de Paradas Forçadas</t>
  </si>
  <si>
    <t>% Quantidade de Paradas Programadas</t>
  </si>
  <si>
    <t>#003 – Ocorrências em Função do Tempo</t>
  </si>
  <si>
    <t>Duração Total de Paradas Forçadas [h]</t>
  </si>
  <si>
    <t>Duração Total de Paradas Programadas [h]</t>
  </si>
  <si>
    <t>Duração Total [h]</t>
  </si>
  <si>
    <t>Indisponibilidade [%]</t>
  </si>
  <si>
    <t>Disponibilidade [%]</t>
  </si>
  <si>
    <t>Duração da Parada [h]</t>
  </si>
  <si>
    <t>ORIGINAL</t>
  </si>
  <si>
    <t>M1</t>
  </si>
  <si>
    <t>M2</t>
  </si>
  <si>
    <t>#004 – Ocorrências em Função do Tempo</t>
  </si>
  <si>
    <t>Estruturas</t>
  </si>
  <si>
    <t>Total</t>
  </si>
  <si>
    <t>estruturas sem dados não são exibidas</t>
  </si>
  <si>
    <t>Histórico</t>
  </si>
  <si>
    <t>Quantitativos &amp; Durações</t>
  </si>
  <si>
    <t>Histograma</t>
  </si>
  <si>
    <t>Desenergização da SE-E0, por motivo de invasão dos manisfestante na subestação.</t>
  </si>
  <si>
    <t>#005 – Contagem de Ocorrências</t>
  </si>
  <si>
    <t>Rótulos de Linha</t>
  </si>
  <si>
    <t>#006 – Duração por Estrutura e Tipo de Parada</t>
  </si>
  <si>
    <t>Duração da Parada (h)</t>
  </si>
  <si>
    <t>Manutenção no Ramal.</t>
  </si>
  <si>
    <t>Observações</t>
  </si>
  <si>
    <t>Tipos de Parada</t>
  </si>
  <si>
    <t>*fim da contagem de estruturas.</t>
  </si>
  <si>
    <t>#005 – Contagem de Estruturas Ativas</t>
  </si>
  <si>
    <t>Ativas</t>
  </si>
  <si>
    <t>Inativas</t>
  </si>
  <si>
    <t>Estruturas consideradas para a seleção atual</t>
  </si>
  <si>
    <t>estruturas ativas &amp; inativas</t>
  </si>
  <si>
    <t>#000 – Sem vínculo</t>
  </si>
  <si>
    <t>Indicadores de manutenção</t>
  </si>
  <si>
    <t>Legenda</t>
  </si>
  <si>
    <t>#008 – Quantitativo de Horas por Estrutura</t>
  </si>
  <si>
    <t>#007 – Contagem de Estruturas Ativas &amp; Ocorrências</t>
  </si>
  <si>
    <t>MTBF</t>
  </si>
  <si>
    <t>MTTR</t>
  </si>
  <si>
    <t>DISP</t>
  </si>
  <si>
    <t>CONF</t>
  </si>
  <si>
    <t>MTBF =</t>
  </si>
  <si>
    <t>MTTR =</t>
  </si>
  <si>
    <t>DISP =</t>
  </si>
  <si>
    <t>CONF =</t>
  </si>
  <si>
    <r>
      <rPr>
        <b/>
        <sz val="10"/>
        <color rgb="FFFF5050"/>
        <rFont val="Aptos Narrow"/>
        <family val="2"/>
        <scheme val="minor"/>
      </rPr>
      <t>2.</t>
    </r>
    <r>
      <rPr>
        <b/>
        <sz val="10"/>
        <color rgb="FF323232"/>
        <rFont val="Aptos Narrow"/>
        <family val="2"/>
        <scheme val="minor"/>
      </rPr>
      <t xml:space="preserve"> Novos valores podem ser inseridos imediatamente ao final da tabela de preenchimento, sendo </t>
    </r>
    <r>
      <rPr>
        <b/>
        <sz val="10"/>
        <color rgb="FFFF5050"/>
        <rFont val="Aptos Narrow"/>
        <family val="2"/>
        <scheme val="minor"/>
      </rPr>
      <t>automaticamente</t>
    </r>
    <r>
      <rPr>
        <b/>
        <sz val="10"/>
        <color rgb="FF323232"/>
        <rFont val="Aptos Narrow"/>
        <family val="2"/>
        <scheme val="minor"/>
      </rPr>
      <t xml:space="preserve"> criada uma nova linha de registro.</t>
    </r>
  </si>
  <si>
    <r>
      <rPr>
        <b/>
        <sz val="10"/>
        <color rgb="FFFF5050"/>
        <rFont val="Aptos Narrow"/>
        <family val="2"/>
        <scheme val="minor"/>
      </rPr>
      <t>1.</t>
    </r>
    <r>
      <rPr>
        <b/>
        <sz val="10"/>
        <color rgb="FF323232"/>
        <rFont val="Aptos Narrow"/>
        <family val="2"/>
        <scheme val="minor"/>
      </rPr>
      <t xml:space="preserve"> Para desligamentos com dias distintos para "</t>
    </r>
    <r>
      <rPr>
        <b/>
        <sz val="10"/>
        <color rgb="FFFF5050"/>
        <rFont val="Aptos Narrow"/>
        <family val="2"/>
        <scheme val="minor"/>
      </rPr>
      <t>Início</t>
    </r>
    <r>
      <rPr>
        <b/>
        <sz val="10"/>
        <color rgb="FF323232"/>
        <rFont val="Aptos Narrow"/>
        <family val="2"/>
        <scheme val="minor"/>
      </rPr>
      <t>" e "</t>
    </r>
    <r>
      <rPr>
        <b/>
        <sz val="10"/>
        <color rgb="FFFF5050"/>
        <rFont val="Aptos Narrow"/>
        <family val="2"/>
        <scheme val="minor"/>
      </rPr>
      <t>Término</t>
    </r>
    <r>
      <rPr>
        <b/>
        <sz val="10"/>
        <color rgb="FF323232"/>
        <rFont val="Aptos Narrow"/>
        <family val="2"/>
        <scheme val="minor"/>
      </rPr>
      <t>", é necessário fragmentar o desligamento em mais de um dia, sendo o "</t>
    </r>
    <r>
      <rPr>
        <b/>
        <sz val="10"/>
        <color rgb="FFFF5050"/>
        <rFont val="Aptos Narrow"/>
        <family val="2"/>
        <scheme val="minor"/>
      </rPr>
      <t>Término</t>
    </r>
    <r>
      <rPr>
        <b/>
        <sz val="10"/>
        <color rgb="FF323232"/>
        <rFont val="Aptos Narrow"/>
        <family val="2"/>
        <scheme val="minor"/>
      </rPr>
      <t>" indicado como "</t>
    </r>
    <r>
      <rPr>
        <b/>
        <sz val="10"/>
        <color rgb="FFFF5050"/>
        <rFont val="Aptos Narrow"/>
        <family val="2"/>
        <scheme val="minor"/>
      </rPr>
      <t>23:59:59</t>
    </r>
    <r>
      <rPr>
        <b/>
        <sz val="10"/>
        <color rgb="FF323232"/>
        <rFont val="Aptos Narrow"/>
        <family val="2"/>
        <scheme val="minor"/>
      </rPr>
      <t>" para o primeiro registro, e o início do próximo como "</t>
    </r>
    <r>
      <rPr>
        <b/>
        <sz val="10"/>
        <color rgb="FFFF5050"/>
        <rFont val="Aptos Narrow"/>
        <family val="2"/>
        <scheme val="minor"/>
      </rPr>
      <t>00:00:00</t>
    </r>
    <r>
      <rPr>
        <b/>
        <sz val="10"/>
        <color rgb="FF323232"/>
        <rFont val="Aptos Narrow"/>
        <family val="2"/>
        <scheme val="minor"/>
      </rPr>
      <t>", e assim por diante.</t>
    </r>
  </si>
  <si>
    <r>
      <rPr>
        <b/>
        <sz val="10"/>
        <color rgb="FFFF5050"/>
        <rFont val="Aptos Narrow"/>
        <family val="2"/>
        <scheme val="minor"/>
      </rPr>
      <t>3.</t>
    </r>
    <r>
      <rPr>
        <b/>
        <sz val="10"/>
        <color rgb="FF323232"/>
        <rFont val="Aptos Narrow"/>
        <family val="2"/>
        <scheme val="minor"/>
      </rPr>
      <t xml:space="preserve"> Os valores para "</t>
    </r>
    <r>
      <rPr>
        <b/>
        <sz val="10"/>
        <color rgb="FFFF5050"/>
        <rFont val="Aptos Narrow"/>
        <family val="2"/>
        <scheme val="minor"/>
      </rPr>
      <t>Estrutura</t>
    </r>
    <r>
      <rPr>
        <b/>
        <sz val="10"/>
        <color rgb="FF323232"/>
        <rFont val="Aptos Narrow"/>
        <family val="2"/>
        <scheme val="minor"/>
      </rPr>
      <t>" e "</t>
    </r>
    <r>
      <rPr>
        <b/>
        <sz val="10"/>
        <color rgb="FFFF5050"/>
        <rFont val="Aptos Narrow"/>
        <family val="2"/>
        <scheme val="minor"/>
      </rPr>
      <t>Tipo</t>
    </r>
    <r>
      <rPr>
        <b/>
        <sz val="10"/>
        <color rgb="FF323232"/>
        <rFont val="Aptos Narrow"/>
        <family val="2"/>
        <scheme val="minor"/>
      </rPr>
      <t xml:space="preserve">" devem ser selecionados a partir do </t>
    </r>
    <r>
      <rPr>
        <b/>
        <sz val="10"/>
        <color rgb="FFFF5050"/>
        <rFont val="Aptos Narrow"/>
        <family val="2"/>
        <scheme val="minor"/>
      </rPr>
      <t>menu flutuante</t>
    </r>
    <r>
      <rPr>
        <b/>
        <sz val="10"/>
        <color rgb="FF323232"/>
        <rFont val="Aptos Narrow"/>
        <family val="2"/>
        <scheme val="minor"/>
      </rPr>
      <t xml:space="preserve"> que surge ao clicar na célula.</t>
    </r>
  </si>
  <si>
    <t>Tempo em Funcionamento (h)</t>
  </si>
  <si>
    <t>Soma de Tempo em Funcionamento (h)</t>
  </si>
  <si>
    <t>Ocorrência no ramal 6,9kV no interior da EBV-1. Na ocasião, foi realizada inspeção no transformador 6TR1 do vão BX, disjuntor DJ6-02 e cubículo 6,9 kV.</t>
  </si>
  <si>
    <t>Tempo total de operação (sem deduções)</t>
  </si>
  <si>
    <t>Tempo total de parada</t>
  </si>
  <si>
    <t>Data mais antiga</t>
  </si>
  <si>
    <t>Data mais recente</t>
  </si>
  <si>
    <t>#009 – Tempo em Funcionamento por Estrutura</t>
  </si>
  <si>
    <t>Duração por Estrutura [h]</t>
  </si>
  <si>
    <r>
      <rPr>
        <b/>
        <sz val="10"/>
        <color rgb="FFFF5050"/>
        <rFont val="Aptos Narrow"/>
        <family val="2"/>
        <scheme val="minor"/>
      </rPr>
      <t>3.</t>
    </r>
    <r>
      <rPr>
        <b/>
        <sz val="10"/>
        <color rgb="FF323232"/>
        <rFont val="Aptos Narrow"/>
        <family val="2"/>
        <scheme val="minor"/>
      </rPr>
      <t xml:space="preserve"> A confiabilidade foi calculada para um período de </t>
    </r>
    <r>
      <rPr>
        <b/>
        <sz val="10"/>
        <color rgb="FFFF5050"/>
        <rFont val="Aptos Narrow"/>
        <family val="2"/>
        <scheme val="minor"/>
      </rPr>
      <t>7 dias</t>
    </r>
    <r>
      <rPr>
        <b/>
        <sz val="10"/>
        <color rgb="FF323232"/>
        <rFont val="Aptos Narrow"/>
        <family val="2"/>
        <scheme val="minor"/>
      </rPr>
      <t xml:space="preserve"> (168 horas). No entanto, em vez de indicar "a chance de não apresentar falhas", indica a probabilidade de "não necessitar desligamento", visto que, em sua maioria, são programados.</t>
    </r>
  </si>
  <si>
    <r>
      <rPr>
        <b/>
        <sz val="10"/>
        <color rgb="FFFF5050"/>
        <rFont val="Aptos Narrow"/>
        <family val="2"/>
        <scheme val="minor"/>
      </rPr>
      <t>2.</t>
    </r>
    <r>
      <rPr>
        <b/>
        <sz val="10"/>
        <color rgb="FF323232"/>
        <rFont val="Aptos Narrow"/>
        <family val="2"/>
        <scheme val="minor"/>
      </rPr>
      <t xml:space="preserve"> Com a ausência ou escassez de registros, alguns indicadores podem não ser calculados corretamente; ou, serão tão pequenos que sua representação será em notação científica (</t>
    </r>
    <r>
      <rPr>
        <b/>
        <sz val="10"/>
        <color rgb="FFFF5050"/>
        <rFont val="Aptos Narrow"/>
        <family val="2"/>
        <scheme val="minor"/>
      </rPr>
      <t>arredondadas</t>
    </r>
    <r>
      <rPr>
        <b/>
        <sz val="10"/>
        <color rgb="FF323232"/>
        <rFont val="Aptos Narrow"/>
        <family val="2"/>
        <scheme val="minor"/>
      </rPr>
      <t xml:space="preserve"> para zero).</t>
    </r>
  </si>
  <si>
    <r>
      <rPr>
        <b/>
        <sz val="10"/>
        <color rgb="FFFF5050"/>
        <rFont val="Aptos Narrow"/>
        <family val="2"/>
        <scheme val="minor"/>
      </rPr>
      <t>3.</t>
    </r>
    <r>
      <rPr>
        <b/>
        <sz val="10"/>
        <color rgb="FF323232"/>
        <rFont val="Aptos Narrow"/>
        <family val="2"/>
        <scheme val="minor"/>
      </rPr>
      <t xml:space="preserve"> DISP → Disponibilidade; quanto maior, melhor.</t>
    </r>
  </si>
  <si>
    <r>
      <rPr>
        <b/>
        <sz val="10"/>
        <color rgb="FFFF5050"/>
        <rFont val="Aptos Narrow"/>
        <family val="2"/>
        <scheme val="minor"/>
      </rPr>
      <t>4.</t>
    </r>
    <r>
      <rPr>
        <b/>
        <sz val="10"/>
        <color rgb="FF323232"/>
        <rFont val="Aptos Narrow"/>
        <family val="2"/>
        <scheme val="minor"/>
      </rPr>
      <t xml:space="preserve"> CONF → Confiabilidade; quanto maior, melhor.</t>
    </r>
  </si>
  <si>
    <t>Resumo geral dos indicadores de manutenção</t>
  </si>
  <si>
    <r>
      <rPr>
        <b/>
        <sz val="10"/>
        <color rgb="FFFF5050"/>
        <rFont val="Aptos Narrow"/>
        <family val="2"/>
        <scheme val="minor"/>
      </rPr>
      <t xml:space="preserve">1. </t>
    </r>
    <r>
      <rPr>
        <b/>
        <sz val="10"/>
        <color rgb="FF323232"/>
        <rFont val="Aptos Narrow"/>
        <family val="2"/>
        <scheme val="minor"/>
      </rPr>
      <t>MTBF → Mean Time Between Failures (Tempo Médio Entre Falhas); quanto maior, melhor.</t>
    </r>
  </si>
  <si>
    <r>
      <rPr>
        <b/>
        <sz val="10"/>
        <color rgb="FFFF5050"/>
        <rFont val="Aptos Narrow"/>
        <family val="2"/>
        <scheme val="minor"/>
      </rPr>
      <t>2.</t>
    </r>
    <r>
      <rPr>
        <b/>
        <sz val="10"/>
        <color rgb="FF323232"/>
        <rFont val="Aptos Narrow"/>
        <family val="2"/>
        <scheme val="minor"/>
      </rPr>
      <t xml:space="preserve"> MTTR → Mean Time to Repair (Tempo Médio de Reparo); quanto menor, melhor.</t>
    </r>
  </si>
  <si>
    <r>
      <rPr>
        <b/>
        <sz val="10"/>
        <color rgb="FFFF5050"/>
        <rFont val="Aptos Narrow"/>
        <family val="2"/>
        <scheme val="minor"/>
      </rPr>
      <t>1.</t>
    </r>
    <r>
      <rPr>
        <b/>
        <sz val="10"/>
        <color rgb="FF323232"/>
        <rFont val="Aptos Narrow"/>
        <family val="2"/>
        <scheme val="minor"/>
      </rPr>
      <t xml:space="preserve"> Quanto </t>
    </r>
    <r>
      <rPr>
        <b/>
        <sz val="10"/>
        <color rgb="FFFF5050"/>
        <rFont val="Aptos Narrow"/>
        <family val="2"/>
        <scheme val="minor"/>
      </rPr>
      <t>mais valores</t>
    </r>
    <r>
      <rPr>
        <b/>
        <sz val="10"/>
        <color rgb="FF323232"/>
        <rFont val="Aptos Narrow"/>
        <family val="2"/>
        <scheme val="minor"/>
      </rPr>
      <t xml:space="preserve"> para uma mesma estrutura, mais acurados serão os valores para cada um dos indicadores.</t>
    </r>
  </si>
  <si>
    <t>Método anterior</t>
  </si>
  <si>
    <t>MÁXIMO</t>
  </si>
  <si>
    <t>MÍNIMO</t>
  </si>
  <si>
    <t>MÉDIA</t>
  </si>
  <si>
    <t>Devido a necessidade da execução de poda emergencial na vegetação próxima a LT 69kV no trecho 2/1 e 3/1.</t>
  </si>
  <si>
    <t>Foi desligado em virtude da necessidade de manutenção no transformador 6TR1 da SE-E4.</t>
  </si>
  <si>
    <t>SE-E6. DJ6-03 - VÃO BX</t>
  </si>
  <si>
    <t>SE-E4. DJ6-04 - VÃO BY - REATOR</t>
  </si>
  <si>
    <t xml:space="preserve">Foi desligado em virtude da necessidade da retirada de ninhos nas seccionadoras </t>
  </si>
  <si>
    <t>Foi desligado em virtude da necessidade da retirada de ninhos nas seccionadoras, limpeza e regulagem</t>
  </si>
  <si>
    <t>SE-E4. DJ6-01 - VÃO AX</t>
  </si>
  <si>
    <t>Foi desligado em virtude da necessidade da retirada de ninhos nas seccionadoras, limpeza, regulagem e correção de vazamento na bucha "B" de baixa tensão 6TR1</t>
  </si>
  <si>
    <t>Foi desligado em virtude de correção de vazamento e realizar ensaio de tangente delta - para realizar o ensaio e corrigir o vazamento o transformador precisa estar desligado por 4 hr.</t>
  </si>
  <si>
    <t>Realizar Ensaios elétricos no 6TR1, Ensaios nas proteções intrínsecas do 6TR1.
 Realizar inspeção, limpeza, reaperto nos disjuntores do Cubículo de 6,9kV.</t>
  </si>
  <si>
    <t xml:space="preserve"> Desligamento solicitado pelo Consórcio CPISF para realização dos ensaios de SPT na Subestação SE-E3, Solicitação pelo CPISF para desenergização e aterramento provisório do 230kV, OBS. As atividades supracitadas serão realizadas em sequencias, como citadas, sendo realizado o aterramento provisório no barramento do 230kV.</t>
  </si>
  <si>
    <t>Desligamento programado pela a CHESF.</t>
  </si>
  <si>
    <t>Desliagmento para realizar ensaios elétricos no transformador de potencias 6TR1-E3.</t>
  </si>
  <si>
    <t>Execução de reforço estrutural de bases de alvenaria.</t>
  </si>
  <si>
    <t>Teste de resistência de contato (Microohmimetro),Das seccionadoras SD6-02, SB6-02,Retirada das derivações e aterramento para isolamento da SD6-02 e Limpeza dos contatos para fechamento da chave de By-pass SY6-02.</t>
  </si>
  <si>
    <t xml:space="preserve">Teste de resistência de contato (Microohmimetro),Das seccionadoras SD6-02, SB6-02,Retirada das derivações e aterramento para isolamento da SD6-02 e Limpeza dos contatos para fechamento da chave de By-pass SY6-02.
</t>
  </si>
  <si>
    <t>Foi desenergizada a linha de 230 kV  conforme programação para serem realizadas atividades de manutenção corretivas  na subestação SE-E3.E realizado a limpeza da cabeça dos transformadores de corrente (TCs) .</t>
  </si>
  <si>
    <t>Foi desenergizada a linha de 230 kV  conforme programação para serem realizadas atividades de manutenção corretivas  na subestação SE-E3.</t>
  </si>
  <si>
    <t>Desligamento programado para a reconexão das derivações do vão AY da SE-E3</t>
  </si>
  <si>
    <t>Desligamento programado pela a CHESF. Para manutenção na SE-E0.</t>
  </si>
  <si>
    <t>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SD6-05.
* Limpeza dos contatos e articulações.
* Reaperto dos Bornes dos painéis 
* Alinhamento do bloco da SECCIONADORA SD6-06 juntamente com a topografia do CPISF.</t>
  </si>
  <si>
    <t>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
* Limpeza dos contatos e articulações.Subestação E6.
* Reaperto dos Bornes dos painéis Subestação E6. 
* Alinhamento do bloco da SECCIONADORA SD6-06 juntamente com a topografia do CPISF. Subestação E6.</t>
  </si>
  <si>
    <t>SE-E1. 289-01 - "VÃO BX" - LINK 6,9 kV - EBV-01</t>
  </si>
  <si>
    <t>SE-E2. 289-01 - "VÃO BX" - LINK 6,9 kV - EBV-02</t>
  </si>
  <si>
    <t>SE-E3. 289-01 - "VÃO BX" - LINK 6,9 kV - EBV-03</t>
  </si>
  <si>
    <t>SE-E4. 289-01 - "VÃO BX" - LINK 6,9 kV - EBV-04</t>
  </si>
  <si>
    <t>SE-E5. 289-01 - "VÃO BX" - LINK 6,9 kV - EBV-05</t>
  </si>
  <si>
    <t>SE-E6. 289-01 - "VÃO BX" - LINK 6,9 kV - EBV-06</t>
  </si>
  <si>
    <t>Nome Reduzido</t>
  </si>
  <si>
    <t>Contagem de Ocorrências</t>
  </si>
  <si>
    <t>(vazio)</t>
  </si>
  <si>
    <t>*Realizado desligamento programado para reconexão das derivações dos barramentos às seccionadoras SB6-01 (vão AX) e SY6-01 (vão AX). Bem como para a regulagem das chaves seccionadoras SD6-01 e CA6-01, no (vão AX) da SE-E3.
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
Na SE-E6, foram realizados ensaios elétricos nos transformadores 6TR1 , contemplando os seguintes testes:
Medição da resistência de isolamento;
Ensaio de tangente delta (fator de potência);
Medição da resistência dos enrolamentos;
Verificação da relação de transformação.</t>
  </si>
  <si>
    <t>*  Desligamento para manutenção preventiva anual no Cubiculo e painéis elétricos da EBV6. Aproveitando a abertura do DJ6-01 do vão AY, foram realizadas na SE-E6 as seguintes manutenções: limpeza geral das buchas do 6TR5;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</t>
  </si>
  <si>
    <t>*  Desligamento para manutenção preventiva anual no Cubiculo e painéis elétricos da EBV5. Aproveitando a abertura do DJ4-02 do vão AY, foram realizadas na SE-E5 as seguintes manutenções: limpeza geral das buchas do 4TR1;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</t>
  </si>
  <si>
    <t>*  Desligamento para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</t>
  </si>
  <si>
    <t xml:space="preserve">*  Desligamento para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  </t>
  </si>
  <si>
    <t>*  Desligamento para manutenção preventiva anual no Cubiculo e painéis elétricos da EBV3. Aproveitando a abertura do DJ6-03 do vão BX, foram realizadas na SE-E3 as seguintes manutenções: limpeza geral das buchas do 6TR1; limpeza geral dos cubículos de 6,9 kV;  restauração da pintura para retirada de ferrugem interna dos cubículos 6.9 kV.</t>
  </si>
  <si>
    <t>*  Desligamento para manutenção preventiva anual no Cubiculo e painéis elétricos da EBV3. Aproveitando a abertura do DJ6-03 do vão BX, foram realizadas na SE-E3 as seguintes manutenções: limpeza geral das buchas do 6TR1; limpeza geral dos cubículos de 6,9 kV; restauração da pintura para retirada de ferrugem interna dos cubículos 6.9 kV.</t>
  </si>
  <si>
    <t>*  Desligamento para manutenção preventiva anual no Cubiculo e painéis elétricos da EBV2. Aproveitando a abertura do DJ6-03 do vão BX, foram realizadas na SE-E2 as seguintes manutenções: limpeza geral das buchas do 6TR1; limpeza geral dos cubículos de 6,9 kV; complemento de gás SF6 no disjuntor DJ3-03.</t>
  </si>
  <si>
    <t>*  Desligamento para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</t>
  </si>
  <si>
    <t>* Desligamento para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</t>
  </si>
  <si>
    <t xml:space="preserve">Desligamento para manutenção preventiva no Cubiculo e painéis elétricos da EBV1 e Link 6.9 kV. Aproveitando o desligamneto, Foi execultado na SE-E1; Retirada de ninho de pássaros; Inspeção e limpeza das buchas do trafo  6TR1; Restauração da pintura interna do cubículo 501-1; Inspeção e limpeza da chave faca 289-01; Teste de resistência de contato (Micromimetro) da chave faca 289-01.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</si>
</sst>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5" formatCode="00"/>
    <numFmt numFmtId="166" formatCode="0.00;&quot;—&quot;;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23232"/>
      <name val="Aptos Narrow"/>
      <family val="2"/>
      <scheme val="minor"/>
    </font>
    <font>
      <b/>
      <sz val="11"/>
      <color rgb="FF323232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32323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i/>
      <sz val="11"/>
      <color rgb="FFFF5050"/>
      <name val="Aptos Narrow"/>
      <family val="2"/>
      <scheme val="minor"/>
    </font>
    <font>
      <b/>
      <sz val="11"/>
      <color rgb="FFFF5050"/>
      <name val="Aptos Narrow"/>
      <family val="2"/>
      <scheme val="minor"/>
    </font>
    <font>
      <b/>
      <sz val="10"/>
      <color rgb="FF323232"/>
      <name val="Aptos Narrow"/>
      <family val="2"/>
      <scheme val="minor"/>
    </font>
    <font>
      <sz val="10"/>
      <color rgb="FF323232"/>
      <name val="Aptos Narrow"/>
      <family val="2"/>
      <scheme val="minor"/>
    </font>
    <font>
      <i/>
      <sz val="10"/>
      <color rgb="FF323232"/>
      <name val="Aptos Narrow"/>
      <family val="2"/>
      <scheme val="minor"/>
    </font>
    <font>
      <b/>
      <sz val="10"/>
      <color rgb="FFFF5050"/>
      <name val="Aptos Narrow"/>
      <family val="2"/>
      <scheme val="minor"/>
    </font>
    <font>
      <b/>
      <i/>
      <sz val="10"/>
      <color rgb="FFFF5050"/>
      <name val="Aptos Narrow"/>
      <family val="2"/>
      <scheme val="minor"/>
    </font>
    <font>
      <b/>
      <i/>
      <sz val="11"/>
      <color theme="0" tint="-0.249977111117893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A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dotted">
        <color theme="0" tint="-0.14993743705557422"/>
      </top>
      <bottom style="thin">
        <color theme="0" tint="-0.14996795556505021"/>
      </bottom>
      <diagonal/>
    </border>
    <border>
      <left/>
      <right/>
      <top style="dotted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dotted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pivotButton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4" fontId="3" fillId="0" borderId="0" xfId="0" applyNumberFormat="1" applyFont="1" applyAlignment="1" applyProtection="1">
      <alignment horizontal="center" vertical="center" wrapText="1"/>
      <protection locked="0"/>
    </xf>
    <xf numFmtId="164" fontId="2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14" fillId="0" borderId="0" xfId="0" applyFont="1"/>
    <xf numFmtId="165" fontId="7" fillId="3" borderId="7" xfId="0" applyNumberFormat="1" applyFont="1" applyFill="1" applyBorder="1" applyAlignment="1">
      <alignment vertical="center"/>
    </xf>
    <xf numFmtId="165" fontId="7" fillId="3" borderId="8" xfId="0" applyNumberFormat="1" applyFont="1" applyFill="1" applyBorder="1" applyAlignment="1">
      <alignment vertical="center"/>
    </xf>
    <xf numFmtId="165" fontId="7" fillId="3" borderId="9" xfId="0" applyNumberFormat="1" applyFont="1" applyFill="1" applyBorder="1" applyAlignment="1">
      <alignment vertical="center"/>
    </xf>
    <xf numFmtId="165" fontId="7" fillId="3" borderId="10" xfId="0" applyNumberFormat="1" applyFont="1" applyFill="1" applyBorder="1" applyAlignment="1">
      <alignment vertical="center"/>
    </xf>
    <xf numFmtId="165" fontId="7" fillId="3" borderId="0" xfId="0" applyNumberFormat="1" applyFont="1" applyFill="1" applyAlignment="1">
      <alignment vertical="center"/>
    </xf>
    <xf numFmtId="165" fontId="7" fillId="3" borderId="11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2" borderId="0" xfId="0" applyFont="1" applyFill="1"/>
    <xf numFmtId="0" fontId="9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1" fillId="2" borderId="0" xfId="0" applyFont="1" applyFill="1"/>
    <xf numFmtId="10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0" fillId="2" borderId="0" xfId="0" applyFont="1" applyFill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4" fontId="2" fillId="0" borderId="0" xfId="0" applyNumberFormat="1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5" fontId="15" fillId="3" borderId="4" xfId="0" applyNumberFormat="1" applyFont="1" applyFill="1" applyBorder="1" applyAlignment="1">
      <alignment horizontal="center" vertical="center"/>
    </xf>
    <xf numFmtId="165" fontId="15" fillId="3" borderId="5" xfId="0" applyNumberFormat="1" applyFont="1" applyFill="1" applyBorder="1" applyAlignment="1">
      <alignment horizontal="center" vertical="center"/>
    </xf>
    <xf numFmtId="165" fontId="15" fillId="3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NumberFormat="1" applyFont="1" applyAlignment="1" applyProtection="1">
      <alignment horizontal="center" vertical="center" wrapText="1"/>
    </xf>
    <xf numFmtId="166" fontId="3" fillId="0" borderId="0" xfId="0" applyNumberFormat="1" applyFont="1" applyAlignment="1" applyProtection="1">
      <alignment horizontal="center" vertical="center" wrapText="1"/>
    </xf>
  </cellXfs>
  <cellStyles count="2">
    <cellStyle name="Normal" xfId="0" builtinId="0"/>
    <cellStyle name="Porcentagem" xfId="1" builtinId="5"/>
  </cellStyles>
  <dxfs count="318">
    <dxf>
      <numFmt numFmtId="165" formatCode="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65" formatCode="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2" formatCode="0.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2" formatCode="0.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left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6" formatCode="0.00;&quot;—&quot;;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6" formatCode="0.00;&quot;—&quot;;;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z val="11"/>
        <color rgb="FF323232"/>
      </font>
      <border>
        <vertical/>
        <horizontal/>
      </border>
    </dxf>
    <dxf>
      <font>
        <color rgb="FF32323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069185460982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0"/>
      </font>
      <fill>
        <patternFill>
          <bgColor rgb="FF323232"/>
        </patternFill>
      </fill>
      <border>
        <bottom style="medium">
          <color theme="1"/>
        </bottom>
        <vertical style="thin">
          <color theme="1" tint="0.34998626667073579"/>
        </vertical>
      </border>
    </dxf>
    <dxf>
      <font>
        <color theme="1"/>
      </font>
      <border>
        <left style="medium">
          <color rgb="FF323232"/>
        </left>
        <right style="medium">
          <color rgb="FF323232"/>
        </right>
        <top style="medium">
          <color rgb="FF323232"/>
        </top>
        <bottom style="medium">
          <color rgb="FF323232"/>
        </bottom>
        <vertical style="thin">
          <color theme="1"/>
        </vertical>
        <horizontal style="dotted">
          <color rgb="FF323232"/>
        </horizontal>
      </border>
    </dxf>
    <dxf>
      <font>
        <b/>
        <i val="0"/>
        <color rgb="FF32323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dotted">
          <color theme="0" tint="-0.14993743705557422"/>
        </bottom>
        <vertical/>
        <horizontal/>
      </border>
    </dxf>
    <dxf>
      <font>
        <color rgb="FF32323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3" defaultTableStyle="Grey TableStyle v1.0" defaultPivotStyle="PivotStyleLight16">
    <tableStyle name="Grey SlicerStyle v1.0" pivot="0" table="0" count="10" xr9:uid="{6DD63417-5D78-4110-AAA1-01D32E2AC2B7}">
      <tableStyleElement type="wholeTable" dxfId="317"/>
      <tableStyleElement type="headerRow" dxfId="316"/>
    </tableStyle>
    <tableStyle name="Grey TableStyle v1.0" pivot="0" count="7" xr9:uid="{ECCC047E-F8A5-49EC-8284-4D0D54293FE8}">
      <tableStyleElement type="wholeTable" dxfId="315"/>
      <tableStyleElement type="headerRow" dxfId="314"/>
      <tableStyleElement type="totalRow" dxfId="313"/>
      <tableStyleElement type="firstColumn" dxfId="312"/>
      <tableStyleElement type="lastColumn" dxfId="311"/>
      <tableStyleElement type="firstRowStripe" dxfId="310"/>
      <tableStyleElement type="firstColumnStripe" dxfId="309"/>
    </tableStyle>
    <tableStyle name="Grey TimeSlicer v1.0" pivot="0" table="0" count="9" xr9:uid="{BB8532E9-49BF-402C-AD47-0779B224E736}">
      <tableStyleElement type="wholeTable" dxfId="308"/>
      <tableStyleElement type="headerRow" dxfId="307"/>
    </tableStyle>
  </tableStyles>
  <colors>
    <mruColors>
      <color rgb="FFFF5050"/>
      <color rgb="FFFAFAFA"/>
      <color rgb="FFF5F5F5"/>
      <color rgb="FF323232"/>
      <color rgb="FFFF7C80"/>
      <color rgb="FFC2F1C8"/>
      <color rgb="FFC1F0C8"/>
      <color rgb="FFFFFFFF"/>
      <color rgb="FFFF9999"/>
      <color rgb="FFF5FAFF"/>
    </mruColors>
  </colors>
  <extLst>
    <ext xmlns:x14="http://schemas.microsoft.com/office/spreadsheetml/2009/9/main" uri="{46F421CA-312F-682f-3DD2-61675219B42D}">
      <x14:dxfs count="8">
        <dxf>
          <font>
            <color rgb="FFFF5050"/>
          </font>
          <fill>
            <patternFill patternType="solid">
              <fgColor auto="1"/>
              <bgColor rgb="FFFF9999"/>
            </patternFill>
          </fill>
          <border>
            <left style="dotted">
              <color rgb="FFFF5050"/>
            </left>
            <right style="dotted">
              <color rgb="FFFF5050"/>
            </right>
            <top style="dotted">
              <color rgb="FFFF5050"/>
            </top>
            <bottom style="dotted">
              <color rgb="FFFF5050"/>
            </bottom>
            <vertical/>
            <horizontal/>
          </border>
        </dxf>
        <dxf>
          <font>
            <color rgb="FFFF5050"/>
          </font>
          <fill>
            <patternFill patternType="solid">
              <fgColor auto="1"/>
              <bgColor rgb="FFFF9999"/>
            </patternFill>
          </fill>
          <border>
            <left style="dotted">
              <color rgb="FFC00000"/>
            </left>
            <right style="dotted">
              <color rgb="FFC00000"/>
            </right>
            <top style="dotted">
              <color rgb="FFC00000"/>
            </top>
            <bottom style="dotted">
              <color rgb="FFC00000"/>
            </bottom>
            <vertical/>
            <horizontal/>
          </border>
        </dxf>
        <dxf>
          <font>
            <b/>
            <i val="0"/>
            <color rgb="FF00B050"/>
          </font>
          <fill>
            <patternFill patternType="solid">
              <fgColor auto="1"/>
              <bgColor rgb="FFC1F0C8"/>
            </patternFill>
          </fill>
          <border>
            <left style="thin">
              <color rgb="FF00B050"/>
            </left>
            <right style="thin">
              <color rgb="FF00B050"/>
            </right>
            <top style="thin">
              <color rgb="FF00B050"/>
            </top>
            <bottom style="thin">
              <color rgb="FF00B050"/>
            </bottom>
            <vertical/>
            <horizontal/>
          </border>
        </dxf>
        <dxf>
          <font>
            <color theme="9"/>
          </font>
          <fill>
            <patternFill patternType="solid">
              <fgColor auto="1"/>
              <bgColor rgb="FFDCF5DC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b/>
            <i val="0"/>
            <color rgb="FFFF5050"/>
          </font>
          <fill>
            <patternFill>
              <bgColor rgb="FFFF9999"/>
            </patternFill>
          </fill>
          <border>
            <left style="dotted">
              <color rgb="FFFF5050"/>
            </left>
            <right style="dotted">
              <color rgb="FFFF5050"/>
            </right>
            <top style="dotted">
              <color rgb="FFFF5050"/>
            </top>
            <bottom style="dotted">
              <color rgb="FFFF5050"/>
            </bottom>
            <vertical/>
            <horizontal/>
          </border>
        </dxf>
        <dxf>
          <font>
            <b/>
            <i val="0"/>
            <color theme="1" tint="0.499984740745262"/>
          </font>
          <fill>
            <patternFill patternType="solid">
              <fgColor auto="1"/>
              <bgColor rgb="FFF5F5F5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24994659260841701"/>
          </font>
          <fill>
            <patternFill patternType="solid">
              <fgColor rgb="FFDFDFDF"/>
              <bgColor theme="0"/>
            </patternFill>
          </fill>
          <border>
            <left style="dotted">
              <color theme="0" tint="-0.24994659260841701"/>
            </left>
            <right style="dotted">
              <color theme="0" tint="-0.24994659260841701"/>
            </right>
            <top style="dotted">
              <color theme="0" tint="-0.24994659260841701"/>
            </top>
            <bottom style="dotted">
              <color theme="0" tint="-0.24994659260841701"/>
            </bottom>
            <vertical/>
            <horizontal/>
          </border>
        </dxf>
        <dxf>
          <font>
            <b val="0"/>
            <i val="0"/>
            <color theme="0" tint="-0.34998626667073579"/>
          </font>
          <fill>
            <patternFill patternType="solid">
              <fgColor rgb="FFC0C0C0"/>
              <bgColor rgb="FFFAFAFA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Grey SlicerStyle v1.0">
        <x14:slicerStyle name="Grey SlicerStyle v1.0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7" tint="0.39991454817346722"/>
              <bgColor theme="0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2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5.0965910824915313E-2"/>
              </stop>
              <stop position="1">
                <color theme="0" tint="-0.34900967436750391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/>
            <sz val="9"/>
            <color theme="0" tint="-0.24994659260841701"/>
          </font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0" tint="-0.24994659260841701"/>
          </font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10"/>
            <color theme="1" tint="0.2499465926084170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Grey TimeSlicer v1.0">
        <x15:timelineStyle name="Grey TimeSlicer v1.0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E-416F-B44D-CB746E0FB3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CE-416F-B44D-CB746E0FB30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E-416F-B44D-CB746E0FB30C}"/>
              </c:ext>
            </c:extLst>
          </c:dPt>
          <c:dLbls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('BCKSTG-ANALYSIS'!$B$4:$C$4,'BCKSTG-ANALYSIS'!$D$4)</c:f>
              <c:strCache>
                <c:ptCount val="3"/>
                <c:pt idx="0">
                  <c:v>Duração Total de Paradas Forçadas [h]</c:v>
                </c:pt>
                <c:pt idx="1">
                  <c:v>Duração Total de Paradas Programadas [h]</c:v>
                </c:pt>
                <c:pt idx="2">
                  <c:v>Duração Total [h]</c:v>
                </c:pt>
              </c:strCache>
            </c:strRef>
          </c:cat>
          <c:val>
            <c:numRef>
              <c:f>('BCKSTG-ANALYSIS'!$B$5:$C$5,'BCKSTG-ANALYSIS'!$D$5)</c:f>
              <c:numCache>
                <c:formatCode>0.00</c:formatCode>
                <c:ptCount val="3"/>
                <c:pt idx="0">
                  <c:v>0</c:v>
                </c:pt>
                <c:pt idx="1">
                  <c:v>95.758333333333354</c:v>
                </c:pt>
                <c:pt idx="2">
                  <c:v>95.758333333333354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E-416F-B44D-CB746E0FB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788970287"/>
        <c:axId val="1788969327"/>
      </c:barChart>
      <c:catAx>
        <c:axId val="178897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8969327"/>
        <c:crosses val="autoZero"/>
        <c:auto val="1"/>
        <c:lblAlgn val="ctr"/>
        <c:lblOffset val="100"/>
        <c:noMultiLvlLbl val="0"/>
      </c:catAx>
      <c:valAx>
        <c:axId val="1788969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889702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9-4F6F-AC47-9E228D663B6B}"/>
              </c:ext>
            </c:extLst>
          </c:dPt>
          <c:dPt>
            <c:idx val="1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F9-4F6F-AC47-9E228D663B6B}"/>
              </c:ext>
            </c:extLst>
          </c:dPt>
          <c:dLbls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232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Duração total para forçadas [h]</c:v>
              </c:pt>
              <c:pt idx="1">
                <c:v>Duração total para programadas [h]</c:v>
              </c:pt>
            </c:strLit>
          </c:cat>
          <c:val>
            <c:numRef>
              <c:f>'BCKSTG-ANALYSIS'!$E$5:$F$5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F9-4F6F-AC47-9E228D663B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'BCKSTG-ANALYSIS'!$B$9</c:f>
              <c:strCache>
                <c:ptCount val="1"/>
                <c:pt idx="0">
                  <c:v>Quantidade de Paradas Forçadas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dLbls>
            <c:numFmt formatCode="00;;;" sourceLinked="0"/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Distribuição de Paradas</c:v>
              </c:pt>
            </c:strLit>
          </c:cat>
          <c:val>
            <c:numRef>
              <c:f>'BCKSTG-ANALYSIS'!$B$10</c:f>
              <c:numCache>
                <c:formatCode>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F-4DC2-BAAC-6F55C5A339F7}"/>
            </c:ext>
          </c:extLst>
        </c:ser>
        <c:ser>
          <c:idx val="1"/>
          <c:order val="1"/>
          <c:tx>
            <c:strRef>
              <c:f>'BCKSTG-ANALYSIS'!$C$9</c:f>
              <c:strCache>
                <c:ptCount val="1"/>
                <c:pt idx="0">
                  <c:v>Quantidade de Paradas Programadas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00" sourceLinked="0"/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Distribuição de Paradas</c:v>
              </c:pt>
            </c:strLit>
          </c:cat>
          <c:val>
            <c:numRef>
              <c:f>'BCKSTG-ANALYSIS'!$C$10</c:f>
              <c:numCache>
                <c:formatCode>00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F-4DC2-BAAC-6F55C5A339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52875967"/>
        <c:axId val="1652877887"/>
      </c:barChart>
      <c:catAx>
        <c:axId val="165287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877887"/>
        <c:crosses val="autoZero"/>
        <c:auto val="1"/>
        <c:lblAlgn val="ctr"/>
        <c:lblOffset val="100"/>
        <c:noMultiLvlLbl val="0"/>
      </c:catAx>
      <c:valAx>
        <c:axId val="16528778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" sourceLinked="1"/>
        <c:majorTickMark val="none"/>
        <c:minorTickMark val="none"/>
        <c:tickLblPos val="nextTo"/>
        <c:crossAx val="165287596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[CMT — Histórico de Paradas Forçadas e Programadas – Leste v1.5 (21-01-26).xlsx]BCKSTG-TABLES!Tabela dinâmica6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chemeClr val="bg1"/>
            </a:solidFill>
            <a:ln w="15875">
              <a:solidFill>
                <a:srgbClr val="323232"/>
              </a:solidFill>
              <a:round/>
            </a:ln>
            <a:effectLst/>
          </c:spPr>
        </c:marker>
        <c:dLbl>
          <c:idx val="0"/>
          <c:numFmt formatCode="00" sourceLinked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2.869200702430182E-2"/>
          <c:y val="3.3755274261603373E-2"/>
          <c:w val="0.95811854453445122"/>
          <c:h val="0.70617895490336446"/>
        </c:manualLayout>
      </c:layout>
      <c:lineChart>
        <c:grouping val="standard"/>
        <c:varyColors val="0"/>
        <c:ser>
          <c:idx val="0"/>
          <c:order val="0"/>
          <c:tx>
            <c:strRef>
              <c:f>'BCKSTG-TABLES'!$O$4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rgbClr val="323232"/>
                </a:solidFill>
                <a:round/>
              </a:ln>
              <a:effectLst/>
            </c:spPr>
          </c:marker>
          <c:dLbls>
            <c:numFmt formatCode="00" sourceLinked="0"/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232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'BCKSTG-TABLES'!$N$5:$N$17</c:f>
              <c:multiLvlStrCache>
                <c:ptCount val="6"/>
                <c:lvl>
                  <c:pt idx="0">
                    <c:v>PROGRAMADA</c:v>
                  </c:pt>
                  <c:pt idx="1">
                    <c:v>PROGRAMADA</c:v>
                  </c:pt>
                  <c:pt idx="2">
                    <c:v>PROGRAMADA</c:v>
                  </c:pt>
                  <c:pt idx="3">
                    <c:v>PROGRAMADA</c:v>
                  </c:pt>
                  <c:pt idx="4">
                    <c:v>PROGRAMADA</c:v>
                  </c:pt>
                  <c:pt idx="5">
                    <c:v>PROGRAMADA</c:v>
                  </c:pt>
                </c:lvl>
                <c:lvl>
                  <c:pt idx="0">
                    <c:v>18/11/2025</c:v>
                  </c:pt>
                  <c:pt idx="1">
                    <c:v>12/01/2026</c:v>
                  </c:pt>
                  <c:pt idx="2">
                    <c:v>13/01/2026</c:v>
                  </c:pt>
                  <c:pt idx="3">
                    <c:v>14/01/2026</c:v>
                  </c:pt>
                  <c:pt idx="4">
                    <c:v>15/01/2026</c:v>
                  </c:pt>
                  <c:pt idx="5">
                    <c:v>16/01/2026</c:v>
                  </c:pt>
                </c:lvl>
              </c:multiLvlStrCache>
            </c:multiLvlStrRef>
          </c:cat>
          <c:val>
            <c:numRef>
              <c:f>'BCKSTG-TABLES'!$O$5:$O$17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A-40EE-A330-159048516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603919"/>
        <c:axId val="1786605359"/>
      </c:lineChart>
      <c:catAx>
        <c:axId val="178660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605359"/>
        <c:crosses val="autoZero"/>
        <c:auto val="1"/>
        <c:lblAlgn val="ctr"/>
        <c:lblOffset val="100"/>
        <c:noMultiLvlLbl val="0"/>
      </c:catAx>
      <c:valAx>
        <c:axId val="178660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603919"/>
        <c:crosses val="autoZero"/>
        <c:crossBetween val="between"/>
        <c:majorUnit val="1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[CMT — Histórico de Paradas Forçadas e Programadas – Leste v1.5 (21-01-26).xlsx]BCKSTG-TABLES!Tabela dinâmica8</c:name>
    <c:fmtId val="2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85733290188043"/>
          <c:y val="2.9899664440679086E-2"/>
          <c:w val="0.48633372883184123"/>
          <c:h val="0.93998039801986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'BCKSTG-TABLES'!$AD$4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'BCKSTG-TABLES'!$AC$5:$AC$25</c:f>
              <c:multiLvlStrCache>
                <c:ptCount val="16"/>
                <c:lvl>
                  <c:pt idx="11">
                    <c:v>PROGRAMADA</c:v>
                  </c:pt>
                  <c:pt idx="12">
                    <c:v>PROGRAMADA</c:v>
                  </c:pt>
                  <c:pt idx="13">
                    <c:v>PROGRAMADA</c:v>
                  </c:pt>
                  <c:pt idx="14">
                    <c:v>PROGRAMADA</c:v>
                  </c:pt>
                  <c:pt idx="15">
                    <c:v>PROGRAMADA</c:v>
                  </c:pt>
                </c:lvl>
                <c:lvl>
                  <c:pt idx="0">
                    <c:v>SE-E1. DJ6-02 - VÃO BX</c:v>
                  </c:pt>
                  <c:pt idx="1">
                    <c:v>SE-E2. DJ6-02 - VÃO AY</c:v>
                  </c:pt>
                  <c:pt idx="2">
                    <c:v>SE-E2. DJ6-03 - VÃO BX</c:v>
                  </c:pt>
                  <c:pt idx="3">
                    <c:v>SE-E3. DJ6-02 - VÃO AY</c:v>
                  </c:pt>
                  <c:pt idx="4">
                    <c:v>SE-E3. DJ6-03 - VÃO BX</c:v>
                  </c:pt>
                  <c:pt idx="5">
                    <c:v>SE-E4. DJ6-02 - VÃO AY</c:v>
                  </c:pt>
                  <c:pt idx="6">
                    <c:v>SE-E4. DJ6-03 - VÃO BX</c:v>
                  </c:pt>
                  <c:pt idx="7">
                    <c:v>SE-E5. DJ4-02 - VÃO AY</c:v>
                  </c:pt>
                  <c:pt idx="8">
                    <c:v>SE-E6. DJ4-02 - VÃO AZ - RAMAL DO AGRESTE</c:v>
                  </c:pt>
                  <c:pt idx="9">
                    <c:v>SE-E6. DJ4-06 - VÃO CZ</c:v>
                  </c:pt>
                  <c:pt idx="10">
                    <c:v>SE-E6. DJ6-01 - VÃO AX</c:v>
                  </c:pt>
                  <c:pt idx="11">
                    <c:v>SE-E1. 289-01 - "VÃO BX" - LINK 6,9 kV - EBV-01</c:v>
                  </c:pt>
                  <c:pt idx="12">
                    <c:v>SE-E2. 289-01 - "VÃO BX" - LINK 6,9 kV - EBV-02</c:v>
                  </c:pt>
                  <c:pt idx="13">
                    <c:v>SE-E3. 289-01 - "VÃO BX" - LINK 6,9 kV - EBV-03</c:v>
                  </c:pt>
                  <c:pt idx="14">
                    <c:v>SE-E4. 289-01 - "VÃO BX" - LINK 6,9 kV - EBV-04</c:v>
                  </c:pt>
                  <c:pt idx="15">
                    <c:v>SE-E5. 289-01 - "VÃO BX" - LINK 6,9 kV - EBV-05</c:v>
                  </c:pt>
                </c:lvl>
              </c:multiLvlStrCache>
            </c:multiLvlStrRef>
          </c:cat>
          <c:val>
            <c:numRef>
              <c:f>'BCKSTG-TABLES'!$AD$5:$AD$25</c:f>
              <c:numCache>
                <c:formatCode>00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6-4AC0-BEF0-8B3372E9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5308319"/>
        <c:axId val="855308799"/>
      </c:barChart>
      <c:catAx>
        <c:axId val="8553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308799"/>
        <c:crosses val="autoZero"/>
        <c:auto val="1"/>
        <c:lblAlgn val="ctr"/>
        <c:lblOffset val="100"/>
        <c:noMultiLvlLbl val="0"/>
      </c:catAx>
      <c:valAx>
        <c:axId val="8553087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" sourceLinked="1"/>
        <c:majorTickMark val="none"/>
        <c:minorTickMark val="none"/>
        <c:tickLblPos val="nextTo"/>
        <c:crossAx val="8553083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[CMT — Histórico de Paradas Forçadas e Programadas – Leste v1.5 (21-01-26).xlsx]BCKSTG-TABLES!Tabela dinâmica8</c:name>
    <c:fmtId val="3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85733290188043"/>
          <c:y val="2.9899664440679086E-2"/>
          <c:w val="0.48633372883184123"/>
          <c:h val="0.93998039801986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'BCKSTG-TABLES'!$AD$4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'BCKSTG-TABLES'!$AC$5:$AC$25</c:f>
              <c:multiLvlStrCache>
                <c:ptCount val="16"/>
                <c:lvl>
                  <c:pt idx="11">
                    <c:v>PROGRAMADA</c:v>
                  </c:pt>
                  <c:pt idx="12">
                    <c:v>PROGRAMADA</c:v>
                  </c:pt>
                  <c:pt idx="13">
                    <c:v>PROGRAMADA</c:v>
                  </c:pt>
                  <c:pt idx="14">
                    <c:v>PROGRAMADA</c:v>
                  </c:pt>
                  <c:pt idx="15">
                    <c:v>PROGRAMADA</c:v>
                  </c:pt>
                </c:lvl>
                <c:lvl>
                  <c:pt idx="0">
                    <c:v>SE-E1. DJ6-02 - VÃO BX</c:v>
                  </c:pt>
                  <c:pt idx="1">
                    <c:v>SE-E2. DJ6-02 - VÃO AY</c:v>
                  </c:pt>
                  <c:pt idx="2">
                    <c:v>SE-E2. DJ6-03 - VÃO BX</c:v>
                  </c:pt>
                  <c:pt idx="3">
                    <c:v>SE-E3. DJ6-02 - VÃO AY</c:v>
                  </c:pt>
                  <c:pt idx="4">
                    <c:v>SE-E3. DJ6-03 - VÃO BX</c:v>
                  </c:pt>
                  <c:pt idx="5">
                    <c:v>SE-E4. DJ6-02 - VÃO AY</c:v>
                  </c:pt>
                  <c:pt idx="6">
                    <c:v>SE-E4. DJ6-03 - VÃO BX</c:v>
                  </c:pt>
                  <c:pt idx="7">
                    <c:v>SE-E5. DJ4-02 - VÃO AY</c:v>
                  </c:pt>
                  <c:pt idx="8">
                    <c:v>SE-E6. DJ4-02 - VÃO AZ - RAMAL DO AGRESTE</c:v>
                  </c:pt>
                  <c:pt idx="9">
                    <c:v>SE-E6. DJ4-06 - VÃO CZ</c:v>
                  </c:pt>
                  <c:pt idx="10">
                    <c:v>SE-E6. DJ6-01 - VÃO AX</c:v>
                  </c:pt>
                  <c:pt idx="11">
                    <c:v>SE-E1. 289-01 - "VÃO BX" - LINK 6,9 kV - EBV-01</c:v>
                  </c:pt>
                  <c:pt idx="12">
                    <c:v>SE-E2. 289-01 - "VÃO BX" - LINK 6,9 kV - EBV-02</c:v>
                  </c:pt>
                  <c:pt idx="13">
                    <c:v>SE-E3. 289-01 - "VÃO BX" - LINK 6,9 kV - EBV-03</c:v>
                  </c:pt>
                  <c:pt idx="14">
                    <c:v>SE-E4. 289-01 - "VÃO BX" - LINK 6,9 kV - EBV-04</c:v>
                  </c:pt>
                  <c:pt idx="15">
                    <c:v>SE-E5. 289-01 - "VÃO BX" - LINK 6,9 kV - EBV-05</c:v>
                  </c:pt>
                </c:lvl>
              </c:multiLvlStrCache>
            </c:multiLvlStrRef>
          </c:cat>
          <c:val>
            <c:numRef>
              <c:f>'BCKSTG-TABLES'!$AD$5:$AD$25</c:f>
              <c:numCache>
                <c:formatCode>00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C-4FEB-909E-0D1259035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5308319"/>
        <c:axId val="855308799"/>
      </c:barChart>
      <c:catAx>
        <c:axId val="8553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308799"/>
        <c:crosses val="autoZero"/>
        <c:auto val="1"/>
        <c:lblAlgn val="ctr"/>
        <c:lblOffset val="100"/>
        <c:noMultiLvlLbl val="0"/>
      </c:catAx>
      <c:valAx>
        <c:axId val="8553087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" sourceLinked="1"/>
        <c:majorTickMark val="none"/>
        <c:minorTickMark val="none"/>
        <c:tickLblPos val="nextTo"/>
        <c:crossAx val="8553083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[CMT — Histórico de Paradas Forçadas e Programadas – Leste v1.5 (21-01-26).xlsx]BCKSTG-TABLES!Tabela dinâmica4</c:name>
    <c:fmtId val="4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85733290188043"/>
          <c:y val="2.9899664440679086E-2"/>
          <c:w val="0.48633372883184123"/>
          <c:h val="0.93998039801986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'BCKSTG-TABLES'!$AM$4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'BCKSTG-TABLES'!$AL$5:$AL$20</c:f>
              <c:strCache>
                <c:ptCount val="16"/>
                <c:pt idx="0">
                  <c:v>SE-E1. DJ6-02 - VÃO BX</c:v>
                </c:pt>
                <c:pt idx="1">
                  <c:v>SE-E2. DJ6-02 - VÃO AY</c:v>
                </c:pt>
                <c:pt idx="2">
                  <c:v>SE-E2. DJ6-03 - VÃO BX</c:v>
                </c:pt>
                <c:pt idx="3">
                  <c:v>SE-E3. DJ6-02 - VÃO AY</c:v>
                </c:pt>
                <c:pt idx="4">
                  <c:v>SE-E3. DJ6-03 - VÃO BX</c:v>
                </c:pt>
                <c:pt idx="5">
                  <c:v>SE-E4. DJ6-02 - VÃO AY</c:v>
                </c:pt>
                <c:pt idx="6">
                  <c:v>SE-E4. DJ6-03 - VÃO BX</c:v>
                </c:pt>
                <c:pt idx="7">
                  <c:v>SE-E5. DJ4-02 - VÃO AY</c:v>
                </c:pt>
                <c:pt idx="8">
                  <c:v>SE-E6. DJ4-02 - VÃO AZ - RAMAL DO AGRESTE</c:v>
                </c:pt>
                <c:pt idx="9">
                  <c:v>SE-E6. DJ4-06 - VÃO CZ</c:v>
                </c:pt>
                <c:pt idx="10">
                  <c:v>SE-E6. DJ6-01 - VÃO AX</c:v>
                </c:pt>
                <c:pt idx="11">
                  <c:v>SE-E1. 289-01 - "VÃO BX" - LINK 6,9 kV - EBV-01</c:v>
                </c:pt>
                <c:pt idx="12">
                  <c:v>SE-E2. 289-01 - "VÃO BX" - LINK 6,9 kV - EBV-02</c:v>
                </c:pt>
                <c:pt idx="13">
                  <c:v>SE-E3. 289-01 - "VÃO BX" - LINK 6,9 kV - EBV-03</c:v>
                </c:pt>
                <c:pt idx="14">
                  <c:v>SE-E4. 289-01 - "VÃO BX" - LINK 6,9 kV - EBV-04</c:v>
                </c:pt>
                <c:pt idx="15">
                  <c:v>SE-E5. 289-01 - "VÃO BX" - LINK 6,9 kV - EBV-05</c:v>
                </c:pt>
              </c:strCache>
            </c:strRef>
          </c:cat>
          <c:val>
            <c:numRef>
              <c:f>'BCKSTG-TABLES'!$AM$5:$AM$20</c:f>
              <c:numCache>
                <c:formatCode>0.00</c:formatCode>
                <c:ptCount val="16"/>
                <c:pt idx="0">
                  <c:v>4.5916666666666668</c:v>
                </c:pt>
                <c:pt idx="1">
                  <c:v>4.6500000000000004</c:v>
                </c:pt>
                <c:pt idx="2">
                  <c:v>8.3166666666666664</c:v>
                </c:pt>
                <c:pt idx="3">
                  <c:v>5.8916666666666657</c:v>
                </c:pt>
                <c:pt idx="4">
                  <c:v>9.7749999999999986</c:v>
                </c:pt>
                <c:pt idx="5">
                  <c:v>5.7250000000000005</c:v>
                </c:pt>
                <c:pt idx="6">
                  <c:v>9.1416666666666675</c:v>
                </c:pt>
                <c:pt idx="7">
                  <c:v>16.316666666666666</c:v>
                </c:pt>
                <c:pt idx="8">
                  <c:v>3.6333333333333333</c:v>
                </c:pt>
                <c:pt idx="9">
                  <c:v>3.6333333333333333</c:v>
                </c:pt>
                <c:pt idx="10">
                  <c:v>3.6333333333333333</c:v>
                </c:pt>
                <c:pt idx="11">
                  <c:v>4.6166666666666671</c:v>
                </c:pt>
                <c:pt idx="12">
                  <c:v>3.6000000000000005</c:v>
                </c:pt>
                <c:pt idx="13">
                  <c:v>3.8999999999999995</c:v>
                </c:pt>
                <c:pt idx="14">
                  <c:v>3.4499999999999997</c:v>
                </c:pt>
                <c:pt idx="15">
                  <c:v>4.8833333333333329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7-4491-B1A3-4773A989C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5308319"/>
        <c:axId val="855308799"/>
      </c:barChart>
      <c:catAx>
        <c:axId val="8553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308799"/>
        <c:crosses val="autoZero"/>
        <c:auto val="1"/>
        <c:lblAlgn val="ctr"/>
        <c:lblOffset val="100"/>
        <c:noMultiLvlLbl val="0"/>
      </c:catAx>
      <c:valAx>
        <c:axId val="8553087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553083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size">
        <cx:f dir="row">_xlchart.v1.1</cx:f>
      </cx:numDim>
    </cx:data>
  </cx:chartData>
  <cx:chart>
    <cx:plotArea>
      <cx:plotAreaRegion>
        <cx:series layoutId="treemap" uniqueId="{469544EB-0187-4C95-8C8A-3E033253CF30}">
          <cx:dataPt idx="0">
            <cx:spPr>
              <a:solidFill>
                <a:srgbClr val="FF7C80"/>
              </a:solidFill>
            </cx:spPr>
          </cx:dataPt>
          <cx:dataPt idx="1">
            <cx:spPr>
              <a:solidFill>
                <a:srgbClr val="C2F1C8"/>
              </a:solidFill>
            </cx:spPr>
          </cx:dataPt>
          <cx:dataId val="0"/>
          <cx:layoutPr>
            <cx:parentLabelLayout val="overlapping"/>
          </cx:layoutPr>
        </cx:series>
      </cx:plotAreaRegion>
    </cx:plotArea>
    <cx:legend pos="r" align="ctr" overlay="0">
      <cx:spPr>
        <a:solidFill>
          <a:srgbClr val="FFFFFF">
            <a:alpha val="74902"/>
          </a:srgb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pt-B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size">
        <cx:f dir="row">_xlchart.v1.2</cx:f>
      </cx:numDim>
    </cx:data>
  </cx:chartData>
  <cx:chart>
    <cx:plotArea>
      <cx:plotAreaRegion>
        <cx:series layoutId="treemap" uniqueId="{306EA3B9-01CC-4C57-BF40-2F351563366B}">
          <cx:spPr>
            <a:solidFill>
              <a:schemeClr val="bg2">
                <a:lumMod val="75000"/>
              </a:schemeClr>
            </a:solidFill>
          </cx:spPr>
          <cx:dataPt idx="0">
            <cx:spPr>
              <a:solidFill>
                <a:sysClr val="windowText" lastClr="000000">
                  <a:lumMod val="65000"/>
                  <a:lumOff val="35000"/>
                </a:sysClr>
              </a:solidFill>
            </cx:spPr>
          </cx:dataPt>
          <cx:dataId val="0"/>
          <cx:layoutPr>
            <cx:parentLabelLayout val="overlapping"/>
          </cx:layoutPr>
        </cx:series>
      </cx:plotAreaRegion>
    </cx:plotArea>
    <cx:legend pos="r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pt-B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_xlchart.v1.0</cx:f>
      </cx:numDim>
    </cx:data>
  </cx:chartData>
  <cx:chart>
    <cx:plotArea>
      <cx:plotAreaRegion>
        <cx:series layoutId="treemap" uniqueId="{A69D5419-1453-48C1-9006-A2682702A480}">
          <cx:dataPt idx="0">
            <cx:spPr>
              <a:solidFill>
                <a:srgbClr val="C2F1C8"/>
              </a:solidFill>
            </cx:spPr>
          </cx:dataPt>
          <cx:dataPt idx="1">
            <cx:spPr>
              <a:solidFill>
                <a:srgbClr val="FF7C80"/>
              </a:solidFill>
            </cx:spPr>
          </cx:dataPt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pt-B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11" Type="http://schemas.openxmlformats.org/officeDocument/2006/relationships/image" Target="../media/image1.gif"/><Relationship Id="rId5" Type="http://schemas.openxmlformats.org/officeDocument/2006/relationships/chart" Target="../charts/chart4.xml"/><Relationship Id="rId10" Type="http://schemas.openxmlformats.org/officeDocument/2006/relationships/chart" Target="../charts/chart7.xml"/><Relationship Id="rId4" Type="http://schemas.microsoft.com/office/2014/relationships/chartEx" Target="../charts/chartEx1.xml"/><Relationship Id="rId9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C3FE60-16BF-45B8-9734-B1C9A1073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674BEC-B105-4FC8-A0A5-16FE913A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</xdr:row>
      <xdr:rowOff>0</xdr:rowOff>
    </xdr:from>
    <xdr:to>
      <xdr:col>26</xdr:col>
      <xdr:colOff>0</xdr:colOff>
      <xdr:row>9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 da Ocorrência">
              <a:extLst>
                <a:ext uri="{FF2B5EF4-FFF2-40B4-BE49-F238E27FC236}">
                  <a16:creationId xmlns:a16="http://schemas.microsoft.com/office/drawing/2014/main" id="{A45D6132-EE09-4B40-BF24-17A8D59AA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a Ocorr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114300"/>
              <a:ext cx="10591800" cy="144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 fLocksWithSheet="0"/>
  </xdr:twoCellAnchor>
  <xdr:twoCellAnchor>
    <xdr:from>
      <xdr:col>21</xdr:col>
      <xdr:colOff>0</xdr:colOff>
      <xdr:row>12</xdr:row>
      <xdr:rowOff>1</xdr:rowOff>
    </xdr:from>
    <xdr:to>
      <xdr:col>26</xdr:col>
      <xdr:colOff>0</xdr:colOff>
      <xdr:row>20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45A1C2-C9C3-4F03-9B51-B85D495F4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24</xdr:row>
      <xdr:rowOff>0</xdr:rowOff>
    </xdr:from>
    <xdr:to>
      <xdr:col>26</xdr:col>
      <xdr:colOff>0</xdr:colOff>
      <xdr:row>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AC84E6DC-EECA-4BAD-BE41-5A1F603FC7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6550" y="4171950"/>
              <a:ext cx="2952750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33</xdr:row>
      <xdr:rowOff>0</xdr:rowOff>
    </xdr:from>
    <xdr:to>
      <xdr:col>26</xdr:col>
      <xdr:colOff>0</xdr:colOff>
      <xdr:row>57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72652E4-BE5A-4ADA-A86D-7D501415A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21</xdr:row>
      <xdr:rowOff>0</xdr:rowOff>
    </xdr:from>
    <xdr:to>
      <xdr:col>26</xdr:col>
      <xdr:colOff>0</xdr:colOff>
      <xdr:row>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D94E8A23-1ADA-4E40-9E59-EE693E31C6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6550" y="3600450"/>
              <a:ext cx="2952750" cy="45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</xdr:colOff>
      <xdr:row>6</xdr:row>
      <xdr:rowOff>0</xdr:rowOff>
    </xdr:from>
    <xdr:to>
      <xdr:col>6</xdr:col>
      <xdr:colOff>1</xdr:colOff>
      <xdr:row>17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struturas">
              <a:extLst>
                <a:ext uri="{FF2B5EF4-FFF2-40B4-BE49-F238E27FC236}">
                  <a16:creationId xmlns:a16="http://schemas.microsoft.com/office/drawing/2014/main" id="{E3FDF9A9-B383-4CCB-82D9-B476C7C432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rutur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1" y="114300"/>
              <a:ext cx="3048000" cy="3448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0</xdr:colOff>
      <xdr:row>27</xdr:row>
      <xdr:rowOff>114299</xdr:rowOff>
    </xdr:from>
    <xdr:to>
      <xdr:col>6</xdr:col>
      <xdr:colOff>0</xdr:colOff>
      <xdr:row>41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57A7A9F-A743-45CF-BF2B-5CD5F1EAA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114300</xdr:colOff>
      <xdr:row>61</xdr:row>
      <xdr:rowOff>0</xdr:rowOff>
    </xdr:from>
    <xdr:to>
      <xdr:col>4</xdr:col>
      <xdr:colOff>114300</xdr:colOff>
      <xdr:row>63</xdr:row>
      <xdr:rowOff>0</xdr:rowOff>
    </xdr:to>
    <xdr:sp macro="" textlink="'BCKSTG-ANALYSIS'!$B$20">
      <xdr:nvSpPr>
        <xdr:cNvPr id="10" name="CaixaDeTexto 9">
          <a:extLst>
            <a:ext uri="{FF2B5EF4-FFF2-40B4-BE49-F238E27FC236}">
              <a16:creationId xmlns:a16="http://schemas.microsoft.com/office/drawing/2014/main" id="{702D42B4-847B-7553-D32D-CDAE2208071A}"/>
            </a:ext>
          </a:extLst>
        </xdr:cNvPr>
        <xdr:cNvSpPr txBox="1"/>
      </xdr:nvSpPr>
      <xdr:spPr>
        <a:xfrm>
          <a:off x="228600" y="1004887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ED8914F-BF58-4690-B6B8-7C8F788F65A8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SE-E1. DJ6-02 -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4</xdr:col>
      <xdr:colOff>228600</xdr:colOff>
      <xdr:row>61</xdr:row>
      <xdr:rowOff>0</xdr:rowOff>
    </xdr:from>
    <xdr:to>
      <xdr:col>8</xdr:col>
      <xdr:colOff>114300</xdr:colOff>
      <xdr:row>63</xdr:row>
      <xdr:rowOff>0</xdr:rowOff>
    </xdr:to>
    <xdr:sp macro="" textlink="'BCKSTG-ANALYSIS'!$B$21">
      <xdr:nvSpPr>
        <xdr:cNvPr id="13" name="CaixaDeTexto 12">
          <a:extLst>
            <a:ext uri="{FF2B5EF4-FFF2-40B4-BE49-F238E27FC236}">
              <a16:creationId xmlns:a16="http://schemas.microsoft.com/office/drawing/2014/main" id="{40ACA002-4C43-28B0-373B-9187E2D39B5E}"/>
            </a:ext>
          </a:extLst>
        </xdr:cNvPr>
        <xdr:cNvSpPr txBox="1"/>
      </xdr:nvSpPr>
      <xdr:spPr>
        <a:xfrm>
          <a:off x="2171700" y="1004887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0C7548-DD38-441C-841B-C0E53ED84C1D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SE-E2. DJ6-02 -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8</xdr:col>
      <xdr:colOff>236220</xdr:colOff>
      <xdr:row>61</xdr:row>
      <xdr:rowOff>0</xdr:rowOff>
    </xdr:from>
    <xdr:to>
      <xdr:col>11</xdr:col>
      <xdr:colOff>236220</xdr:colOff>
      <xdr:row>63</xdr:row>
      <xdr:rowOff>0</xdr:rowOff>
    </xdr:to>
    <xdr:sp macro="" textlink="'BCKSTG-ANALYSIS'!$B$22">
      <xdr:nvSpPr>
        <xdr:cNvPr id="14" name="CaixaDeTexto 13">
          <a:extLst>
            <a:ext uri="{FF2B5EF4-FFF2-40B4-BE49-F238E27FC236}">
              <a16:creationId xmlns:a16="http://schemas.microsoft.com/office/drawing/2014/main" id="{D6FBF175-CAD4-030B-7092-ADD75E49E2F8}"/>
            </a:ext>
          </a:extLst>
        </xdr:cNvPr>
        <xdr:cNvSpPr txBox="1"/>
      </xdr:nvSpPr>
      <xdr:spPr>
        <a:xfrm>
          <a:off x="4122420" y="1004887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813BE3C-6EA6-4158-831D-465448021D29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SE-E2. DJ6-03 -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11</xdr:col>
      <xdr:colOff>373380</xdr:colOff>
      <xdr:row>61</xdr:row>
      <xdr:rowOff>0</xdr:rowOff>
    </xdr:from>
    <xdr:to>
      <xdr:col>14</xdr:col>
      <xdr:colOff>373380</xdr:colOff>
      <xdr:row>63</xdr:row>
      <xdr:rowOff>0</xdr:rowOff>
    </xdr:to>
    <xdr:sp macro="" textlink="'BCKSTG-ANALYSIS'!$B$23">
      <xdr:nvSpPr>
        <xdr:cNvPr id="15" name="CaixaDeTexto 14">
          <a:extLst>
            <a:ext uri="{FF2B5EF4-FFF2-40B4-BE49-F238E27FC236}">
              <a16:creationId xmlns:a16="http://schemas.microsoft.com/office/drawing/2014/main" id="{92B6123F-3A0D-5589-A9C6-A9D5544EA438}"/>
            </a:ext>
          </a:extLst>
        </xdr:cNvPr>
        <xdr:cNvSpPr txBox="1"/>
      </xdr:nvSpPr>
      <xdr:spPr>
        <a:xfrm>
          <a:off x="6088380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A46C993-2999-4944-A4D6-5B4C018A2B33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SE-E3. DJ6-02 -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14</xdr:col>
      <xdr:colOff>504825</xdr:colOff>
      <xdr:row>61</xdr:row>
      <xdr:rowOff>0</xdr:rowOff>
    </xdr:from>
    <xdr:to>
      <xdr:col>18</xdr:col>
      <xdr:colOff>390525</xdr:colOff>
      <xdr:row>63</xdr:row>
      <xdr:rowOff>0</xdr:rowOff>
    </xdr:to>
    <xdr:sp macro="" textlink="'BCKSTG-ANALYSIS'!$B$24">
      <xdr:nvSpPr>
        <xdr:cNvPr id="18" name="CaixaDeTexto 17">
          <a:extLst>
            <a:ext uri="{FF2B5EF4-FFF2-40B4-BE49-F238E27FC236}">
              <a16:creationId xmlns:a16="http://schemas.microsoft.com/office/drawing/2014/main" id="{C04A7927-D58C-8691-FFE6-0A93B787389C}"/>
            </a:ext>
          </a:extLst>
        </xdr:cNvPr>
        <xdr:cNvSpPr txBox="1"/>
      </xdr:nvSpPr>
      <xdr:spPr>
        <a:xfrm>
          <a:off x="8048625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8BE123-3AB7-4EE3-A4BE-54C9E29189B7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SE-E3. DJ6-03 -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18</xdr:col>
      <xdr:colOff>520065</xdr:colOff>
      <xdr:row>61</xdr:row>
      <xdr:rowOff>0</xdr:rowOff>
    </xdr:from>
    <xdr:to>
      <xdr:col>22</xdr:col>
      <xdr:colOff>405765</xdr:colOff>
      <xdr:row>63</xdr:row>
      <xdr:rowOff>0</xdr:rowOff>
    </xdr:to>
    <xdr:sp macro="" textlink="'BCKSTG-ANALYSIS'!$B$25">
      <xdr:nvSpPr>
        <xdr:cNvPr id="19" name="CaixaDeTexto 18">
          <a:extLst>
            <a:ext uri="{FF2B5EF4-FFF2-40B4-BE49-F238E27FC236}">
              <a16:creationId xmlns:a16="http://schemas.microsoft.com/office/drawing/2014/main" id="{AA55C3C7-3BF5-E364-7B2D-F80C19A51242}"/>
            </a:ext>
          </a:extLst>
        </xdr:cNvPr>
        <xdr:cNvSpPr txBox="1"/>
      </xdr:nvSpPr>
      <xdr:spPr>
        <a:xfrm>
          <a:off x="10006965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19581E5-6CB7-4780-AEB8-19179C5F773D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SE-E4. DJ6-02 -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22</xdr:col>
      <xdr:colOff>525780</xdr:colOff>
      <xdr:row>61</xdr:row>
      <xdr:rowOff>0</xdr:rowOff>
    </xdr:from>
    <xdr:to>
      <xdr:col>25</xdr:col>
      <xdr:colOff>525780</xdr:colOff>
      <xdr:row>63</xdr:row>
      <xdr:rowOff>0</xdr:rowOff>
    </xdr:to>
    <xdr:sp macro="" textlink="'BCKSTG-ANALYSIS'!$B$26">
      <xdr:nvSpPr>
        <xdr:cNvPr id="20" name="CaixaDeTexto 19">
          <a:extLst>
            <a:ext uri="{FF2B5EF4-FFF2-40B4-BE49-F238E27FC236}">
              <a16:creationId xmlns:a16="http://schemas.microsoft.com/office/drawing/2014/main" id="{EE75E92A-4DFE-7E4E-0981-48F216F33F03}"/>
            </a:ext>
          </a:extLst>
        </xdr:cNvPr>
        <xdr:cNvSpPr txBox="1"/>
      </xdr:nvSpPr>
      <xdr:spPr>
        <a:xfrm>
          <a:off x="11955780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6B22DB7-CA0F-4E33-92A1-28AB4A189B40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SE-E4. DJ6-03 -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</xdr:col>
      <xdr:colOff>114300</xdr:colOff>
      <xdr:row>76</xdr:row>
      <xdr:rowOff>0</xdr:rowOff>
    </xdr:from>
    <xdr:to>
      <xdr:col>4</xdr:col>
      <xdr:colOff>114300</xdr:colOff>
      <xdr:row>78</xdr:row>
      <xdr:rowOff>0</xdr:rowOff>
    </xdr:to>
    <xdr:sp macro="" textlink="'BCKSTG-ANALYSIS'!$B$27">
      <xdr:nvSpPr>
        <xdr:cNvPr id="21" name="CaixaDeTexto 20">
          <a:extLst>
            <a:ext uri="{FF2B5EF4-FFF2-40B4-BE49-F238E27FC236}">
              <a16:creationId xmlns:a16="http://schemas.microsoft.com/office/drawing/2014/main" id="{6DB790CA-0D5D-6ED8-643C-C10CEF5FCEC7}"/>
            </a:ext>
          </a:extLst>
        </xdr:cNvPr>
        <xdr:cNvSpPr txBox="1"/>
      </xdr:nvSpPr>
      <xdr:spPr>
        <a:xfrm>
          <a:off x="228600" y="1167765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F4925C-7F6A-4F80-9960-4C5938A45768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SE-E5. DJ4-02 -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4</xdr:col>
      <xdr:colOff>228600</xdr:colOff>
      <xdr:row>76</xdr:row>
      <xdr:rowOff>0</xdr:rowOff>
    </xdr:from>
    <xdr:to>
      <xdr:col>8</xdr:col>
      <xdr:colOff>114300</xdr:colOff>
      <xdr:row>78</xdr:row>
      <xdr:rowOff>0</xdr:rowOff>
    </xdr:to>
    <xdr:sp macro="" textlink="'BCKSTG-ANALYSIS'!$B$28">
      <xdr:nvSpPr>
        <xdr:cNvPr id="22" name="CaixaDeTexto 21">
          <a:extLst>
            <a:ext uri="{FF2B5EF4-FFF2-40B4-BE49-F238E27FC236}">
              <a16:creationId xmlns:a16="http://schemas.microsoft.com/office/drawing/2014/main" id="{96CEBFE6-428B-1780-12B3-45D7AB1C7229}"/>
            </a:ext>
          </a:extLst>
        </xdr:cNvPr>
        <xdr:cNvSpPr txBox="1"/>
      </xdr:nvSpPr>
      <xdr:spPr>
        <a:xfrm>
          <a:off x="2171700" y="1167765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EB8DA8-A45D-438D-B35E-A8655B8784F5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SE-E6. DJ4-02 - VÃO AZ - RAMAL DO AGRESTE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8</xdr:col>
      <xdr:colOff>238125</xdr:colOff>
      <xdr:row>76</xdr:row>
      <xdr:rowOff>0</xdr:rowOff>
    </xdr:from>
    <xdr:to>
      <xdr:col>11</xdr:col>
      <xdr:colOff>238125</xdr:colOff>
      <xdr:row>78</xdr:row>
      <xdr:rowOff>0</xdr:rowOff>
    </xdr:to>
    <xdr:sp macro="" textlink="'BCKSTG-ANALYSIS'!$B$29">
      <xdr:nvSpPr>
        <xdr:cNvPr id="23" name="CaixaDeTexto 22">
          <a:extLst>
            <a:ext uri="{FF2B5EF4-FFF2-40B4-BE49-F238E27FC236}">
              <a16:creationId xmlns:a16="http://schemas.microsoft.com/office/drawing/2014/main" id="{DAD42B76-0457-D466-25AD-1F5F6684C77C}"/>
            </a:ext>
          </a:extLst>
        </xdr:cNvPr>
        <xdr:cNvSpPr txBox="1"/>
      </xdr:nvSpPr>
      <xdr:spPr>
        <a:xfrm>
          <a:off x="4124325" y="1303972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76CC93B-D2B2-4BB3-8D4B-19D0BFD6D3E0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SE-E6. DJ4-06 - VÃO CZ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11</xdr:col>
      <xdr:colOff>358140</xdr:colOff>
      <xdr:row>76</xdr:row>
      <xdr:rowOff>0</xdr:rowOff>
    </xdr:from>
    <xdr:to>
      <xdr:col>14</xdr:col>
      <xdr:colOff>358140</xdr:colOff>
      <xdr:row>78</xdr:row>
      <xdr:rowOff>0</xdr:rowOff>
    </xdr:to>
    <xdr:sp macro="" textlink="'BCKSTG-ANALYSIS'!$B$30">
      <xdr:nvSpPr>
        <xdr:cNvPr id="24" name="CaixaDeTexto 23">
          <a:extLst>
            <a:ext uri="{FF2B5EF4-FFF2-40B4-BE49-F238E27FC236}">
              <a16:creationId xmlns:a16="http://schemas.microsoft.com/office/drawing/2014/main" id="{7789BD5E-BEE3-6F28-F792-548040A51928}"/>
            </a:ext>
          </a:extLst>
        </xdr:cNvPr>
        <xdr:cNvSpPr txBox="1"/>
      </xdr:nvSpPr>
      <xdr:spPr>
        <a:xfrm>
          <a:off x="6073140" y="1167765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9AE9306-AEC7-4379-811B-9C5663771431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SE-E6. DJ6-01 - VÃO AX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14</xdr:col>
      <xdr:colOff>485775</xdr:colOff>
      <xdr:row>76</xdr:row>
      <xdr:rowOff>0</xdr:rowOff>
    </xdr:from>
    <xdr:to>
      <xdr:col>18</xdr:col>
      <xdr:colOff>371475</xdr:colOff>
      <xdr:row>78</xdr:row>
      <xdr:rowOff>0</xdr:rowOff>
    </xdr:to>
    <xdr:sp macro="" textlink="'BCKSTG-ANALYSIS'!$B$31">
      <xdr:nvSpPr>
        <xdr:cNvPr id="25" name="CaixaDeTexto 24">
          <a:extLst>
            <a:ext uri="{FF2B5EF4-FFF2-40B4-BE49-F238E27FC236}">
              <a16:creationId xmlns:a16="http://schemas.microsoft.com/office/drawing/2014/main" id="{19808936-CCD4-741F-38EB-41DE5BE1D3A4}"/>
            </a:ext>
          </a:extLst>
        </xdr:cNvPr>
        <xdr:cNvSpPr txBox="1"/>
      </xdr:nvSpPr>
      <xdr:spPr>
        <a:xfrm>
          <a:off x="8029575" y="1303972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20DAFF-1843-450C-A85D-1612519E5CF5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PONTO DE CONEXÃO 04P2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18</xdr:col>
      <xdr:colOff>516255</xdr:colOff>
      <xdr:row>76</xdr:row>
      <xdr:rowOff>0</xdr:rowOff>
    </xdr:from>
    <xdr:to>
      <xdr:col>25</xdr:col>
      <xdr:colOff>513555</xdr:colOff>
      <xdr:row>78</xdr:row>
      <xdr:rowOff>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375666B1-DFE1-8AAD-7874-BC702FB657A6}"/>
            </a:ext>
          </a:extLst>
        </xdr:cNvPr>
        <xdr:cNvSpPr txBox="1"/>
      </xdr:nvSpPr>
      <xdr:spPr>
        <a:xfrm>
          <a:off x="10003155" y="13039725"/>
          <a:ext cx="37692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RESUMO</a:t>
          </a:r>
          <a:r>
            <a:rPr lang="en-US" sz="1000" b="1" i="0" u="none" strike="noStrike" baseline="0">
              <a:solidFill>
                <a:srgbClr val="323232"/>
              </a:solidFill>
              <a:latin typeface="Aptos Narrow"/>
            </a:rPr>
            <a:t> GERAL</a:t>
          </a:r>
          <a:endParaRPr lang="en-US" sz="1000" b="1" i="0" u="none" strike="noStrike">
            <a:solidFill>
              <a:srgbClr val="323232"/>
            </a:solidFill>
            <a:latin typeface="Aptos Narrow"/>
          </a:endParaRPr>
        </a:p>
      </xdr:txBody>
    </xdr:sp>
    <xdr:clientData/>
  </xdr:twoCellAnchor>
  <xdr:twoCellAnchor>
    <xdr:from>
      <xdr:col>2</xdr:col>
      <xdr:colOff>229914</xdr:colOff>
      <xdr:row>63</xdr:row>
      <xdr:rowOff>171449</xdr:rowOff>
    </xdr:from>
    <xdr:to>
      <xdr:col>4</xdr:col>
      <xdr:colOff>114300</xdr:colOff>
      <xdr:row>65</xdr:row>
      <xdr:rowOff>183930</xdr:rowOff>
    </xdr:to>
    <xdr:sp macro="" textlink="'BCKSTG-ANALYSIS'!$I$20">
      <xdr:nvSpPr>
        <xdr:cNvPr id="28" name="CaixaDeTexto 27">
          <a:extLst>
            <a:ext uri="{FF2B5EF4-FFF2-40B4-BE49-F238E27FC236}">
              <a16:creationId xmlns:a16="http://schemas.microsoft.com/office/drawing/2014/main" id="{3194D9FF-E7FE-C569-7755-C8C41A4293B8}"/>
            </a:ext>
          </a:extLst>
        </xdr:cNvPr>
        <xdr:cNvSpPr txBox="1"/>
      </xdr:nvSpPr>
      <xdr:spPr>
        <a:xfrm>
          <a:off x="952500" y="10681794"/>
          <a:ext cx="1106214" cy="3803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5D1EEC9-93C3-4893-8061-78374F2F0C21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26467,41h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63</xdr:row>
      <xdr:rowOff>171449</xdr:rowOff>
    </xdr:from>
    <xdr:to>
      <xdr:col>2</xdr:col>
      <xdr:colOff>56362</xdr:colOff>
      <xdr:row>65</xdr:row>
      <xdr:rowOff>183930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1E8DAE7D-1F78-277A-F2BB-A34B444FFFAF}"/>
            </a:ext>
          </a:extLst>
        </xdr:cNvPr>
        <xdr:cNvSpPr txBox="1"/>
      </xdr:nvSpPr>
      <xdr:spPr>
        <a:xfrm>
          <a:off x="227286" y="10681794"/>
          <a:ext cx="551662" cy="380343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MTBF</a:t>
          </a:r>
        </a:p>
      </xdr:txBody>
    </xdr:sp>
    <xdr:clientData/>
  </xdr:twoCellAnchor>
  <xdr:twoCellAnchor>
    <xdr:from>
      <xdr:col>2</xdr:col>
      <xdr:colOff>229914</xdr:colOff>
      <xdr:row>66</xdr:row>
      <xdr:rowOff>171449</xdr:rowOff>
    </xdr:from>
    <xdr:to>
      <xdr:col>4</xdr:col>
      <xdr:colOff>114300</xdr:colOff>
      <xdr:row>69</xdr:row>
      <xdr:rowOff>1050</xdr:rowOff>
    </xdr:to>
    <xdr:sp macro="" textlink="'BCKSTG-ANALYSIS'!$I$21">
      <xdr:nvSpPr>
        <xdr:cNvPr id="30" name="CaixaDeTexto 29">
          <a:extLst>
            <a:ext uri="{FF2B5EF4-FFF2-40B4-BE49-F238E27FC236}">
              <a16:creationId xmlns:a16="http://schemas.microsoft.com/office/drawing/2014/main" id="{A8F9C912-ED06-7851-C485-CDAF89EE9A89}"/>
            </a:ext>
          </a:extLst>
        </xdr:cNvPr>
        <xdr:cNvSpPr txBox="1"/>
      </xdr:nvSpPr>
      <xdr:spPr>
        <a:xfrm>
          <a:off x="953814" y="11125199"/>
          <a:ext cx="1103586" cy="372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3D973E-33D1-4BAC-88CF-7C9825F1084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4,59h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66</xdr:row>
      <xdr:rowOff>171449</xdr:rowOff>
    </xdr:from>
    <xdr:to>
      <xdr:col>2</xdr:col>
      <xdr:colOff>60172</xdr:colOff>
      <xdr:row>69</xdr:row>
      <xdr:rowOff>1050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965D5B8B-B28D-21E2-850C-0AD5F58A96A7}"/>
            </a:ext>
          </a:extLst>
        </xdr:cNvPr>
        <xdr:cNvSpPr txBox="1"/>
      </xdr:nvSpPr>
      <xdr:spPr>
        <a:xfrm>
          <a:off x="229914" y="11125199"/>
          <a:ext cx="554158" cy="37252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MTTR</a:t>
          </a:r>
        </a:p>
      </xdr:txBody>
    </xdr:sp>
    <xdr:clientData/>
  </xdr:twoCellAnchor>
  <xdr:twoCellAnchor>
    <xdr:from>
      <xdr:col>2</xdr:col>
      <xdr:colOff>229914</xdr:colOff>
      <xdr:row>69</xdr:row>
      <xdr:rowOff>171449</xdr:rowOff>
    </xdr:from>
    <xdr:to>
      <xdr:col>4</xdr:col>
      <xdr:colOff>114300</xdr:colOff>
      <xdr:row>72</xdr:row>
      <xdr:rowOff>0</xdr:rowOff>
    </xdr:to>
    <xdr:sp macro="" textlink="'BCKSTG-ANALYSIS'!$I$22">
      <xdr:nvSpPr>
        <xdr:cNvPr id="32" name="CaixaDeTexto 31">
          <a:extLst>
            <a:ext uri="{FF2B5EF4-FFF2-40B4-BE49-F238E27FC236}">
              <a16:creationId xmlns:a16="http://schemas.microsoft.com/office/drawing/2014/main" id="{AE1A5064-6F96-4C0A-B864-60FC6834A033}"/>
            </a:ext>
          </a:extLst>
        </xdr:cNvPr>
        <xdr:cNvSpPr txBox="1"/>
      </xdr:nvSpPr>
      <xdr:spPr>
        <a:xfrm>
          <a:off x="953814" y="11129009"/>
          <a:ext cx="1103586" cy="3687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33B68C-5F59-4C07-A0CB-93993E7FCFC5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99,98%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69</xdr:row>
      <xdr:rowOff>171449</xdr:rowOff>
    </xdr:from>
    <xdr:to>
      <xdr:col>2</xdr:col>
      <xdr:colOff>60172</xdr:colOff>
      <xdr:row>72</xdr:row>
      <xdr:rowOff>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225C8F38-9848-4685-B6CC-31D6304FB03C}"/>
            </a:ext>
          </a:extLst>
        </xdr:cNvPr>
        <xdr:cNvSpPr txBox="1"/>
      </xdr:nvSpPr>
      <xdr:spPr>
        <a:xfrm>
          <a:off x="229914" y="11129009"/>
          <a:ext cx="550348" cy="36871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DISP</a:t>
          </a:r>
        </a:p>
      </xdr:txBody>
    </xdr:sp>
    <xdr:clientData/>
  </xdr:twoCellAnchor>
  <xdr:twoCellAnchor>
    <xdr:from>
      <xdr:col>2</xdr:col>
      <xdr:colOff>229914</xdr:colOff>
      <xdr:row>72</xdr:row>
      <xdr:rowOff>171449</xdr:rowOff>
    </xdr:from>
    <xdr:to>
      <xdr:col>4</xdr:col>
      <xdr:colOff>114300</xdr:colOff>
      <xdr:row>75</xdr:row>
      <xdr:rowOff>0</xdr:rowOff>
    </xdr:to>
    <xdr:sp macro="" textlink="'BCKSTG-ANALYSIS'!$I$23">
      <xdr:nvSpPr>
        <xdr:cNvPr id="34" name="CaixaDeTexto 33">
          <a:extLst>
            <a:ext uri="{FF2B5EF4-FFF2-40B4-BE49-F238E27FC236}">
              <a16:creationId xmlns:a16="http://schemas.microsoft.com/office/drawing/2014/main" id="{28F2FA8F-B667-4F07-98A8-8E17A1FE17CD}"/>
            </a:ext>
          </a:extLst>
        </xdr:cNvPr>
        <xdr:cNvSpPr txBox="1"/>
      </xdr:nvSpPr>
      <xdr:spPr>
        <a:xfrm>
          <a:off x="953814" y="11671934"/>
          <a:ext cx="1103586" cy="367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4D5024-BEE6-4D2F-8DBE-C7DE5F30C6CF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72</xdr:row>
      <xdr:rowOff>171449</xdr:rowOff>
    </xdr:from>
    <xdr:to>
      <xdr:col>2</xdr:col>
      <xdr:colOff>60172</xdr:colOff>
      <xdr:row>75</xdr:row>
      <xdr:rowOff>0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38E71422-28CF-4EF7-BB61-32D120C7F14A}"/>
            </a:ext>
          </a:extLst>
        </xdr:cNvPr>
        <xdr:cNvSpPr txBox="1"/>
      </xdr:nvSpPr>
      <xdr:spPr>
        <a:xfrm>
          <a:off x="229914" y="11671934"/>
          <a:ext cx="550348" cy="3676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CONF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6</xdr:col>
      <xdr:colOff>0</xdr:colOff>
      <xdr:row>57</xdr:row>
      <xdr:rowOff>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7A751886-F108-AD50-C99A-E996A6B7B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6</xdr:col>
      <xdr:colOff>0</xdr:colOff>
      <xdr:row>24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7" name="Gráfico 36">
              <a:extLst>
                <a:ext uri="{FF2B5EF4-FFF2-40B4-BE49-F238E27FC236}">
                  <a16:creationId xmlns:a16="http://schemas.microsoft.com/office/drawing/2014/main" id="{D151D52D-8B03-4DB2-913A-0C9DC037A9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3600450"/>
              <a:ext cx="2952750" cy="57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44</xdr:row>
      <xdr:rowOff>1</xdr:rowOff>
    </xdr:from>
    <xdr:to>
      <xdr:col>6</xdr:col>
      <xdr:colOff>0</xdr:colOff>
      <xdr:row>57</xdr:row>
      <xdr:rowOff>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779DA49-951D-4E48-BC14-C4ECEA742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218484</xdr:colOff>
      <xdr:row>78</xdr:row>
      <xdr:rowOff>169544</xdr:rowOff>
    </xdr:from>
    <xdr:to>
      <xdr:col>4</xdr:col>
      <xdr:colOff>102870</xdr:colOff>
      <xdr:row>81</xdr:row>
      <xdr:rowOff>2955</xdr:rowOff>
    </xdr:to>
    <xdr:sp macro="" textlink="'BCKSTG-ANALYSIS'!$K$42">
      <xdr:nvSpPr>
        <xdr:cNvPr id="17" name="CaixaDeTexto 16">
          <a:extLst>
            <a:ext uri="{FF2B5EF4-FFF2-40B4-BE49-F238E27FC236}">
              <a16:creationId xmlns:a16="http://schemas.microsoft.com/office/drawing/2014/main" id="{75BFEC79-88F3-8EBA-3901-06AE302EEA57}"/>
            </a:ext>
          </a:extLst>
        </xdr:cNvPr>
        <xdr:cNvSpPr txBox="1"/>
      </xdr:nvSpPr>
      <xdr:spPr>
        <a:xfrm>
          <a:off x="942384" y="13571219"/>
          <a:ext cx="1103586" cy="3763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48B2A7-4CDE-4208-844D-B9BFD0F5DBF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12687,84h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78</xdr:row>
      <xdr:rowOff>169544</xdr:rowOff>
    </xdr:from>
    <xdr:to>
      <xdr:col>2</xdr:col>
      <xdr:colOff>54909</xdr:colOff>
      <xdr:row>81</xdr:row>
      <xdr:rowOff>2955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5D503C93-28E9-96A8-D929-55DA63745887}"/>
            </a:ext>
          </a:extLst>
        </xdr:cNvPr>
        <xdr:cNvSpPr txBox="1"/>
      </xdr:nvSpPr>
      <xdr:spPr>
        <a:xfrm>
          <a:off x="228009" y="13571219"/>
          <a:ext cx="550800" cy="37633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MTBF</a:t>
          </a:r>
        </a:p>
      </xdr:txBody>
    </xdr:sp>
    <xdr:clientData/>
  </xdr:twoCellAnchor>
  <xdr:twoCellAnchor>
    <xdr:from>
      <xdr:col>2</xdr:col>
      <xdr:colOff>218484</xdr:colOff>
      <xdr:row>81</xdr:row>
      <xdr:rowOff>169544</xdr:rowOff>
    </xdr:from>
    <xdr:to>
      <xdr:col>4</xdr:col>
      <xdr:colOff>102870</xdr:colOff>
      <xdr:row>84</xdr:row>
      <xdr:rowOff>2955</xdr:rowOff>
    </xdr:to>
    <xdr:sp macro="" textlink="'BCKSTG-ANALYSIS'!$K$43">
      <xdr:nvSpPr>
        <xdr:cNvPr id="39" name="CaixaDeTexto 38">
          <a:extLst>
            <a:ext uri="{FF2B5EF4-FFF2-40B4-BE49-F238E27FC236}">
              <a16:creationId xmlns:a16="http://schemas.microsoft.com/office/drawing/2014/main" id="{BFF4AAAC-CCE8-8BB3-0988-21B25CC7471D}"/>
            </a:ext>
          </a:extLst>
        </xdr:cNvPr>
        <xdr:cNvSpPr txBox="1"/>
      </xdr:nvSpPr>
      <xdr:spPr>
        <a:xfrm>
          <a:off x="942384" y="14114144"/>
          <a:ext cx="1103586" cy="3763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893214-805F-4388-951C-981E6A71356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8,16h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81</xdr:row>
      <xdr:rowOff>173354</xdr:rowOff>
    </xdr:from>
    <xdr:to>
      <xdr:col>2</xdr:col>
      <xdr:colOff>50647</xdr:colOff>
      <xdr:row>84</xdr:row>
      <xdr:rowOff>2955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46366137-095A-504A-2138-303BDD10155A}"/>
            </a:ext>
          </a:extLst>
        </xdr:cNvPr>
        <xdr:cNvSpPr txBox="1"/>
      </xdr:nvSpPr>
      <xdr:spPr>
        <a:xfrm>
          <a:off x="228009" y="14117954"/>
          <a:ext cx="546538" cy="37252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MTTR</a:t>
          </a:r>
        </a:p>
      </xdr:txBody>
    </xdr:sp>
    <xdr:clientData/>
  </xdr:twoCellAnchor>
  <xdr:twoCellAnchor>
    <xdr:from>
      <xdr:col>2</xdr:col>
      <xdr:colOff>218484</xdr:colOff>
      <xdr:row>84</xdr:row>
      <xdr:rowOff>169544</xdr:rowOff>
    </xdr:from>
    <xdr:to>
      <xdr:col>4</xdr:col>
      <xdr:colOff>102870</xdr:colOff>
      <xdr:row>87</xdr:row>
      <xdr:rowOff>1905</xdr:rowOff>
    </xdr:to>
    <xdr:sp macro="" textlink="'BCKSTG-ANALYSIS'!$K$44">
      <xdr:nvSpPr>
        <xdr:cNvPr id="41" name="CaixaDeTexto 40">
          <a:extLst>
            <a:ext uri="{FF2B5EF4-FFF2-40B4-BE49-F238E27FC236}">
              <a16:creationId xmlns:a16="http://schemas.microsoft.com/office/drawing/2014/main" id="{87CA5F40-DDC7-7952-4CE6-E026745BE55C}"/>
            </a:ext>
          </a:extLst>
        </xdr:cNvPr>
        <xdr:cNvSpPr txBox="1"/>
      </xdr:nvSpPr>
      <xdr:spPr>
        <a:xfrm>
          <a:off x="942384" y="14657069"/>
          <a:ext cx="1103586" cy="375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CB4BB0E-9145-4040-A0BB-9C4CBAC92932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99,94%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84</xdr:row>
      <xdr:rowOff>173354</xdr:rowOff>
    </xdr:from>
    <xdr:to>
      <xdr:col>2</xdr:col>
      <xdr:colOff>50647</xdr:colOff>
      <xdr:row>87</xdr:row>
      <xdr:rowOff>1905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1C31A27D-CBA7-3286-20B1-D78F15C679E4}"/>
            </a:ext>
          </a:extLst>
        </xdr:cNvPr>
        <xdr:cNvSpPr txBox="1"/>
      </xdr:nvSpPr>
      <xdr:spPr>
        <a:xfrm>
          <a:off x="228009" y="14660879"/>
          <a:ext cx="546538" cy="37147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DISP</a:t>
          </a:r>
        </a:p>
      </xdr:txBody>
    </xdr:sp>
    <xdr:clientData/>
  </xdr:twoCellAnchor>
  <xdr:twoCellAnchor>
    <xdr:from>
      <xdr:col>2</xdr:col>
      <xdr:colOff>218484</xdr:colOff>
      <xdr:row>87</xdr:row>
      <xdr:rowOff>169544</xdr:rowOff>
    </xdr:from>
    <xdr:to>
      <xdr:col>4</xdr:col>
      <xdr:colOff>102870</xdr:colOff>
      <xdr:row>90</xdr:row>
      <xdr:rowOff>1905</xdr:rowOff>
    </xdr:to>
    <xdr:sp macro="" textlink="'BCKSTG-ANALYSIS'!$K$45">
      <xdr:nvSpPr>
        <xdr:cNvPr id="43" name="CaixaDeTexto 42">
          <a:extLst>
            <a:ext uri="{FF2B5EF4-FFF2-40B4-BE49-F238E27FC236}">
              <a16:creationId xmlns:a16="http://schemas.microsoft.com/office/drawing/2014/main" id="{B1F387AE-59A5-C49B-4D0A-8DCB329EE328}"/>
            </a:ext>
          </a:extLst>
        </xdr:cNvPr>
        <xdr:cNvSpPr txBox="1"/>
      </xdr:nvSpPr>
      <xdr:spPr>
        <a:xfrm>
          <a:off x="942384" y="15199994"/>
          <a:ext cx="1103586" cy="375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13169FD-9BEA-4D36-9676-68F71809A11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87</xdr:row>
      <xdr:rowOff>173354</xdr:rowOff>
    </xdr:from>
    <xdr:to>
      <xdr:col>2</xdr:col>
      <xdr:colOff>50647</xdr:colOff>
      <xdr:row>90</xdr:row>
      <xdr:rowOff>1905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586C24A6-F49B-0F1A-26B7-4A591E755155}"/>
            </a:ext>
          </a:extLst>
        </xdr:cNvPr>
        <xdr:cNvSpPr txBox="1"/>
      </xdr:nvSpPr>
      <xdr:spPr>
        <a:xfrm>
          <a:off x="228009" y="15203804"/>
          <a:ext cx="546538" cy="37147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CONF</a:t>
          </a:r>
        </a:p>
      </xdr:txBody>
    </xdr:sp>
    <xdr:clientData/>
  </xdr:twoCellAnchor>
  <xdr:twoCellAnchor>
    <xdr:from>
      <xdr:col>18</xdr:col>
      <xdr:colOff>517570</xdr:colOff>
      <xdr:row>78</xdr:row>
      <xdr:rowOff>171449</xdr:rowOff>
    </xdr:from>
    <xdr:to>
      <xdr:col>19</xdr:col>
      <xdr:colOff>550546</xdr:colOff>
      <xdr:row>81</xdr:row>
      <xdr:rowOff>16290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EC0F2C3D-C56E-6253-EA5C-043CA05585C6}"/>
            </a:ext>
          </a:extLst>
        </xdr:cNvPr>
        <xdr:cNvSpPr txBox="1"/>
      </xdr:nvSpPr>
      <xdr:spPr>
        <a:xfrm>
          <a:off x="10004470" y="13573124"/>
          <a:ext cx="642576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/</a:t>
          </a:r>
        </a:p>
      </xdr:txBody>
    </xdr:sp>
    <xdr:clientData/>
  </xdr:twoCellAnchor>
  <xdr:twoCellAnchor>
    <xdr:from>
      <xdr:col>20</xdr:col>
      <xdr:colOff>60369</xdr:colOff>
      <xdr:row>78</xdr:row>
      <xdr:rowOff>175259</xdr:rowOff>
    </xdr:from>
    <xdr:to>
      <xdr:col>22</xdr:col>
      <xdr:colOff>0</xdr:colOff>
      <xdr:row>81</xdr:row>
      <xdr:rowOff>20100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B510261E-18EC-D5B0-ED13-640488AB2D0E}"/>
            </a:ext>
          </a:extLst>
        </xdr:cNvPr>
        <xdr:cNvSpPr txBox="1"/>
      </xdr:nvSpPr>
      <xdr:spPr>
        <a:xfrm>
          <a:off x="10766469" y="13576934"/>
          <a:ext cx="663531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MTBF</a:t>
          </a:r>
        </a:p>
      </xdr:txBody>
    </xdr:sp>
    <xdr:clientData/>
  </xdr:twoCellAnchor>
  <xdr:twoCellAnchor>
    <xdr:from>
      <xdr:col>18</xdr:col>
      <xdr:colOff>523284</xdr:colOff>
      <xdr:row>81</xdr:row>
      <xdr:rowOff>171449</xdr:rowOff>
    </xdr:from>
    <xdr:to>
      <xdr:col>19</xdr:col>
      <xdr:colOff>551014</xdr:colOff>
      <xdr:row>84</xdr:row>
      <xdr:rowOff>16290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37529535-86BF-4EDA-AF17-0C274F6CBA02}"/>
            </a:ext>
          </a:extLst>
        </xdr:cNvPr>
        <xdr:cNvSpPr txBox="1"/>
      </xdr:nvSpPr>
      <xdr:spPr>
        <a:xfrm>
          <a:off x="10010184" y="14116049"/>
          <a:ext cx="637330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MÁXIMA</a:t>
          </a:r>
        </a:p>
      </xdr:txBody>
    </xdr:sp>
    <xdr:clientData/>
  </xdr:twoCellAnchor>
  <xdr:twoCellAnchor>
    <xdr:from>
      <xdr:col>22</xdr:col>
      <xdr:colOff>136568</xdr:colOff>
      <xdr:row>78</xdr:row>
      <xdr:rowOff>175259</xdr:rowOff>
    </xdr:from>
    <xdr:to>
      <xdr:col>23</xdr:col>
      <xdr:colOff>175165</xdr:colOff>
      <xdr:row>81</xdr:row>
      <xdr:rowOff>20100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8E10324E-BFE1-8B07-A9C2-8C8669967BBE}"/>
            </a:ext>
          </a:extLst>
        </xdr:cNvPr>
        <xdr:cNvSpPr txBox="1"/>
      </xdr:nvSpPr>
      <xdr:spPr>
        <a:xfrm>
          <a:off x="11566568" y="13576934"/>
          <a:ext cx="648197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MTTR</a:t>
          </a:r>
        </a:p>
      </xdr:txBody>
    </xdr:sp>
    <xdr:clientData/>
  </xdr:twoCellAnchor>
  <xdr:twoCellAnchor>
    <xdr:from>
      <xdr:col>18</xdr:col>
      <xdr:colOff>523284</xdr:colOff>
      <xdr:row>84</xdr:row>
      <xdr:rowOff>171449</xdr:rowOff>
    </xdr:from>
    <xdr:to>
      <xdr:col>19</xdr:col>
      <xdr:colOff>551014</xdr:colOff>
      <xdr:row>87</xdr:row>
      <xdr:rowOff>15240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0EB28D5A-8B4F-58EC-54C1-5A85E85D065B}"/>
            </a:ext>
          </a:extLst>
        </xdr:cNvPr>
        <xdr:cNvSpPr txBox="1"/>
      </xdr:nvSpPr>
      <xdr:spPr>
        <a:xfrm>
          <a:off x="10010184" y="14658974"/>
          <a:ext cx="637330" cy="38671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MÍNIMA</a:t>
          </a:r>
        </a:p>
      </xdr:txBody>
    </xdr:sp>
    <xdr:clientData/>
  </xdr:twoCellAnchor>
  <xdr:twoCellAnchor>
    <xdr:from>
      <xdr:col>18</xdr:col>
      <xdr:colOff>523284</xdr:colOff>
      <xdr:row>87</xdr:row>
      <xdr:rowOff>171449</xdr:rowOff>
    </xdr:from>
    <xdr:to>
      <xdr:col>19</xdr:col>
      <xdr:colOff>551014</xdr:colOff>
      <xdr:row>90</xdr:row>
      <xdr:rowOff>15240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B878B243-35C2-AA35-FA05-62FE94046CF3}"/>
            </a:ext>
          </a:extLst>
        </xdr:cNvPr>
        <xdr:cNvSpPr txBox="1"/>
      </xdr:nvSpPr>
      <xdr:spPr>
        <a:xfrm>
          <a:off x="10010184" y="15201899"/>
          <a:ext cx="637330" cy="38671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MÉDIA</a:t>
          </a:r>
        </a:p>
      </xdr:txBody>
    </xdr:sp>
    <xdr:clientData/>
  </xdr:twoCellAnchor>
  <xdr:twoCellAnchor>
    <xdr:from>
      <xdr:col>23</xdr:col>
      <xdr:colOff>323259</xdr:colOff>
      <xdr:row>78</xdr:row>
      <xdr:rowOff>173354</xdr:rowOff>
    </xdr:from>
    <xdr:to>
      <xdr:col>24</xdr:col>
      <xdr:colOff>353094</xdr:colOff>
      <xdr:row>81</xdr:row>
      <xdr:rowOff>16290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B9A686B7-9848-3440-6D7D-BA4DEB82ECCB}"/>
            </a:ext>
          </a:extLst>
        </xdr:cNvPr>
        <xdr:cNvSpPr txBox="1"/>
      </xdr:nvSpPr>
      <xdr:spPr>
        <a:xfrm>
          <a:off x="12362859" y="13575029"/>
          <a:ext cx="639435" cy="385861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DISP</a:t>
          </a:r>
        </a:p>
      </xdr:txBody>
    </xdr:sp>
    <xdr:clientData/>
  </xdr:twoCellAnchor>
  <xdr:twoCellAnchor>
    <xdr:from>
      <xdr:col>24</xdr:col>
      <xdr:colOff>485184</xdr:colOff>
      <xdr:row>78</xdr:row>
      <xdr:rowOff>175259</xdr:rowOff>
    </xdr:from>
    <xdr:to>
      <xdr:col>25</xdr:col>
      <xdr:colOff>523692</xdr:colOff>
      <xdr:row>81</xdr:row>
      <xdr:rowOff>16290</xdr:rowOff>
    </xdr:to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80088D39-2B7A-6AE0-1A04-042537BC0269}"/>
            </a:ext>
          </a:extLst>
        </xdr:cNvPr>
        <xdr:cNvSpPr txBox="1"/>
      </xdr:nvSpPr>
      <xdr:spPr>
        <a:xfrm>
          <a:off x="13134384" y="13576934"/>
          <a:ext cx="648108" cy="38395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CONF</a:t>
          </a:r>
        </a:p>
      </xdr:txBody>
    </xdr:sp>
    <xdr:clientData/>
  </xdr:twoCellAnchor>
  <xdr:twoCellAnchor>
    <xdr:from>
      <xdr:col>20</xdr:col>
      <xdr:colOff>60369</xdr:colOff>
      <xdr:row>81</xdr:row>
      <xdr:rowOff>175259</xdr:rowOff>
    </xdr:from>
    <xdr:to>
      <xdr:col>22</xdr:col>
      <xdr:colOff>0</xdr:colOff>
      <xdr:row>84</xdr:row>
      <xdr:rowOff>20100</xdr:rowOff>
    </xdr:to>
    <xdr:sp macro="" textlink="'BCKSTG-ANALYSIS'!$P$21">
      <xdr:nvSpPr>
        <xdr:cNvPr id="59" name="CaixaDeTexto 58">
          <a:extLst>
            <a:ext uri="{FF2B5EF4-FFF2-40B4-BE49-F238E27FC236}">
              <a16:creationId xmlns:a16="http://schemas.microsoft.com/office/drawing/2014/main" id="{B3B8F8A0-10C9-6F16-5B1B-ACDEF75976DB}"/>
            </a:ext>
          </a:extLst>
        </xdr:cNvPr>
        <xdr:cNvSpPr txBox="1"/>
      </xdr:nvSpPr>
      <xdr:spPr>
        <a:xfrm>
          <a:off x="10766469" y="14119859"/>
          <a:ext cx="663531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F1C34D-75BC-43D0-8917-3FFE7106D413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26467,41h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136568</xdr:colOff>
      <xdr:row>81</xdr:row>
      <xdr:rowOff>175259</xdr:rowOff>
    </xdr:from>
    <xdr:to>
      <xdr:col>23</xdr:col>
      <xdr:colOff>175165</xdr:colOff>
      <xdr:row>84</xdr:row>
      <xdr:rowOff>20100</xdr:rowOff>
    </xdr:to>
    <xdr:sp macro="" textlink="'BCKSTG-ANALYSIS'!$Q$21">
      <xdr:nvSpPr>
        <xdr:cNvPr id="60" name="CaixaDeTexto 59">
          <a:extLst>
            <a:ext uri="{FF2B5EF4-FFF2-40B4-BE49-F238E27FC236}">
              <a16:creationId xmlns:a16="http://schemas.microsoft.com/office/drawing/2014/main" id="{A2D69C0E-E3E9-1C87-4829-4782F1CBFA50}"/>
            </a:ext>
          </a:extLst>
        </xdr:cNvPr>
        <xdr:cNvSpPr txBox="1"/>
      </xdr:nvSpPr>
      <xdr:spPr>
        <a:xfrm>
          <a:off x="11566568" y="14119859"/>
          <a:ext cx="648197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6ECC6D-DBA3-4F06-AAE7-268345198D90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8,16h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323259</xdr:colOff>
      <xdr:row>81</xdr:row>
      <xdr:rowOff>173354</xdr:rowOff>
    </xdr:from>
    <xdr:to>
      <xdr:col>24</xdr:col>
      <xdr:colOff>353094</xdr:colOff>
      <xdr:row>84</xdr:row>
      <xdr:rowOff>16290</xdr:rowOff>
    </xdr:to>
    <xdr:sp macro="" textlink="'BCKSTG-ANALYSIS'!$R$21">
      <xdr:nvSpPr>
        <xdr:cNvPr id="61" name="CaixaDeTexto 60">
          <a:extLst>
            <a:ext uri="{FF2B5EF4-FFF2-40B4-BE49-F238E27FC236}">
              <a16:creationId xmlns:a16="http://schemas.microsoft.com/office/drawing/2014/main" id="{09C7B432-197D-3EF7-82BE-69BA2359FADE}"/>
            </a:ext>
          </a:extLst>
        </xdr:cNvPr>
        <xdr:cNvSpPr txBox="1"/>
      </xdr:nvSpPr>
      <xdr:spPr>
        <a:xfrm>
          <a:off x="12362859" y="14117954"/>
          <a:ext cx="639435" cy="385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1F2A4A3-2A8A-4884-9E51-1468C639B05A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99,99%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24</xdr:col>
      <xdr:colOff>492803</xdr:colOff>
      <xdr:row>81</xdr:row>
      <xdr:rowOff>171449</xdr:rowOff>
    </xdr:from>
    <xdr:to>
      <xdr:col>25</xdr:col>
      <xdr:colOff>529876</xdr:colOff>
      <xdr:row>84</xdr:row>
      <xdr:rowOff>20100</xdr:rowOff>
    </xdr:to>
    <xdr:sp macro="" textlink="'BCKSTG-ANALYSIS'!$S$21">
      <xdr:nvSpPr>
        <xdr:cNvPr id="62" name="CaixaDeTexto 61">
          <a:extLst>
            <a:ext uri="{FF2B5EF4-FFF2-40B4-BE49-F238E27FC236}">
              <a16:creationId xmlns:a16="http://schemas.microsoft.com/office/drawing/2014/main" id="{14A248EF-A73B-80FB-B1BB-48E1984B8A55}"/>
            </a:ext>
          </a:extLst>
        </xdr:cNvPr>
        <xdr:cNvSpPr txBox="1"/>
      </xdr:nvSpPr>
      <xdr:spPr>
        <a:xfrm>
          <a:off x="13142003" y="14116049"/>
          <a:ext cx="646673" cy="391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F992848-21CC-40F6-9A92-A737634C6259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99,37%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60369</xdr:colOff>
      <xdr:row>84</xdr:row>
      <xdr:rowOff>175259</xdr:rowOff>
    </xdr:from>
    <xdr:to>
      <xdr:col>22</xdr:col>
      <xdr:colOff>0</xdr:colOff>
      <xdr:row>87</xdr:row>
      <xdr:rowOff>20100</xdr:rowOff>
    </xdr:to>
    <xdr:sp macro="" textlink="'BCKSTG-ANALYSIS'!$P$22">
      <xdr:nvSpPr>
        <xdr:cNvPr id="63" name="CaixaDeTexto 62">
          <a:extLst>
            <a:ext uri="{FF2B5EF4-FFF2-40B4-BE49-F238E27FC236}">
              <a16:creationId xmlns:a16="http://schemas.microsoft.com/office/drawing/2014/main" id="{D2FFF918-54AD-1826-A753-8D3AC1290CBA}"/>
            </a:ext>
          </a:extLst>
        </xdr:cNvPr>
        <xdr:cNvSpPr txBox="1"/>
      </xdr:nvSpPr>
      <xdr:spPr>
        <a:xfrm>
          <a:off x="10766469" y="14662784"/>
          <a:ext cx="663531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BC8173-FEC4-4913-8DA8-5BED4A458DB1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12523,35h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136568</xdr:colOff>
      <xdr:row>84</xdr:row>
      <xdr:rowOff>175259</xdr:rowOff>
    </xdr:from>
    <xdr:to>
      <xdr:col>23</xdr:col>
      <xdr:colOff>175165</xdr:colOff>
      <xdr:row>87</xdr:row>
      <xdr:rowOff>20100</xdr:rowOff>
    </xdr:to>
    <xdr:sp macro="" textlink="'BCKSTG-ANALYSIS'!$Q$22">
      <xdr:nvSpPr>
        <xdr:cNvPr id="64" name="CaixaDeTexto 63">
          <a:extLst>
            <a:ext uri="{FF2B5EF4-FFF2-40B4-BE49-F238E27FC236}">
              <a16:creationId xmlns:a16="http://schemas.microsoft.com/office/drawing/2014/main" id="{7F246CD6-C8F1-2027-8FF9-B9872E8A9B9B}"/>
            </a:ext>
          </a:extLst>
        </xdr:cNvPr>
        <xdr:cNvSpPr txBox="1"/>
      </xdr:nvSpPr>
      <xdr:spPr>
        <a:xfrm>
          <a:off x="11566568" y="14662784"/>
          <a:ext cx="648197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640AC56-1F58-44DC-AAAF-0ED4AFF86CBE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323259</xdr:colOff>
      <xdr:row>84</xdr:row>
      <xdr:rowOff>173354</xdr:rowOff>
    </xdr:from>
    <xdr:to>
      <xdr:col>24</xdr:col>
      <xdr:colOff>353094</xdr:colOff>
      <xdr:row>87</xdr:row>
      <xdr:rowOff>16290</xdr:rowOff>
    </xdr:to>
    <xdr:sp macro="" textlink="'BCKSTG-ANALYSIS'!$R$22">
      <xdr:nvSpPr>
        <xdr:cNvPr id="65" name="CaixaDeTexto 64">
          <a:extLst>
            <a:ext uri="{FF2B5EF4-FFF2-40B4-BE49-F238E27FC236}">
              <a16:creationId xmlns:a16="http://schemas.microsoft.com/office/drawing/2014/main" id="{BA9E7EA3-A52A-07E9-20F7-AFC70C2C4AAB}"/>
            </a:ext>
          </a:extLst>
        </xdr:cNvPr>
        <xdr:cNvSpPr txBox="1"/>
      </xdr:nvSpPr>
      <xdr:spPr>
        <a:xfrm>
          <a:off x="12362859" y="14660879"/>
          <a:ext cx="639435" cy="385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F42E36-40FD-4100-82EF-6ED32A814EC4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99,94%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24</xdr:col>
      <xdr:colOff>492803</xdr:colOff>
      <xdr:row>84</xdr:row>
      <xdr:rowOff>171449</xdr:rowOff>
    </xdr:from>
    <xdr:to>
      <xdr:col>25</xdr:col>
      <xdr:colOff>529876</xdr:colOff>
      <xdr:row>87</xdr:row>
      <xdr:rowOff>20100</xdr:rowOff>
    </xdr:to>
    <xdr:sp macro="" textlink="'BCKSTG-ANALYSIS'!$S$22">
      <xdr:nvSpPr>
        <xdr:cNvPr id="66" name="CaixaDeTexto 65">
          <a:extLst>
            <a:ext uri="{FF2B5EF4-FFF2-40B4-BE49-F238E27FC236}">
              <a16:creationId xmlns:a16="http://schemas.microsoft.com/office/drawing/2014/main" id="{DE1D8EB8-754B-2296-6727-185DED43464B}"/>
            </a:ext>
          </a:extLst>
        </xdr:cNvPr>
        <xdr:cNvSpPr txBox="1"/>
      </xdr:nvSpPr>
      <xdr:spPr>
        <a:xfrm>
          <a:off x="13142003" y="14658974"/>
          <a:ext cx="646673" cy="391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C927A53-DFE8-4053-93D5-FC6D5F816D85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98,67%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60369</xdr:colOff>
      <xdr:row>87</xdr:row>
      <xdr:rowOff>175259</xdr:rowOff>
    </xdr:from>
    <xdr:to>
      <xdr:col>22</xdr:col>
      <xdr:colOff>0</xdr:colOff>
      <xdr:row>90</xdr:row>
      <xdr:rowOff>20100</xdr:rowOff>
    </xdr:to>
    <xdr:sp macro="" textlink="'BCKSTG-ANALYSIS'!$P$23">
      <xdr:nvSpPr>
        <xdr:cNvPr id="67" name="CaixaDeTexto 66">
          <a:extLst>
            <a:ext uri="{FF2B5EF4-FFF2-40B4-BE49-F238E27FC236}">
              <a16:creationId xmlns:a16="http://schemas.microsoft.com/office/drawing/2014/main" id="{C6235A0B-028C-B51A-3837-1B9F18BF6FE3}"/>
            </a:ext>
          </a:extLst>
        </xdr:cNvPr>
        <xdr:cNvSpPr txBox="1"/>
      </xdr:nvSpPr>
      <xdr:spPr>
        <a:xfrm>
          <a:off x="10766469" y="15205709"/>
          <a:ext cx="663531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E76C725-70C0-451D-B23C-E0C31A251FE8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18162,04h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136568</xdr:colOff>
      <xdr:row>87</xdr:row>
      <xdr:rowOff>175259</xdr:rowOff>
    </xdr:from>
    <xdr:to>
      <xdr:col>23</xdr:col>
      <xdr:colOff>175165</xdr:colOff>
      <xdr:row>90</xdr:row>
      <xdr:rowOff>20100</xdr:rowOff>
    </xdr:to>
    <xdr:sp macro="" textlink="'BCKSTG-ANALYSIS'!$Q$23">
      <xdr:nvSpPr>
        <xdr:cNvPr id="68" name="CaixaDeTexto 67">
          <a:extLst>
            <a:ext uri="{FF2B5EF4-FFF2-40B4-BE49-F238E27FC236}">
              <a16:creationId xmlns:a16="http://schemas.microsoft.com/office/drawing/2014/main" id="{A1DDC06B-607F-5388-5CB8-8C7D1AFCBFD3}"/>
            </a:ext>
          </a:extLst>
        </xdr:cNvPr>
        <xdr:cNvSpPr txBox="1"/>
      </xdr:nvSpPr>
      <xdr:spPr>
        <a:xfrm>
          <a:off x="11566568" y="15205709"/>
          <a:ext cx="648197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95A9F4-B7F8-4D60-930F-E5DA05817CFE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4,87h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323259</xdr:colOff>
      <xdr:row>87</xdr:row>
      <xdr:rowOff>173354</xdr:rowOff>
    </xdr:from>
    <xdr:to>
      <xdr:col>24</xdr:col>
      <xdr:colOff>353094</xdr:colOff>
      <xdr:row>90</xdr:row>
      <xdr:rowOff>16290</xdr:rowOff>
    </xdr:to>
    <xdr:sp macro="" textlink="'BCKSTG-ANALYSIS'!$R$23">
      <xdr:nvSpPr>
        <xdr:cNvPr id="69" name="CaixaDeTexto 68">
          <a:extLst>
            <a:ext uri="{FF2B5EF4-FFF2-40B4-BE49-F238E27FC236}">
              <a16:creationId xmlns:a16="http://schemas.microsoft.com/office/drawing/2014/main" id="{F1DE6E62-AF29-34DC-85DA-2B34861909F6}"/>
            </a:ext>
          </a:extLst>
        </xdr:cNvPr>
        <xdr:cNvSpPr txBox="1"/>
      </xdr:nvSpPr>
      <xdr:spPr>
        <a:xfrm>
          <a:off x="12362859" y="15203804"/>
          <a:ext cx="639435" cy="385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0633517-09C1-4490-A6B7-EF7EC0C58858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99,97%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24</xdr:col>
      <xdr:colOff>492803</xdr:colOff>
      <xdr:row>87</xdr:row>
      <xdr:rowOff>171449</xdr:rowOff>
    </xdr:from>
    <xdr:to>
      <xdr:col>25</xdr:col>
      <xdr:colOff>529876</xdr:colOff>
      <xdr:row>90</xdr:row>
      <xdr:rowOff>20100</xdr:rowOff>
    </xdr:to>
    <xdr:sp macro="" textlink="'BCKSTG-ANALYSIS'!$S$23">
      <xdr:nvSpPr>
        <xdr:cNvPr id="70" name="CaixaDeTexto 69">
          <a:extLst>
            <a:ext uri="{FF2B5EF4-FFF2-40B4-BE49-F238E27FC236}">
              <a16:creationId xmlns:a16="http://schemas.microsoft.com/office/drawing/2014/main" id="{99E78EC0-2513-3483-4BCE-9CBB1CF8B82F}"/>
            </a:ext>
          </a:extLst>
        </xdr:cNvPr>
        <xdr:cNvSpPr txBox="1"/>
      </xdr:nvSpPr>
      <xdr:spPr>
        <a:xfrm>
          <a:off x="13142003" y="15201899"/>
          <a:ext cx="646673" cy="391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FA08D6-3928-4AEF-8C6A-656F869FD052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98,98%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63</xdr:row>
      <xdr:rowOff>173354</xdr:rowOff>
    </xdr:from>
    <xdr:to>
      <xdr:col>8</xdr:col>
      <xdr:colOff>114300</xdr:colOff>
      <xdr:row>66</xdr:row>
      <xdr:rowOff>1050</xdr:rowOff>
    </xdr:to>
    <xdr:sp macro="" textlink="'BCKSTG-ANALYSIS'!$K$20">
      <xdr:nvSpPr>
        <xdr:cNvPr id="71" name="CaixaDeTexto 70">
          <a:extLst>
            <a:ext uri="{FF2B5EF4-FFF2-40B4-BE49-F238E27FC236}">
              <a16:creationId xmlns:a16="http://schemas.microsoft.com/office/drawing/2014/main" id="{11739FDE-830B-09BD-798B-ED4F8AD3D0FB}"/>
            </a:ext>
          </a:extLst>
        </xdr:cNvPr>
        <xdr:cNvSpPr txBox="1"/>
      </xdr:nvSpPr>
      <xdr:spPr>
        <a:xfrm>
          <a:off x="2173014" y="10860404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8813AAF-DD51-4AF5-974C-794B81AA0945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12523,35h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66</xdr:row>
      <xdr:rowOff>173354</xdr:rowOff>
    </xdr:from>
    <xdr:to>
      <xdr:col>8</xdr:col>
      <xdr:colOff>114300</xdr:colOff>
      <xdr:row>69</xdr:row>
      <xdr:rowOff>1050</xdr:rowOff>
    </xdr:to>
    <xdr:sp macro="" textlink="'BCKSTG-ANALYSIS'!$K$21">
      <xdr:nvSpPr>
        <xdr:cNvPr id="72" name="CaixaDeTexto 71">
          <a:extLst>
            <a:ext uri="{FF2B5EF4-FFF2-40B4-BE49-F238E27FC236}">
              <a16:creationId xmlns:a16="http://schemas.microsoft.com/office/drawing/2014/main" id="{8446EF75-1E61-B053-2507-B24D2AF85F22}"/>
            </a:ext>
          </a:extLst>
        </xdr:cNvPr>
        <xdr:cNvSpPr txBox="1"/>
      </xdr:nvSpPr>
      <xdr:spPr>
        <a:xfrm>
          <a:off x="2173014" y="11403329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32B023F-E1D5-4F9F-94FE-EC44FE3D0D7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4,65h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69</xdr:row>
      <xdr:rowOff>173354</xdr:rowOff>
    </xdr:from>
    <xdr:to>
      <xdr:col>8</xdr:col>
      <xdr:colOff>114300</xdr:colOff>
      <xdr:row>72</xdr:row>
      <xdr:rowOff>0</xdr:rowOff>
    </xdr:to>
    <xdr:sp macro="" textlink="'BCKSTG-ANALYSIS'!$K$22">
      <xdr:nvSpPr>
        <xdr:cNvPr id="73" name="CaixaDeTexto 72">
          <a:extLst>
            <a:ext uri="{FF2B5EF4-FFF2-40B4-BE49-F238E27FC236}">
              <a16:creationId xmlns:a16="http://schemas.microsoft.com/office/drawing/2014/main" id="{BA5A35C7-20A4-6447-128F-12F611F2102D}"/>
            </a:ext>
          </a:extLst>
        </xdr:cNvPr>
        <xdr:cNvSpPr txBox="1"/>
      </xdr:nvSpPr>
      <xdr:spPr>
        <a:xfrm>
          <a:off x="2173014" y="11946254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5D318F-057C-446A-BBA6-D4FAC6C2D7A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99,96%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72</xdr:row>
      <xdr:rowOff>173354</xdr:rowOff>
    </xdr:from>
    <xdr:to>
      <xdr:col>8</xdr:col>
      <xdr:colOff>114300</xdr:colOff>
      <xdr:row>75</xdr:row>
      <xdr:rowOff>0</xdr:rowOff>
    </xdr:to>
    <xdr:sp macro="" textlink="'BCKSTG-ANALYSIS'!$K$23">
      <xdr:nvSpPr>
        <xdr:cNvPr id="74" name="CaixaDeTexto 73">
          <a:extLst>
            <a:ext uri="{FF2B5EF4-FFF2-40B4-BE49-F238E27FC236}">
              <a16:creationId xmlns:a16="http://schemas.microsoft.com/office/drawing/2014/main" id="{A9C9C86F-D9ED-99A0-3C3B-AF8D8C31BFED}"/>
            </a:ext>
          </a:extLst>
        </xdr:cNvPr>
        <xdr:cNvSpPr txBox="1"/>
      </xdr:nvSpPr>
      <xdr:spPr>
        <a:xfrm>
          <a:off x="2173014" y="12489179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85EDBA6-B7B4-4C7F-87DC-4672FC28EB01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78</xdr:row>
      <xdr:rowOff>173354</xdr:rowOff>
    </xdr:from>
    <xdr:to>
      <xdr:col>8</xdr:col>
      <xdr:colOff>114300</xdr:colOff>
      <xdr:row>81</xdr:row>
      <xdr:rowOff>2955</xdr:rowOff>
    </xdr:to>
    <xdr:sp macro="" textlink="'BCKSTG-ANALYSIS'!$M$42">
      <xdr:nvSpPr>
        <xdr:cNvPr id="75" name="CaixaDeTexto 74">
          <a:extLst>
            <a:ext uri="{FF2B5EF4-FFF2-40B4-BE49-F238E27FC236}">
              <a16:creationId xmlns:a16="http://schemas.microsoft.com/office/drawing/2014/main" id="{04D273AA-E8DE-85E1-9E8F-3309D5960DEA}"/>
            </a:ext>
          </a:extLst>
        </xdr:cNvPr>
        <xdr:cNvSpPr txBox="1"/>
      </xdr:nvSpPr>
      <xdr:spPr>
        <a:xfrm>
          <a:off x="2173014" y="13575029"/>
          <a:ext cx="1827486" cy="372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CCCA12-DA30-467B-89FA-BFD88AD2DA0B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24644,37h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81</xdr:row>
      <xdr:rowOff>173354</xdr:rowOff>
    </xdr:from>
    <xdr:to>
      <xdr:col>8</xdr:col>
      <xdr:colOff>114300</xdr:colOff>
      <xdr:row>84</xdr:row>
      <xdr:rowOff>2955</xdr:rowOff>
    </xdr:to>
    <xdr:sp macro="" textlink="'BCKSTG-ANALYSIS'!$M$43">
      <xdr:nvSpPr>
        <xdr:cNvPr id="76" name="CaixaDeTexto 75">
          <a:extLst>
            <a:ext uri="{FF2B5EF4-FFF2-40B4-BE49-F238E27FC236}">
              <a16:creationId xmlns:a16="http://schemas.microsoft.com/office/drawing/2014/main" id="{016B5476-BB83-A2C8-10C0-59AEE063DC00}"/>
            </a:ext>
          </a:extLst>
        </xdr:cNvPr>
        <xdr:cNvSpPr txBox="1"/>
      </xdr:nvSpPr>
      <xdr:spPr>
        <a:xfrm>
          <a:off x="2173014" y="14117954"/>
          <a:ext cx="1827486" cy="372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DD183F-6324-45B6-9B0E-A11753C69AA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84</xdr:row>
      <xdr:rowOff>173354</xdr:rowOff>
    </xdr:from>
    <xdr:to>
      <xdr:col>8</xdr:col>
      <xdr:colOff>114300</xdr:colOff>
      <xdr:row>87</xdr:row>
      <xdr:rowOff>1905</xdr:rowOff>
    </xdr:to>
    <xdr:sp macro="" textlink="'BCKSTG-ANALYSIS'!$M$44">
      <xdr:nvSpPr>
        <xdr:cNvPr id="77" name="CaixaDeTexto 76">
          <a:extLst>
            <a:ext uri="{FF2B5EF4-FFF2-40B4-BE49-F238E27FC236}">
              <a16:creationId xmlns:a16="http://schemas.microsoft.com/office/drawing/2014/main" id="{91A726A6-7003-7F10-87BB-CCDBD57083AE}"/>
            </a:ext>
          </a:extLst>
        </xdr:cNvPr>
        <xdr:cNvSpPr txBox="1"/>
      </xdr:nvSpPr>
      <xdr:spPr>
        <a:xfrm>
          <a:off x="2173014" y="14660879"/>
          <a:ext cx="1827486" cy="37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D5C41C4-778D-4603-8A64-76DE45E96067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87</xdr:row>
      <xdr:rowOff>173354</xdr:rowOff>
    </xdr:from>
    <xdr:to>
      <xdr:col>8</xdr:col>
      <xdr:colOff>114300</xdr:colOff>
      <xdr:row>90</xdr:row>
      <xdr:rowOff>1905</xdr:rowOff>
    </xdr:to>
    <xdr:sp macro="" textlink="'BCKSTG-ANALYSIS'!$M$45">
      <xdr:nvSpPr>
        <xdr:cNvPr id="78" name="CaixaDeTexto 77">
          <a:extLst>
            <a:ext uri="{FF2B5EF4-FFF2-40B4-BE49-F238E27FC236}">
              <a16:creationId xmlns:a16="http://schemas.microsoft.com/office/drawing/2014/main" id="{41E2E245-50AD-5CC9-FBF6-5405148DD6B6}"/>
            </a:ext>
          </a:extLst>
        </xdr:cNvPr>
        <xdr:cNvSpPr txBox="1"/>
      </xdr:nvSpPr>
      <xdr:spPr>
        <a:xfrm>
          <a:off x="2173014" y="15203804"/>
          <a:ext cx="1827486" cy="37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2BB941C-4056-4852-82E1-295B23FAA67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99,32%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63</xdr:row>
      <xdr:rowOff>179069</xdr:rowOff>
    </xdr:from>
    <xdr:to>
      <xdr:col>11</xdr:col>
      <xdr:colOff>240030</xdr:colOff>
      <xdr:row>65</xdr:row>
      <xdr:rowOff>178215</xdr:rowOff>
    </xdr:to>
    <xdr:sp macro="" textlink="'BCKSTG-ANALYSIS'!$M$20">
      <xdr:nvSpPr>
        <xdr:cNvPr id="79" name="CaixaDeTexto 78">
          <a:extLst>
            <a:ext uri="{FF2B5EF4-FFF2-40B4-BE49-F238E27FC236}">
              <a16:creationId xmlns:a16="http://schemas.microsoft.com/office/drawing/2014/main" id="{0F857CF9-6EFF-9435-0FB6-C4D05BBC08A8}"/>
            </a:ext>
          </a:extLst>
        </xdr:cNvPr>
        <xdr:cNvSpPr txBox="1"/>
      </xdr:nvSpPr>
      <xdr:spPr>
        <a:xfrm>
          <a:off x="4127544" y="1086611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671271-1E15-4A97-9373-4A6326A5A4CB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12679,84h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66</xdr:row>
      <xdr:rowOff>179069</xdr:rowOff>
    </xdr:from>
    <xdr:to>
      <xdr:col>11</xdr:col>
      <xdr:colOff>240030</xdr:colOff>
      <xdr:row>68</xdr:row>
      <xdr:rowOff>178215</xdr:rowOff>
    </xdr:to>
    <xdr:sp macro="" textlink="'BCKSTG-ANALYSIS'!$M$21">
      <xdr:nvSpPr>
        <xdr:cNvPr id="80" name="CaixaDeTexto 79">
          <a:extLst>
            <a:ext uri="{FF2B5EF4-FFF2-40B4-BE49-F238E27FC236}">
              <a16:creationId xmlns:a16="http://schemas.microsoft.com/office/drawing/2014/main" id="{3020E4AA-A67C-F88F-9803-252CE74BB2AD}"/>
            </a:ext>
          </a:extLst>
        </xdr:cNvPr>
        <xdr:cNvSpPr txBox="1"/>
      </xdr:nvSpPr>
      <xdr:spPr>
        <a:xfrm>
          <a:off x="4127544" y="1140904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49AC2D1-B118-4224-8F31-4B739A4E1CD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4,16h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69</xdr:row>
      <xdr:rowOff>179069</xdr:rowOff>
    </xdr:from>
    <xdr:to>
      <xdr:col>11</xdr:col>
      <xdr:colOff>240030</xdr:colOff>
      <xdr:row>71</xdr:row>
      <xdr:rowOff>177165</xdr:rowOff>
    </xdr:to>
    <xdr:sp macro="" textlink="'BCKSTG-ANALYSIS'!$M$22">
      <xdr:nvSpPr>
        <xdr:cNvPr id="81" name="CaixaDeTexto 80">
          <a:extLst>
            <a:ext uri="{FF2B5EF4-FFF2-40B4-BE49-F238E27FC236}">
              <a16:creationId xmlns:a16="http://schemas.microsoft.com/office/drawing/2014/main" id="{3BC63294-1751-F239-BB67-C77A46570C41}"/>
            </a:ext>
          </a:extLst>
        </xdr:cNvPr>
        <xdr:cNvSpPr txBox="1"/>
      </xdr:nvSpPr>
      <xdr:spPr>
        <a:xfrm>
          <a:off x="4127544" y="1195196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0116455-4E74-4379-A333-2BB24F60FA5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72</xdr:row>
      <xdr:rowOff>179069</xdr:rowOff>
    </xdr:from>
    <xdr:to>
      <xdr:col>11</xdr:col>
      <xdr:colOff>240030</xdr:colOff>
      <xdr:row>74</xdr:row>
      <xdr:rowOff>177165</xdr:rowOff>
    </xdr:to>
    <xdr:sp macro="" textlink="'BCKSTG-ANALYSIS'!$M$23">
      <xdr:nvSpPr>
        <xdr:cNvPr id="82" name="CaixaDeTexto 81">
          <a:extLst>
            <a:ext uri="{FF2B5EF4-FFF2-40B4-BE49-F238E27FC236}">
              <a16:creationId xmlns:a16="http://schemas.microsoft.com/office/drawing/2014/main" id="{78144D2C-7813-0A5E-0CF4-1C1C0AE3DC43}"/>
            </a:ext>
          </a:extLst>
        </xdr:cNvPr>
        <xdr:cNvSpPr txBox="1"/>
      </xdr:nvSpPr>
      <xdr:spPr>
        <a:xfrm>
          <a:off x="4127544" y="1249489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0C618B0-2D5D-4BD5-AD52-70125005852C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239439</xdr:colOff>
      <xdr:row>78</xdr:row>
      <xdr:rowOff>175259</xdr:rowOff>
    </xdr:from>
    <xdr:to>
      <xdr:col>11</xdr:col>
      <xdr:colOff>238125</xdr:colOff>
      <xdr:row>80</xdr:row>
      <xdr:rowOff>170595</xdr:rowOff>
    </xdr:to>
    <xdr:sp macro="" textlink="'BCKSTG-ANALYSIS'!$I$53">
      <xdr:nvSpPr>
        <xdr:cNvPr id="83" name="CaixaDeTexto 82">
          <a:extLst>
            <a:ext uri="{FF2B5EF4-FFF2-40B4-BE49-F238E27FC236}">
              <a16:creationId xmlns:a16="http://schemas.microsoft.com/office/drawing/2014/main" id="{C0EF1B3B-1879-740B-CF35-DFAC44E6CE95}"/>
            </a:ext>
          </a:extLst>
        </xdr:cNvPr>
        <xdr:cNvSpPr txBox="1"/>
      </xdr:nvSpPr>
      <xdr:spPr>
        <a:xfrm>
          <a:off x="4125639" y="13576934"/>
          <a:ext cx="1827486" cy="357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7B83169-7899-4B2A-A2B6-C446CA92E50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24020,37h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229914</xdr:colOff>
      <xdr:row>81</xdr:row>
      <xdr:rowOff>171449</xdr:rowOff>
    </xdr:from>
    <xdr:to>
      <xdr:col>11</xdr:col>
      <xdr:colOff>228600</xdr:colOff>
      <xdr:row>83</xdr:row>
      <xdr:rowOff>174405</xdr:rowOff>
    </xdr:to>
    <xdr:sp macro="" textlink="'BCKSTG-ANALYSIS'!$I$54">
      <xdr:nvSpPr>
        <xdr:cNvPr id="84" name="CaixaDeTexto 83">
          <a:extLst>
            <a:ext uri="{FF2B5EF4-FFF2-40B4-BE49-F238E27FC236}">
              <a16:creationId xmlns:a16="http://schemas.microsoft.com/office/drawing/2014/main" id="{DC2E8CE6-E413-4579-CBA5-1CE9F49B1713}"/>
            </a:ext>
          </a:extLst>
        </xdr:cNvPr>
        <xdr:cNvSpPr txBox="1"/>
      </xdr:nvSpPr>
      <xdr:spPr>
        <a:xfrm>
          <a:off x="4116114" y="14116049"/>
          <a:ext cx="1827486" cy="3649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9225DA1-6BA0-4514-978C-265B7410CEC7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229914</xdr:colOff>
      <xdr:row>84</xdr:row>
      <xdr:rowOff>171449</xdr:rowOff>
    </xdr:from>
    <xdr:to>
      <xdr:col>11</xdr:col>
      <xdr:colOff>228600</xdr:colOff>
      <xdr:row>86</xdr:row>
      <xdr:rowOff>173355</xdr:rowOff>
    </xdr:to>
    <xdr:sp macro="" textlink="'BCKSTG-ANALYSIS'!$I$55">
      <xdr:nvSpPr>
        <xdr:cNvPr id="85" name="CaixaDeTexto 84">
          <a:extLst>
            <a:ext uri="{FF2B5EF4-FFF2-40B4-BE49-F238E27FC236}">
              <a16:creationId xmlns:a16="http://schemas.microsoft.com/office/drawing/2014/main" id="{90108015-A54B-EF53-AF50-4F5EC2A3EFCC}"/>
            </a:ext>
          </a:extLst>
        </xdr:cNvPr>
        <xdr:cNvSpPr txBox="1"/>
      </xdr:nvSpPr>
      <xdr:spPr>
        <a:xfrm>
          <a:off x="4116114" y="14658974"/>
          <a:ext cx="1827486" cy="363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8F6A1F-B142-49BC-B6C0-D3C1C42A0AC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99,98%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229914</xdr:colOff>
      <xdr:row>87</xdr:row>
      <xdr:rowOff>171449</xdr:rowOff>
    </xdr:from>
    <xdr:to>
      <xdr:col>11</xdr:col>
      <xdr:colOff>228600</xdr:colOff>
      <xdr:row>89</xdr:row>
      <xdr:rowOff>173355</xdr:rowOff>
    </xdr:to>
    <xdr:sp macro="" textlink="'BCKSTG-ANALYSIS'!$I$56">
      <xdr:nvSpPr>
        <xdr:cNvPr id="86" name="CaixaDeTexto 85">
          <a:extLst>
            <a:ext uri="{FF2B5EF4-FFF2-40B4-BE49-F238E27FC236}">
              <a16:creationId xmlns:a16="http://schemas.microsoft.com/office/drawing/2014/main" id="{A4C1A138-4A17-90E4-9179-0B7D6D25CCFE}"/>
            </a:ext>
          </a:extLst>
        </xdr:cNvPr>
        <xdr:cNvSpPr txBox="1"/>
      </xdr:nvSpPr>
      <xdr:spPr>
        <a:xfrm>
          <a:off x="4116114" y="15201899"/>
          <a:ext cx="1827486" cy="363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EE189D-3925-4FEB-8A47-BA29D968FD53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99,31%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63</xdr:row>
      <xdr:rowOff>180974</xdr:rowOff>
    </xdr:from>
    <xdr:to>
      <xdr:col>14</xdr:col>
      <xdr:colOff>373380</xdr:colOff>
      <xdr:row>65</xdr:row>
      <xdr:rowOff>180120</xdr:rowOff>
    </xdr:to>
    <xdr:sp macro="" textlink="'BCKSTG-ANALYSIS'!$I$31">
      <xdr:nvSpPr>
        <xdr:cNvPr id="87" name="CaixaDeTexto 86">
          <a:extLst>
            <a:ext uri="{FF2B5EF4-FFF2-40B4-BE49-F238E27FC236}">
              <a16:creationId xmlns:a16="http://schemas.microsoft.com/office/drawing/2014/main" id="{57B3554E-8482-8979-5531-1A8DF6E93785}"/>
            </a:ext>
          </a:extLst>
        </xdr:cNvPr>
        <xdr:cNvSpPr txBox="1"/>
      </xdr:nvSpPr>
      <xdr:spPr>
        <a:xfrm>
          <a:off x="6089694" y="1086802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36DEB03-2BEF-4293-A91D-7338F366838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13266,11h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66</xdr:row>
      <xdr:rowOff>180974</xdr:rowOff>
    </xdr:from>
    <xdr:to>
      <xdr:col>14</xdr:col>
      <xdr:colOff>373380</xdr:colOff>
      <xdr:row>68</xdr:row>
      <xdr:rowOff>180120</xdr:rowOff>
    </xdr:to>
    <xdr:sp macro="" textlink="'BCKSTG-ANALYSIS'!$I$32">
      <xdr:nvSpPr>
        <xdr:cNvPr id="88" name="CaixaDeTexto 87">
          <a:extLst>
            <a:ext uri="{FF2B5EF4-FFF2-40B4-BE49-F238E27FC236}">
              <a16:creationId xmlns:a16="http://schemas.microsoft.com/office/drawing/2014/main" id="{0CA121B1-D38D-E573-9FB9-D4F152F304D6}"/>
            </a:ext>
          </a:extLst>
        </xdr:cNvPr>
        <xdr:cNvSpPr txBox="1"/>
      </xdr:nvSpPr>
      <xdr:spPr>
        <a:xfrm>
          <a:off x="6089694" y="1141094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B7A0E2-C099-4F44-9FE2-E9877C7F5E8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5,89h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69</xdr:row>
      <xdr:rowOff>180974</xdr:rowOff>
    </xdr:from>
    <xdr:to>
      <xdr:col>14</xdr:col>
      <xdr:colOff>373380</xdr:colOff>
      <xdr:row>71</xdr:row>
      <xdr:rowOff>179070</xdr:rowOff>
    </xdr:to>
    <xdr:sp macro="" textlink="'BCKSTG-ANALYSIS'!$I$33">
      <xdr:nvSpPr>
        <xdr:cNvPr id="89" name="CaixaDeTexto 88">
          <a:extLst>
            <a:ext uri="{FF2B5EF4-FFF2-40B4-BE49-F238E27FC236}">
              <a16:creationId xmlns:a16="http://schemas.microsoft.com/office/drawing/2014/main" id="{BA001773-E380-0828-791E-8B7032A6001F}"/>
            </a:ext>
          </a:extLst>
        </xdr:cNvPr>
        <xdr:cNvSpPr txBox="1"/>
      </xdr:nvSpPr>
      <xdr:spPr>
        <a:xfrm>
          <a:off x="6089694" y="1195387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9915ADE-5F8B-4117-9CF0-C1967886470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99,96%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72</xdr:row>
      <xdr:rowOff>180974</xdr:rowOff>
    </xdr:from>
    <xdr:to>
      <xdr:col>14</xdr:col>
      <xdr:colOff>373380</xdr:colOff>
      <xdr:row>74</xdr:row>
      <xdr:rowOff>179070</xdr:rowOff>
    </xdr:to>
    <xdr:sp macro="" textlink="'BCKSTG-ANALYSIS'!$I$34">
      <xdr:nvSpPr>
        <xdr:cNvPr id="90" name="CaixaDeTexto 89">
          <a:extLst>
            <a:ext uri="{FF2B5EF4-FFF2-40B4-BE49-F238E27FC236}">
              <a16:creationId xmlns:a16="http://schemas.microsoft.com/office/drawing/2014/main" id="{3DE53B45-7C05-2B5E-E394-C20886611392}"/>
            </a:ext>
          </a:extLst>
        </xdr:cNvPr>
        <xdr:cNvSpPr txBox="1"/>
      </xdr:nvSpPr>
      <xdr:spPr>
        <a:xfrm>
          <a:off x="6089694" y="1249679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5AA6A1-D01D-4161-A140-826F2E93AA34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98,75%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78</xdr:row>
      <xdr:rowOff>179069</xdr:rowOff>
    </xdr:from>
    <xdr:to>
      <xdr:col>14</xdr:col>
      <xdr:colOff>350520</xdr:colOff>
      <xdr:row>81</xdr:row>
      <xdr:rowOff>2955</xdr:rowOff>
    </xdr:to>
    <xdr:sp macro="" textlink="'BCKSTG-ANALYSIS'!$K$53">
      <xdr:nvSpPr>
        <xdr:cNvPr id="91" name="CaixaDeTexto 90">
          <a:extLst>
            <a:ext uri="{FF2B5EF4-FFF2-40B4-BE49-F238E27FC236}">
              <a16:creationId xmlns:a16="http://schemas.microsoft.com/office/drawing/2014/main" id="{B3AB8D9B-A587-462A-E380-F29EDE8EEC7B}"/>
            </a:ext>
          </a:extLst>
        </xdr:cNvPr>
        <xdr:cNvSpPr txBox="1"/>
      </xdr:nvSpPr>
      <xdr:spPr>
        <a:xfrm>
          <a:off x="6066834" y="13580744"/>
          <a:ext cx="1827486" cy="3668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987B91F-5902-4731-AAD9-6277CE84C19B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24812,37h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81</xdr:row>
      <xdr:rowOff>179069</xdr:rowOff>
    </xdr:from>
    <xdr:to>
      <xdr:col>14</xdr:col>
      <xdr:colOff>350520</xdr:colOff>
      <xdr:row>84</xdr:row>
      <xdr:rowOff>2955</xdr:rowOff>
    </xdr:to>
    <xdr:sp macro="" textlink="'BCKSTG-ANALYSIS'!$K$54">
      <xdr:nvSpPr>
        <xdr:cNvPr id="92" name="CaixaDeTexto 91">
          <a:extLst>
            <a:ext uri="{FF2B5EF4-FFF2-40B4-BE49-F238E27FC236}">
              <a16:creationId xmlns:a16="http://schemas.microsoft.com/office/drawing/2014/main" id="{2D8EC654-2B62-4F55-7159-9256A19322C9}"/>
            </a:ext>
          </a:extLst>
        </xdr:cNvPr>
        <xdr:cNvSpPr txBox="1"/>
      </xdr:nvSpPr>
      <xdr:spPr>
        <a:xfrm>
          <a:off x="6066834" y="14123669"/>
          <a:ext cx="1827486" cy="3668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9495750-BD96-43D0-91B3-64F24ADA941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84</xdr:row>
      <xdr:rowOff>179069</xdr:rowOff>
    </xdr:from>
    <xdr:to>
      <xdr:col>14</xdr:col>
      <xdr:colOff>350520</xdr:colOff>
      <xdr:row>87</xdr:row>
      <xdr:rowOff>1905</xdr:rowOff>
    </xdr:to>
    <xdr:sp macro="" textlink="'BCKSTG-ANALYSIS'!$K$55">
      <xdr:nvSpPr>
        <xdr:cNvPr id="93" name="CaixaDeTexto 92">
          <a:extLst>
            <a:ext uri="{FF2B5EF4-FFF2-40B4-BE49-F238E27FC236}">
              <a16:creationId xmlns:a16="http://schemas.microsoft.com/office/drawing/2014/main" id="{2DF81974-72F1-E77C-0715-70CECFABD65B}"/>
            </a:ext>
          </a:extLst>
        </xdr:cNvPr>
        <xdr:cNvSpPr txBox="1"/>
      </xdr:nvSpPr>
      <xdr:spPr>
        <a:xfrm>
          <a:off x="6066834" y="14666594"/>
          <a:ext cx="1827486" cy="3657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45C36BE-D1C7-4920-B356-6A28D8C7E1F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87</xdr:row>
      <xdr:rowOff>179069</xdr:rowOff>
    </xdr:from>
    <xdr:to>
      <xdr:col>14</xdr:col>
      <xdr:colOff>350520</xdr:colOff>
      <xdr:row>90</xdr:row>
      <xdr:rowOff>1905</xdr:rowOff>
    </xdr:to>
    <xdr:sp macro="" textlink="'BCKSTG-ANALYSIS'!$K$56">
      <xdr:nvSpPr>
        <xdr:cNvPr id="94" name="CaixaDeTexto 93">
          <a:extLst>
            <a:ext uri="{FF2B5EF4-FFF2-40B4-BE49-F238E27FC236}">
              <a16:creationId xmlns:a16="http://schemas.microsoft.com/office/drawing/2014/main" id="{CF802721-BCEB-07AD-F5A1-33467FDEBFE6}"/>
            </a:ext>
          </a:extLst>
        </xdr:cNvPr>
        <xdr:cNvSpPr txBox="1"/>
      </xdr:nvSpPr>
      <xdr:spPr>
        <a:xfrm>
          <a:off x="6066834" y="15209519"/>
          <a:ext cx="1827486" cy="3657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78A7ED2-1806-4FC3-A46C-E08E57020AC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99,33%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64</xdr:row>
      <xdr:rowOff>1904</xdr:rowOff>
    </xdr:from>
    <xdr:to>
      <xdr:col>18</xdr:col>
      <xdr:colOff>384810</xdr:colOff>
      <xdr:row>66</xdr:row>
      <xdr:rowOff>1050</xdr:rowOff>
    </xdr:to>
    <xdr:sp macro="" textlink="'BCKSTG-ANALYSIS'!$K$31">
      <xdr:nvSpPr>
        <xdr:cNvPr id="95" name="CaixaDeTexto 94">
          <a:extLst>
            <a:ext uri="{FF2B5EF4-FFF2-40B4-BE49-F238E27FC236}">
              <a16:creationId xmlns:a16="http://schemas.microsoft.com/office/drawing/2014/main" id="{10D06CE2-134A-3370-F3EC-2BBFA830DD43}"/>
            </a:ext>
          </a:extLst>
        </xdr:cNvPr>
        <xdr:cNvSpPr txBox="1"/>
      </xdr:nvSpPr>
      <xdr:spPr>
        <a:xfrm>
          <a:off x="8044224" y="1086992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E0BED0-E420-44F0-97F2-EBA3534B3A5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12691,11h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67</xdr:row>
      <xdr:rowOff>1904</xdr:rowOff>
    </xdr:from>
    <xdr:to>
      <xdr:col>18</xdr:col>
      <xdr:colOff>384810</xdr:colOff>
      <xdr:row>69</xdr:row>
      <xdr:rowOff>1050</xdr:rowOff>
    </xdr:to>
    <xdr:sp macro="" textlink="'BCKSTG-ANALYSIS'!$K$32">
      <xdr:nvSpPr>
        <xdr:cNvPr id="96" name="CaixaDeTexto 95">
          <a:extLst>
            <a:ext uri="{FF2B5EF4-FFF2-40B4-BE49-F238E27FC236}">
              <a16:creationId xmlns:a16="http://schemas.microsoft.com/office/drawing/2014/main" id="{5BE3292D-D5EC-F484-BEA7-025A1257179C}"/>
            </a:ext>
          </a:extLst>
        </xdr:cNvPr>
        <xdr:cNvSpPr txBox="1"/>
      </xdr:nvSpPr>
      <xdr:spPr>
        <a:xfrm>
          <a:off x="8044224" y="1141285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6E87B32-82DF-47FE-B4B3-B900387CB01C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4,89h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70</xdr:row>
      <xdr:rowOff>1904</xdr:rowOff>
    </xdr:from>
    <xdr:to>
      <xdr:col>18</xdr:col>
      <xdr:colOff>384810</xdr:colOff>
      <xdr:row>72</xdr:row>
      <xdr:rowOff>0</xdr:rowOff>
    </xdr:to>
    <xdr:sp macro="" textlink="'BCKSTG-ANALYSIS'!$K$33">
      <xdr:nvSpPr>
        <xdr:cNvPr id="97" name="CaixaDeTexto 96">
          <a:extLst>
            <a:ext uri="{FF2B5EF4-FFF2-40B4-BE49-F238E27FC236}">
              <a16:creationId xmlns:a16="http://schemas.microsoft.com/office/drawing/2014/main" id="{924179DE-A8E8-6A7C-8E05-44B4CD9A39E4}"/>
            </a:ext>
          </a:extLst>
        </xdr:cNvPr>
        <xdr:cNvSpPr txBox="1"/>
      </xdr:nvSpPr>
      <xdr:spPr>
        <a:xfrm>
          <a:off x="8044224" y="1195577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5469FB-8EAF-4457-AAB5-FEFD7E143EA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99,96%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73</xdr:row>
      <xdr:rowOff>1904</xdr:rowOff>
    </xdr:from>
    <xdr:to>
      <xdr:col>18</xdr:col>
      <xdr:colOff>384810</xdr:colOff>
      <xdr:row>75</xdr:row>
      <xdr:rowOff>0</xdr:rowOff>
    </xdr:to>
    <xdr:sp macro="" textlink="'BCKSTG-ANALYSIS'!$K$34">
      <xdr:nvSpPr>
        <xdr:cNvPr id="98" name="CaixaDeTexto 97">
          <a:extLst>
            <a:ext uri="{FF2B5EF4-FFF2-40B4-BE49-F238E27FC236}">
              <a16:creationId xmlns:a16="http://schemas.microsoft.com/office/drawing/2014/main" id="{7B0BF354-63A2-379B-D501-8CC6271978CE}"/>
            </a:ext>
          </a:extLst>
        </xdr:cNvPr>
        <xdr:cNvSpPr txBox="1"/>
      </xdr:nvSpPr>
      <xdr:spPr>
        <a:xfrm>
          <a:off x="8044224" y="1249870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488032-B005-4865-B4AC-7F4A466BCB7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79</xdr:row>
      <xdr:rowOff>1904</xdr:rowOff>
    </xdr:from>
    <xdr:to>
      <xdr:col>18</xdr:col>
      <xdr:colOff>373380</xdr:colOff>
      <xdr:row>81</xdr:row>
      <xdr:rowOff>10575</xdr:rowOff>
    </xdr:to>
    <xdr:sp macro="" textlink="'BCKSTG-ANALYSIS'!$M$53">
      <xdr:nvSpPr>
        <xdr:cNvPr id="99" name="CaixaDeTexto 98">
          <a:extLst>
            <a:ext uri="{FF2B5EF4-FFF2-40B4-BE49-F238E27FC236}">
              <a16:creationId xmlns:a16="http://schemas.microsoft.com/office/drawing/2014/main" id="{8432A036-AE5F-8610-2281-7637C7AB8F8F}"/>
            </a:ext>
          </a:extLst>
        </xdr:cNvPr>
        <xdr:cNvSpPr txBox="1"/>
      </xdr:nvSpPr>
      <xdr:spPr>
        <a:xfrm>
          <a:off x="8032794" y="13584554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4D7B95E-C3F4-4EBB-9E53-A3810A14F083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82</xdr:row>
      <xdr:rowOff>1904</xdr:rowOff>
    </xdr:from>
    <xdr:to>
      <xdr:col>18</xdr:col>
      <xdr:colOff>373380</xdr:colOff>
      <xdr:row>84</xdr:row>
      <xdr:rowOff>10575</xdr:rowOff>
    </xdr:to>
    <xdr:sp macro="" textlink="'BCKSTG-ANALYSIS'!$M$54">
      <xdr:nvSpPr>
        <xdr:cNvPr id="100" name="CaixaDeTexto 99">
          <a:extLst>
            <a:ext uri="{FF2B5EF4-FFF2-40B4-BE49-F238E27FC236}">
              <a16:creationId xmlns:a16="http://schemas.microsoft.com/office/drawing/2014/main" id="{803DD1DC-7105-0649-915B-4C9DD3D6C0C7}"/>
            </a:ext>
          </a:extLst>
        </xdr:cNvPr>
        <xdr:cNvSpPr txBox="1"/>
      </xdr:nvSpPr>
      <xdr:spPr>
        <a:xfrm>
          <a:off x="8032794" y="14127479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87E38C2-5674-4B52-B596-14759AEA4635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85</xdr:row>
      <xdr:rowOff>1904</xdr:rowOff>
    </xdr:from>
    <xdr:to>
      <xdr:col>18</xdr:col>
      <xdr:colOff>373380</xdr:colOff>
      <xdr:row>87</xdr:row>
      <xdr:rowOff>9525</xdr:rowOff>
    </xdr:to>
    <xdr:sp macro="" textlink="'BCKSTG-ANALYSIS'!$M$55">
      <xdr:nvSpPr>
        <xdr:cNvPr id="101" name="CaixaDeTexto 100">
          <a:extLst>
            <a:ext uri="{FF2B5EF4-FFF2-40B4-BE49-F238E27FC236}">
              <a16:creationId xmlns:a16="http://schemas.microsoft.com/office/drawing/2014/main" id="{C7318F2E-2F49-96D5-59EF-A3050ACA0CC4}"/>
            </a:ext>
          </a:extLst>
        </xdr:cNvPr>
        <xdr:cNvSpPr txBox="1"/>
      </xdr:nvSpPr>
      <xdr:spPr>
        <a:xfrm>
          <a:off x="8032794" y="14670404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0F0A10C-8D38-44AC-9FF4-1B494FE313AF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88</xdr:row>
      <xdr:rowOff>1904</xdr:rowOff>
    </xdr:from>
    <xdr:to>
      <xdr:col>18</xdr:col>
      <xdr:colOff>373380</xdr:colOff>
      <xdr:row>90</xdr:row>
      <xdr:rowOff>9525</xdr:rowOff>
    </xdr:to>
    <xdr:sp macro="" textlink="'BCKSTG-ANALYSIS'!$M$56">
      <xdr:nvSpPr>
        <xdr:cNvPr id="102" name="CaixaDeTexto 101">
          <a:extLst>
            <a:ext uri="{FF2B5EF4-FFF2-40B4-BE49-F238E27FC236}">
              <a16:creationId xmlns:a16="http://schemas.microsoft.com/office/drawing/2014/main" id="{0D1F9AC2-CEE3-57F8-1EBA-DA62D5F34567}"/>
            </a:ext>
          </a:extLst>
        </xdr:cNvPr>
        <xdr:cNvSpPr txBox="1"/>
      </xdr:nvSpPr>
      <xdr:spPr>
        <a:xfrm>
          <a:off x="8032794" y="15213329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12C836B-2267-4A70-B9C2-6C23BA754513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64</xdr:row>
      <xdr:rowOff>5714</xdr:rowOff>
    </xdr:from>
    <xdr:to>
      <xdr:col>22</xdr:col>
      <xdr:colOff>401955</xdr:colOff>
      <xdr:row>66</xdr:row>
      <xdr:rowOff>4860</xdr:rowOff>
    </xdr:to>
    <xdr:sp macro="" textlink="'BCKSTG-ANALYSIS'!$M$31">
      <xdr:nvSpPr>
        <xdr:cNvPr id="103" name="CaixaDeTexto 102">
          <a:extLst>
            <a:ext uri="{FF2B5EF4-FFF2-40B4-BE49-F238E27FC236}">
              <a16:creationId xmlns:a16="http://schemas.microsoft.com/office/drawing/2014/main" id="{B2ADF632-3FB4-414F-A2E2-FD1F57A03879}"/>
            </a:ext>
          </a:extLst>
        </xdr:cNvPr>
        <xdr:cNvSpPr txBox="1"/>
      </xdr:nvSpPr>
      <xdr:spPr>
        <a:xfrm>
          <a:off x="10004469" y="1087373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AC11479-FEC2-4DC9-8E72-D97A08F05A2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23466,28h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67</xdr:row>
      <xdr:rowOff>5714</xdr:rowOff>
    </xdr:from>
    <xdr:to>
      <xdr:col>22</xdr:col>
      <xdr:colOff>401955</xdr:colOff>
      <xdr:row>69</xdr:row>
      <xdr:rowOff>4860</xdr:rowOff>
    </xdr:to>
    <xdr:sp macro="" textlink="'BCKSTG-ANALYSIS'!$M$32">
      <xdr:nvSpPr>
        <xdr:cNvPr id="104" name="CaixaDeTexto 103">
          <a:extLst>
            <a:ext uri="{FF2B5EF4-FFF2-40B4-BE49-F238E27FC236}">
              <a16:creationId xmlns:a16="http://schemas.microsoft.com/office/drawing/2014/main" id="{911BFAF5-3DC6-34F4-8493-2849BA893470}"/>
            </a:ext>
          </a:extLst>
        </xdr:cNvPr>
        <xdr:cNvSpPr txBox="1"/>
      </xdr:nvSpPr>
      <xdr:spPr>
        <a:xfrm>
          <a:off x="10004469" y="1141666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864035A-6572-4444-8450-F16EB29B799C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5,73h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70</xdr:row>
      <xdr:rowOff>5714</xdr:rowOff>
    </xdr:from>
    <xdr:to>
      <xdr:col>22</xdr:col>
      <xdr:colOff>401955</xdr:colOff>
      <xdr:row>72</xdr:row>
      <xdr:rowOff>3810</xdr:rowOff>
    </xdr:to>
    <xdr:sp macro="" textlink="'BCKSTG-ANALYSIS'!$M$33">
      <xdr:nvSpPr>
        <xdr:cNvPr id="105" name="CaixaDeTexto 104">
          <a:extLst>
            <a:ext uri="{FF2B5EF4-FFF2-40B4-BE49-F238E27FC236}">
              <a16:creationId xmlns:a16="http://schemas.microsoft.com/office/drawing/2014/main" id="{11E0BE74-D1CF-BD73-6023-6BDE591D6158}"/>
            </a:ext>
          </a:extLst>
        </xdr:cNvPr>
        <xdr:cNvSpPr txBox="1"/>
      </xdr:nvSpPr>
      <xdr:spPr>
        <a:xfrm>
          <a:off x="10004469" y="1195958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5E126FD-1F3B-4AB4-B18A-F2A4820927D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99,98%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73</xdr:row>
      <xdr:rowOff>5714</xdr:rowOff>
    </xdr:from>
    <xdr:to>
      <xdr:col>22</xdr:col>
      <xdr:colOff>401955</xdr:colOff>
      <xdr:row>75</xdr:row>
      <xdr:rowOff>3810</xdr:rowOff>
    </xdr:to>
    <xdr:sp macro="" textlink="'BCKSTG-ANALYSIS'!$M$34">
      <xdr:nvSpPr>
        <xdr:cNvPr id="106" name="CaixaDeTexto 105">
          <a:extLst>
            <a:ext uri="{FF2B5EF4-FFF2-40B4-BE49-F238E27FC236}">
              <a16:creationId xmlns:a16="http://schemas.microsoft.com/office/drawing/2014/main" id="{4652E798-22F9-9409-4863-7F0102CFE1BD}"/>
            </a:ext>
          </a:extLst>
        </xdr:cNvPr>
        <xdr:cNvSpPr txBox="1"/>
      </xdr:nvSpPr>
      <xdr:spPr>
        <a:xfrm>
          <a:off x="10004469" y="1250251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CBFFE0C-2A3E-453D-94AF-7ACE4D66E79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99,29%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525189</xdr:colOff>
      <xdr:row>64</xdr:row>
      <xdr:rowOff>13334</xdr:rowOff>
    </xdr:from>
    <xdr:to>
      <xdr:col>25</xdr:col>
      <xdr:colOff>523875</xdr:colOff>
      <xdr:row>66</xdr:row>
      <xdr:rowOff>12480</xdr:rowOff>
    </xdr:to>
    <xdr:sp macro="" textlink="'BCKSTG-ANALYSIS'!$I$42">
      <xdr:nvSpPr>
        <xdr:cNvPr id="111" name="CaixaDeTexto 110">
          <a:extLst>
            <a:ext uri="{FF2B5EF4-FFF2-40B4-BE49-F238E27FC236}">
              <a16:creationId xmlns:a16="http://schemas.microsoft.com/office/drawing/2014/main" id="{05B544A5-3168-024E-56CB-9C24F18F5530}"/>
            </a:ext>
          </a:extLst>
        </xdr:cNvPr>
        <xdr:cNvSpPr txBox="1"/>
      </xdr:nvSpPr>
      <xdr:spPr>
        <a:xfrm>
          <a:off x="11955189" y="1088135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60021F-7E2A-4C2E-8DB1-7B3EE698FDB2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12523,43h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525189</xdr:colOff>
      <xdr:row>67</xdr:row>
      <xdr:rowOff>13334</xdr:rowOff>
    </xdr:from>
    <xdr:to>
      <xdr:col>25</xdr:col>
      <xdr:colOff>523875</xdr:colOff>
      <xdr:row>69</xdr:row>
      <xdr:rowOff>12480</xdr:rowOff>
    </xdr:to>
    <xdr:sp macro="" textlink="'BCKSTG-ANALYSIS'!$I$43">
      <xdr:nvSpPr>
        <xdr:cNvPr id="112" name="CaixaDeTexto 111">
          <a:extLst>
            <a:ext uri="{FF2B5EF4-FFF2-40B4-BE49-F238E27FC236}">
              <a16:creationId xmlns:a16="http://schemas.microsoft.com/office/drawing/2014/main" id="{574F0860-30E9-E8A2-1D1B-6AB5E0BABE12}"/>
            </a:ext>
          </a:extLst>
        </xdr:cNvPr>
        <xdr:cNvSpPr txBox="1"/>
      </xdr:nvSpPr>
      <xdr:spPr>
        <a:xfrm>
          <a:off x="11955189" y="1142428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15F26E6-72D9-4DDD-A2B2-DF8CD90C8D62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4,57h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525189</xdr:colOff>
      <xdr:row>70</xdr:row>
      <xdr:rowOff>13334</xdr:rowOff>
    </xdr:from>
    <xdr:to>
      <xdr:col>25</xdr:col>
      <xdr:colOff>523875</xdr:colOff>
      <xdr:row>72</xdr:row>
      <xdr:rowOff>11430</xdr:rowOff>
    </xdr:to>
    <xdr:sp macro="" textlink="'BCKSTG-ANALYSIS'!$I$44">
      <xdr:nvSpPr>
        <xdr:cNvPr id="113" name="CaixaDeTexto 112">
          <a:extLst>
            <a:ext uri="{FF2B5EF4-FFF2-40B4-BE49-F238E27FC236}">
              <a16:creationId xmlns:a16="http://schemas.microsoft.com/office/drawing/2014/main" id="{BD8B5428-930C-AEB5-26B1-4E120E18BABF}"/>
            </a:ext>
          </a:extLst>
        </xdr:cNvPr>
        <xdr:cNvSpPr txBox="1"/>
      </xdr:nvSpPr>
      <xdr:spPr>
        <a:xfrm>
          <a:off x="11955189" y="1196720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83FEDB2-C646-492A-8BCB-320BFD1E828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99,96%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523284</xdr:colOff>
      <xdr:row>73</xdr:row>
      <xdr:rowOff>20954</xdr:rowOff>
    </xdr:from>
    <xdr:to>
      <xdr:col>25</xdr:col>
      <xdr:colOff>521970</xdr:colOff>
      <xdr:row>75</xdr:row>
      <xdr:rowOff>19050</xdr:rowOff>
    </xdr:to>
    <xdr:sp macro="" textlink="'BCKSTG-ANALYSIS'!$I$45">
      <xdr:nvSpPr>
        <xdr:cNvPr id="114" name="CaixaDeTexto 113">
          <a:extLst>
            <a:ext uri="{FF2B5EF4-FFF2-40B4-BE49-F238E27FC236}">
              <a16:creationId xmlns:a16="http://schemas.microsoft.com/office/drawing/2014/main" id="{CCB30D10-255C-DEFE-074D-3DE5C414130F}"/>
            </a:ext>
          </a:extLst>
        </xdr:cNvPr>
        <xdr:cNvSpPr txBox="1"/>
      </xdr:nvSpPr>
      <xdr:spPr>
        <a:xfrm>
          <a:off x="11953284" y="1251775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42BD266-A2D3-4B47-A077-4C82395E5797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5</xdr:row>
      <xdr:rowOff>54492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03C2150-8CB6-480F-A7B2-B966ED1BA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4300"/>
          <a:ext cx="1828800" cy="75362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0</xdr:row>
      <xdr:rowOff>93345</xdr:rowOff>
    </xdr:from>
    <xdr:to>
      <xdr:col>5</xdr:col>
      <xdr:colOff>440055</xdr:colOff>
      <xdr:row>5</xdr:row>
      <xdr:rowOff>91844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C6126D79-E8FA-495D-BE9F-A1C439F9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3345"/>
          <a:ext cx="763905" cy="8081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enison do nascimento" refreshedDate="46041.734759837964" createdVersion="8" refreshedVersion="8" minRefreshableVersion="3" recordCount="210" xr:uid="{D4F93EB8-AF03-48E4-A5DD-8AD799EE6654}">
  <cacheSource type="worksheet">
    <worksheetSource name="Tabela1"/>
  </cacheSource>
  <cacheFields count="12">
    <cacheField name="Data da Ocorrência" numFmtId="14">
      <sharedItems containsNonDate="0" containsDate="1" containsString="0" containsBlank="1" minDate="1904-08-18T00:00:00" maxDate="2026-01-21T00:00:00" count="87"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13T00:00:00"/>
        <d v="2023-03-23T00:00:00"/>
        <d v="2023-03-30T00:00:00"/>
        <d v="2023-04-20T00:00:00"/>
        <d v="2023-04-25T00:00:00"/>
        <d v="2023-04-26T00:00:00"/>
        <d v="2023-04-27T00:00:00"/>
        <d v="2023-05-10T00:00:00"/>
        <d v="2023-05-18T00:00:00"/>
        <d v="2023-05-25T00:00:00"/>
        <d v="2023-05-26T00:00:00"/>
        <d v="2023-06-07T00:00:00"/>
        <d v="2023-06-15T00:00:00"/>
        <d v="2023-06-29T00:00:00"/>
        <d v="2023-06-30T00:00:00"/>
        <d v="2023-07-24T00:00:00"/>
        <d v="2023-07-25T00:00:00"/>
        <d v="2023-07-26T00:00:00"/>
        <d v="2023-07-27T00:00:00"/>
        <d v="2023-07-28T00:00:00"/>
        <d v="2023-10-05T00:00:00"/>
        <d v="2023-10-06T00:00:00"/>
        <d v="2023-10-10T00:00:00"/>
        <d v="2023-10-11T00:00:00"/>
        <d v="2024-01-03T00:00:00"/>
        <d v="2024-01-04T00:00:00"/>
        <d v="2024-01-05T00:00:00"/>
        <d v="2024-01-10T00:00:00"/>
        <d v="2024-01-11T00:00:00"/>
        <d v="2024-01-16T00:00:00"/>
        <d v="2024-01-23T00:00:00"/>
        <d v="2024-01-25T00:00:00"/>
        <d v="2024-01-26T00:00:00"/>
        <d v="2024-07-16T00:00:00"/>
        <d v="2024-08-07T00:00:00"/>
        <d v="2024-08-16T00:00:00"/>
        <d v="2024-08-17T00:00:00"/>
        <d v="2024-08-18T00:00:00"/>
        <d v="2024-08-19T00:00:00"/>
        <d v="2024-10-22T00:00:00"/>
        <d v="2024-10-23T00:00:00"/>
        <d v="2024-10-25T00:00:00"/>
        <d v="2024-10-29T00:00:00"/>
        <d v="2024-11-04T00:00:00"/>
        <d v="2024-11-07T00:00:00"/>
        <d v="2025-02-04T00:00:00"/>
        <d v="2025-02-05T00:00:00"/>
        <d v="2025-03-18T00:00:00"/>
        <d v="2025-04-08T00:00:00"/>
        <d v="2025-05-12T00:00:00"/>
        <d v="2025-05-13T00:00:00"/>
        <d v="2025-05-14T00:00:00"/>
        <d v="2025-05-27T00:00:00"/>
        <d v="2025-06-03T00:00:00"/>
        <d v="2025-06-04T00:00:00"/>
        <d v="2025-08-05T00:00:00"/>
        <d v="2025-08-06T00:00:00"/>
        <d v="2025-08-15T00:00:00"/>
        <d v="2025-09-11T00:00:00"/>
        <d v="2025-10-14T00:00:00"/>
        <d v="2025-10-15T00:00:00"/>
        <d v="2025-11-18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m/>
        <d v="2023-05-17T00:00:00" u="1"/>
        <d v="1904-08-18T00:00:00" u="1"/>
        <d v="2025-02-06T00:00:00" u="1"/>
      </sharedItems>
    </cacheField>
    <cacheField name="Estrutura" numFmtId="0">
      <sharedItems containsBlank="1" count="22">
        <s v="SE-E1. DJ6-02 - VÃO BX"/>
        <s v="SE-E3. DJ6-03 - VÃO BX"/>
        <s v="SE-E5. DJ4-02 - VÃO AY"/>
        <s v="SE-E2. DJ6-03 - VÃO BX"/>
        <s v="SE-E4. DJ6-03 - VÃO BX"/>
        <s v="SE-E6. DJ6-01 - VÃO AX"/>
        <s v="SE-E6. DJ4-02 - VÃO AZ - RAMAL DO AGRESTE"/>
        <s v="SE-E6. DJ4-06 - VÃO CZ"/>
        <s v="SE-E4. DJ6-02 - VÃO AY"/>
        <s v="PONTO DE CONEXÃO 04P2"/>
        <s v="SE-E3. DJ6-02 - VÃO AY"/>
        <s v="SE-E2. DJ6-02 - VÃO AY"/>
        <s v="SE-E6. DJ6-03 - VÃO BX"/>
        <s v="SE-E4. DJ6-04 - VÃO BY - REATOR"/>
        <s v="SE-E4. DJ6-01 - VÃO AX"/>
        <s v="SE-E1. 289-01 - &quot;VÃO BX&quot; - LINK 6,9 kV - EBV-01"/>
        <s v="SE-E2. 289-01 - &quot;VÃO BX&quot; - LINK 6,9 kV - EBV-02"/>
        <s v="SE-E3. 289-01 - &quot;VÃO BX&quot; - LINK 6,9 kV - EBV-03"/>
        <s v="SE-E4. 289-01 - &quot;VÃO BX&quot; - LINK 6,9 kV - EBV-04"/>
        <s v="SE-E5. 289-01 - &quot;VÃO BX&quot; - LINK 6,9 kV - EBV-05"/>
        <s v="SE-E6. 289-01 - &quot;VÃO BX&quot; - LINK 6,9 kV - EBV-06"/>
        <m/>
      </sharedItems>
    </cacheField>
    <cacheField name="Nome Reduzido" numFmtId="0">
      <sharedItems/>
    </cacheField>
    <cacheField name="Contagem de Ocorrências" numFmtId="0">
      <sharedItems containsSemiMixedTypes="0" containsString="0" containsNumber="1" containsInteger="1" minValue="0" maxValue="4"/>
    </cacheField>
    <cacheField name="Tipo" numFmtId="0">
      <sharedItems containsBlank="1" count="3">
        <s v="PROGRAMADA"/>
        <s v="FORÇADA"/>
        <m/>
      </sharedItems>
    </cacheField>
    <cacheField name="Início" numFmtId="164">
      <sharedItems containsNonDate="0" containsDate="1" containsString="0" containsBlank="1" minDate="1899-12-30T00:00:00" maxDate="3134-05-10T13:00:00"/>
    </cacheField>
    <cacheField name="Término" numFmtId="164">
      <sharedItems containsNonDate="0" containsDate="1" containsString="0" containsBlank="1" minDate="1899-12-30T09:13:00" maxDate="3134-05-10T16:00:00"/>
    </cacheField>
    <cacheField name="Duração da Parada (h)" numFmtId="166">
      <sharedItems containsMixedTypes="1" containsNumber="1" minValue="0" maxValue="23.999722222222225"/>
    </cacheField>
    <cacheField name="Tempo em Funcionamento (h)" numFmtId="166">
      <sharedItems containsMixedTypes="1" containsNumber="1" minValue="2.7777777777515666E-4" maxValue="24"/>
    </cacheField>
    <cacheField name="Descriminação" numFmtId="0">
      <sharedItems containsBlank="1" longText="1"/>
    </cacheField>
    <cacheField name="Indisponibilidade" numFmtId="0" formula="('Duração da Parada (h)'/24)*100" databaseField="0"/>
    <cacheField name="Disponibilidade" numFmtId="0" formula="ABS(Indisponibilidade- 100)" databaseField="0"/>
  </cacheFields>
  <extLst>
    <ext xmlns:x14="http://schemas.microsoft.com/office/spreadsheetml/2009/9/main" uri="{725AE2AE-9491-48be-B2B4-4EB974FC3084}">
      <x14:pivotCacheDefinition pivotCacheId="4947484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SE-E1"/>
    <n v="1"/>
    <x v="0"/>
    <d v="1899-12-30T19:43:00"/>
    <d v="1899-12-30T23:59:59"/>
    <n v="4.2830555555555572"/>
    <n v="19.716944444444444"/>
    <s v="Período: 17/02/2023 (19h43) a 01/03/2023 (11h13)_x000a_Causa: Ocorrência no ramal 6,9kV no interior da EBV-1. Na ocasião, foi realizada inspeção no transformador 6TR1 do vão BX, disjuntor DJ6-02 e cubículo 6,9 kV."/>
  </r>
  <r>
    <x v="1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2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3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4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5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6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7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8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9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10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10"/>
    <x v="1"/>
    <s v="SE-E3"/>
    <n v="1"/>
    <x v="0"/>
    <d v="2023-02-27T10:05:00"/>
    <d v="2023-02-27T16:06:00"/>
    <n v="6.0166666665463708"/>
    <n v="17.983333333453629"/>
    <s v="Período: 27/02/2023 (10h05) a 27/02/2023 (16h06), Fixação dos condutores do link 6,9kV na EBV-03&gt; Na ocasião foi realizada a inspeção no transformador 6TR1 do vão BX, disjuntor DJ6-03 e cubículo 6,9 kV."/>
  </r>
  <r>
    <x v="10"/>
    <x v="2"/>
    <s v="SE-E5"/>
    <n v="1"/>
    <x v="0"/>
    <d v="3131-08-14T06:00:00"/>
    <d v="3131-08-14T15:43:00"/>
    <n v="9.7166666644625366"/>
    <n v="14.283333335537463"/>
    <s v="Manobra autorizada pelo Eng: Fabio,  foram abertos os Disjuntores DJ4-02 E DJ4-01._x000a_Manobra realizada Para retirada de resíduos de ninho no 4TR1."/>
  </r>
  <r>
    <x v="11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11"/>
    <x v="3"/>
    <s v="SE-E2"/>
    <n v="1"/>
    <x v="0"/>
    <d v="3131-08-24T09:11:00"/>
    <d v="3131-08-24T16:31:00"/>
    <n v="7.3333333432674408"/>
    <n v="16.666666656732559"/>
    <s v="Período: 28/02/2023 (09h11) a 28/02/2023 (16h31)_x000a_Causa: Fixação dos condutores do link 6,9 kV no interior da EBV-2. Na ocasião foi realizada inspeção no transformador 6TR1 do vão BX, disjuntor DJ6-03 e cubículo de 6,9 kV. Também foi realizada a retirada de ninho de pássaro nos TCs no secundário do transformador 6TR1."/>
  </r>
  <r>
    <x v="12"/>
    <x v="0"/>
    <s v="SE-E1"/>
    <n v="1"/>
    <x v="0"/>
    <d v="1899-12-30T00:00:00"/>
    <d v="1899-12-30T11:13:00"/>
    <n v="11.216666666666667"/>
    <n v="12.783333333333333"/>
    <s v="Ocorrência no ramal 6,9kV no interior da EBV-1. Na ocasião, foi realizada inspeção no transformador 6TR1 do vão BX, disjuntor DJ6-02 e cubículo 6,9 kV."/>
  </r>
  <r>
    <x v="13"/>
    <x v="1"/>
    <s v="SE-E3"/>
    <n v="1"/>
    <x v="0"/>
    <d v="3131-09-13T09:26:00"/>
    <d v="3131-09-13T10:40:00"/>
    <n v="1.2333333352580667"/>
    <n v="22.766666664741933"/>
    <s v=" Fixação dos condutores do link 6,9kV na EBV-03&gt; Na ocasião foi realizada a inspeção no transformador 6TR1 do vão BX, disjuntor DJ6-03 e cubículo 6,9 kV."/>
  </r>
  <r>
    <x v="14"/>
    <x v="4"/>
    <s v="SE-E4"/>
    <n v="1"/>
    <x v="0"/>
    <d v="3132-01-01T09:00:00"/>
    <d v="3132-01-01T13:57:00"/>
    <n v="4.9499999997206032"/>
    <n v="19.050000000279397"/>
    <s v="Com autorização do Eng. Adriano, foi realizado a manobra de desligamento da EBV-4 , sendo abertos DJ1-01 Cubiculo 6.9 Kv, DJ6-03 e SD6-03 para a realização da manobra. "/>
  </r>
  <r>
    <x v="15"/>
    <x v="5"/>
    <s v="SE-E6"/>
    <n v="1"/>
    <x v="0"/>
    <d v="3132-04-10T13:27:00"/>
    <d v="3132-04-10T14:32:00"/>
    <n v="1.0833333372138441"/>
    <n v="22.916666662786156"/>
    <s v="Manobra autoriza pelo Eng: Fábio, Desenergizado o link de 6.9KV entre SE-E6/EBV-6. _x000a_Manobra de desenergização do Vão AX, DJ1-01, DJ6-01 e a  chave seccionadora SB6-01 ._x000a_Manutenção do transformador 6TR5. "/>
  </r>
  <r>
    <x v="16"/>
    <x v="6"/>
    <s v="SE-E6"/>
    <n v="1"/>
    <x v="1"/>
    <d v="1899-12-30T00:00:00"/>
    <d v="1899-12-30T23:59:59"/>
    <n v="23.999722222222225"/>
    <n v="2.7777777777515666E-4"/>
    <s v="Trip no disjuntor DJ4-02 da LT Ramal do agreste. Manobra de energização do vão AZ foi fechado o disjuntor DJ4-02 às 15h:37m da LT Ramal do agreste. "/>
  </r>
  <r>
    <x v="17"/>
    <x v="6"/>
    <s v="SE-E6"/>
    <n v="1"/>
    <x v="0"/>
    <d v="3133-01-15T08:17:00"/>
    <d v="3133-01-15T12:01:00"/>
    <n v="3.7333333441056311"/>
    <n v="20.266666655894369"/>
    <s v="Manobra autoriza pelo Eng: Fábio, disjuntor DJ4-02 Desenergizando e LT Ramal do agreste vão AZ. Manobra programada, Manutenção na SE-E7."/>
  </r>
  <r>
    <x v="18"/>
    <x v="2"/>
    <s v="SE-E5"/>
    <n v="1"/>
    <x v="0"/>
    <d v="3133-03-06T08:35:00"/>
    <d v="3133-03-06T12:01:00"/>
    <n v="3.4333333438262343"/>
    <n v="20.566666656173766"/>
    <s v="Manobra autorizada pelo Eng: Fábio, foram aberto o Disjuntores DJ4-02, DJ4-01 E A SD4-01._x000a_Manobra programa para retirada de resíduos de ninhos nas torres ."/>
  </r>
  <r>
    <x v="18"/>
    <x v="7"/>
    <s v="SE-E6"/>
    <n v="1"/>
    <x v="0"/>
    <d v="3133-03-06T08:51:00"/>
    <d v="3133-03-06T11:55:00"/>
    <n v="3.0666666473262012"/>
    <n v="20.933333352673799"/>
    <s v="Manobra autoriza pelo Eng: Fábio, Desenergizado a LT SE-E6/SE-E5 vão CZ. Foi aberto o disjuntor DJ4-06 e seccionadora SD4-06.  Manobra programada, Manutenção na SE-E5. "/>
  </r>
  <r>
    <x v="19"/>
    <x v="5"/>
    <s v="SE-E6"/>
    <n v="1"/>
    <x v="0"/>
    <d v="3133-03-16T08:55:00"/>
    <d v="3133-03-16T12:23:00"/>
    <n v="3.4666666807606816"/>
    <n v="20.533333319239318"/>
    <s v="Manobra autoriza pelo Eng: Fábio, Desenergizado o link de 6.9KV vão AX. Manobra de Desenergização, disjuntor DJ1-01 e o disjuntor DJ6-01._x000a_Manobra programada _x000a_Manutenção e limpeza dos cubículo."/>
  </r>
  <r>
    <x v="20"/>
    <x v="4"/>
    <s v="SE-E4"/>
    <n v="1"/>
    <x v="0"/>
    <d v="3133-03-26T09:30:00"/>
    <d v="3133-03-26T16:00:00"/>
    <n v="6.4999999911524355"/>
    <n v="17.500000008847564"/>
    <s v="Manutenção programada conforme NC_x000a_Foi realizado a limpeza no cubículo de 6.9kv_x000a_DJ1-01 CUBÍCULO 6.9kv)"/>
  </r>
  <r>
    <x v="21"/>
    <x v="4"/>
    <s v="SE-E4"/>
    <n v="1"/>
    <x v="0"/>
    <d v="3133-08-03T08:45:00"/>
    <d v="3133-08-03T10:10:00"/>
    <n v="1.4166666716337204"/>
    <n v="22.58333332836628"/>
    <s v="Retirada do ninho da chave 289-01 e inspeção nas buchas do 6TR1._x000a_Com autorização do Eng.Fábio foi realizado as seguintes manobras: DJ1-01 08:43 (CUBÍCULO 6.9kv)_x000a_DJ6-03 08:45 (VÃO BX)."/>
  </r>
  <r>
    <x v="22"/>
    <x v="2"/>
    <s v="SE-E5"/>
    <n v="1"/>
    <x v="0"/>
    <d v="3133-10-22T08:30:00"/>
    <d v="3133-10-22T16:27:00"/>
    <n v="7.9499999997206032"/>
    <n v="16.050000000279397"/>
    <s v="Manobra autorizada pelo Eng: Fabio, foram aberto os Disjuntores DJ4-02 E DJ4-01._x000a_Manobra Programada para a retirada de resíduos de ninho nas estruturas."/>
  </r>
  <r>
    <x v="22"/>
    <x v="7"/>
    <s v="SE-E6"/>
    <n v="1"/>
    <x v="0"/>
    <d v="3133-10-22T08:28:00"/>
    <d v="3133-10-22T15:45:00"/>
    <n v="7.2833333518356085"/>
    <n v="16.716666648164392"/>
    <s v="Manobra autoriza pelo Eng: Fábio, Desenergizado da SE-E6 Vãos: AX,BX,CX,AY,BY,AW,CW,AZ,BZ e CZ. Foram aberto os disjuntores: DJ4-06, DJ4-02, DJ4-01, DJ6-04, DJ6-02, DJ1-01, DJ6-01, DJ6-05 e DJ6-03 às 08h:30m _x000a_ Foi aberto a seccionadora SD4-06 às 08h:28m._x000a_Manobra programada. _x000a_Para retirar resíduos de ninho nas chave seccionadora, limpeza do TC do vão BX Fase B e regulagem dos braços móveis das Seccionadoras SD4-06 e CA4-06. "/>
  </r>
  <r>
    <x v="22"/>
    <x v="8"/>
    <s v="SE-E4"/>
    <n v="1"/>
    <x v="0"/>
    <d v="3133-10-22T09:34:00"/>
    <d v="3133-10-22T15:24:00"/>
    <n v="5.833333320915699"/>
    <n v="18.166666679084301"/>
    <s v="Manutenção programada na SE-E5 e na SE-E6._x000a_Para realizar as seguintes atividades:_x000a_SE-E5 retirada de ninhos _x000a_SE-E6 retirada de ninhos e reajustes na chave seccionadora SD4-06 (VÃO CZ) e manutenção no 6TR5._x000a_Foi solicitado pelo técnico Iranilson a desenergizacao da LT SEE4 a SEE6.  _x000a_DJ6-02  (VÃO AY)_x000a_SD6-02  (VÃO AY)_x000a_Foi fechado a chave CA6-02  (VÃO AY)"/>
  </r>
  <r>
    <x v="23"/>
    <x v="4"/>
    <s v="SE-E4"/>
    <n v="1"/>
    <x v="0"/>
    <d v="3133-12-31T09:09:00"/>
    <d v="3133-12-31T09:58:00"/>
    <n v="0.81666664872318506"/>
    <n v="23.183333351276815"/>
    <s v="Retirada do ninho da chave 289-01 e inspeção nas buchas do 6TR1._x000a_Com autorização do Eng.Fábio foi realizado as seguintes manobras. DJ1-01  (CUBÍCULO 6.9kv)_x000a_DJ6-03 (VÃO BX)"/>
  </r>
  <r>
    <x v="24"/>
    <x v="6"/>
    <s v="SE-E6"/>
    <n v="1"/>
    <x v="0"/>
    <d v="3134-01-10T08:47:00"/>
    <d v="3134-01-10T14:14:00"/>
    <n v="5.4499999922700226"/>
    <n v="18.550000007729977"/>
    <s v="Manobra autoriza pelo Eng: Fábio, Desenergização do vão AZ que alimenta o Ramal do agreste. Foi aberto o disjuntor DJ4-02, como também aberto as chaves Seccionadoras SD4-02 e SB4-02 e fechado a chave de aterramento CA4-02._x000a_Manobra programada. _x000a_Troca do conector de derivação T cabo-cabo da fase B do vão AZ e realizado  torqueamento dos conectores de derivação das fases A,B e C e realizado o teste de resistência com homimetro das Fase A,B e C do vão AZ. "/>
  </r>
  <r>
    <x v="25"/>
    <x v="2"/>
    <s v="SE-E5"/>
    <n v="1"/>
    <x v="0"/>
    <d v="3134-05-10T07:30:00"/>
    <d v="3134-05-10T11:00:00"/>
    <n v="3.4999999925494194"/>
    <n v="20.500000007450581"/>
    <s v="Inspeção e manutenção preventiva nos cabos isolados de alimntação da EBV5."/>
  </r>
  <r>
    <x v="25"/>
    <x v="5"/>
    <s v="SE-E6"/>
    <n v="1"/>
    <x v="0"/>
    <d v="3134-05-10T13:00:00"/>
    <d v="3134-05-10T16:00:00"/>
    <n v="3"/>
    <n v="21"/>
    <s v="Inspeção e manutenção preventiva nos cabos isolados de alimntação da EBV6."/>
  </r>
  <r>
    <x v="26"/>
    <x v="2"/>
    <s v="SE-E5"/>
    <n v="1"/>
    <x v="0"/>
    <d v="1899-12-30T10:00:00"/>
    <d v="1899-12-30T17:00:00"/>
    <n v="7"/>
    <n v="17"/>
    <s v="Manutenção preventiva/ corretiva- manutenção na selenoide do mecanismo de acionamento da chave 289-01"/>
  </r>
  <r>
    <x v="27"/>
    <x v="9"/>
    <s v="PONTO"/>
    <n v="1"/>
    <x v="0"/>
    <d v="1899-12-30T08:00:00"/>
    <d v="1899-12-30T17:00:00"/>
    <n v="9.0000000000000018"/>
    <n v="14.999999999999998"/>
    <s v="Desligamento para Manutenção na SE-E0 a pedido da Chesf. Como também manutenção preventiva- Disjuntores/Chaves/Para- ráios/TPs/TCs FTB04p2(SE-E0). Das Se E1.¨E manutenção preventiva- Disjuntores/Chaves/Para- ráios/TPs/TCs, DJ6-03 vão BX,DJ6-02 vão AY da SE-E4."/>
  </r>
  <r>
    <x v="28"/>
    <x v="9"/>
    <s v="PONTO"/>
    <n v="1"/>
    <x v="0"/>
    <d v="1899-12-30T08:00:00"/>
    <d v="1899-12-30T17:00:00"/>
    <n v="9.0000000000000018"/>
    <n v="14.999999999999998"/>
    <s v="Desligamento para Manutenção na SE-E0 a pedido da Chesf. Como também manutenção preventiva- Disjuntores/Chaves/Para- ráios/TPs/TCs FTB04p2(SE-E0). Das Se E1. Manutenção preventiva- Disjuntores/Chaves/Para- ráios/TPs/TCs, DJ6-01 vão AX,DJ4-06 vão CZ e DJ4-02 vão AZ- RAMAL DO AGRESTE da SE-E6"/>
  </r>
  <r>
    <x v="29"/>
    <x v="0"/>
    <s v="SE-E1"/>
    <n v="1"/>
    <x v="0"/>
    <d v="1899-12-30T07:00:00"/>
    <d v="1899-12-30T17:00:00"/>
    <n v="10"/>
    <n v="14"/>
    <s v="Manutenção preventiva/ corretiva, testes de microhomímentro, regulagem de chave secc e aterramento."/>
  </r>
  <r>
    <x v="30"/>
    <x v="0"/>
    <s v="SE-E1"/>
    <n v="1"/>
    <x v="0"/>
    <d v="1899-12-30T07:00:00"/>
    <d v="1899-12-30T17:00:00"/>
    <n v="10"/>
    <n v="14"/>
    <s v="Manutenção preventiva/ corretiva, testes de microhomímentro, regulagem de chave secc e aterramento."/>
  </r>
  <r>
    <x v="31"/>
    <x v="0"/>
    <s v="SE-E1"/>
    <n v="1"/>
    <x v="0"/>
    <d v="1899-12-30T07:00:00"/>
    <d v="1899-12-30T17:00:00"/>
    <n v="10"/>
    <n v="14"/>
    <s v="Manutenção preventiva/ corretiva, testes de microhomímentro, regulagem de chave secc e aterramento."/>
  </r>
  <r>
    <x v="32"/>
    <x v="3"/>
    <s v="SE-E2"/>
    <n v="1"/>
    <x v="0"/>
    <d v="1899-12-30T08:00:00"/>
    <d v="1899-12-30T17:30:00"/>
    <n v="9.5"/>
    <n v="14.5"/>
    <s v="Realizar inspeção, limpeza, ensaios e reapertos na chave seccionadora 289-1. Realizar inspeção e limpeza no cubículo 6,9 kV. Inspeção ramal 6,9kV na entrada da EBV-2."/>
  </r>
  <r>
    <x v="33"/>
    <x v="1"/>
    <s v="SE-E3"/>
    <n v="1"/>
    <x v="0"/>
    <d v="1899-12-30T08:00:00"/>
    <d v="1899-12-30T16:00:00"/>
    <n v="8"/>
    <n v="16"/>
    <s v="Realizar inspeção, limpeza, ensaios e reapertos na chave seccionadora 289-1. Realizar inspeção e limpeza no cubículo 6,9 kV. Inspeção ramal 6,9kV na entrada da EBV-3."/>
  </r>
  <r>
    <x v="34"/>
    <x v="0"/>
    <s v="SE-E1"/>
    <n v="1"/>
    <x v="0"/>
    <d v="1899-12-30T08:10:00"/>
    <d v="1899-12-30T14:03:00"/>
    <n v="5.8833333333333346"/>
    <n v="18.116666666666667"/>
    <s v="1-Realizar inspeção, limpeza, reaperto das buchas do 6TR1. _x000a_2-Realizar inspeção e limpeza no cubículo 6,9 kV;_x000a_3-Inspeção ramal 6,9 kV na entrada da EBV-1;_x000a_4- Inspeção, limpeza e reperto das caixas dos TP e TC. (Equipamento(s):  DJ6-01, 6TR1, Cubiculos 6.9Kv, caixas dos TP e TC)."/>
  </r>
  <r>
    <x v="35"/>
    <x v="0"/>
    <s v="SE-E1"/>
    <n v="1"/>
    <x v="0"/>
    <d v="1899-12-30T07:32:00"/>
    <d v="1899-12-30T15:50:00"/>
    <n v="8.3000000000000007"/>
    <n v="15.7"/>
    <s v="1-Realizar inspeção, limpeza e reaperto dos paineis SD6-01,SB6-01, SD6-02,SB6-02, SV6-01,SV6-02. _x000a_2-Realizar aspiração e limpeza e reaperto nos paineis DJ6-01, DJ6-02."/>
  </r>
  <r>
    <x v="36"/>
    <x v="4"/>
    <s v="SE-E4"/>
    <n v="1"/>
    <x v="0"/>
    <d v="1899-12-30T09:43:00"/>
    <d v="1899-12-30T13:24:00"/>
    <n v="3.6833333333333336"/>
    <n v="20.316666666666666"/>
    <s v="1- Realizado limpeza e Reaperto do cubículo de 6.9kv._x000a_2 Realizado Reaperto e limpeza do painel do 6TR1 e da caixa do TC do secundário._x000a_3 -  Realizado recarga de gás  SF6 nos polos do disjuntor DJ6-03 polo B e C._x000a_4- Retirada de ninho da chave 289-01._x000a_5- Reaperto nas buchas do transformador 6TR1._x000a_6- Limpeza na tubulação e parte externa do relé buchhols do transformador 6TR1._x000a_7- Realizado inspeção na chegada da linha de 6.9kv na EBV4 e nas muflas._x000a_8- Realizado teste de resistência nos contatos na                seccionadora 289-01  antes e depois da limpeza._x000a_9- Realizado ajuste na chave 289-01."/>
  </r>
  <r>
    <x v="37"/>
    <x v="2"/>
    <s v="SE-E5"/>
    <n v="1"/>
    <x v="0"/>
    <d v="1899-12-30T08:27:00"/>
    <d v="1899-12-30T11:42:00"/>
    <n v="3.2500000000000004"/>
    <n v="20.75"/>
    <s v="Manutenção no link de 6.9KV, na ocasião foi realizado limpeza e reaperto nos conectores dos cubículos, chaves Seccionadoras 289-01, SB4-01, SB4-02, SD4-02, transformador 4TR1 e TC e na chegada da EBV-5. Foram retirado também resíduos de ninho das chaves Seccionadoras SB4-02, SD4-02 e na estrutura de Barramento."/>
  </r>
  <r>
    <x v="37"/>
    <x v="5"/>
    <s v="SE-E6"/>
    <n v="1"/>
    <x v="0"/>
    <d v="1899-12-30T13:22:00"/>
    <d v="1899-12-30T16:10:00"/>
    <n v="2.8000000000000007"/>
    <n v="21.2"/>
    <s v="Manutenção no link de 6.9KV, na ocasião foi realizado limpeza e reaperto nos conectores dos cubículos, chaves Seccionadoras 289-01, transformador 6TR5 e na chegada da EBV-6. Foram retirado também resíduos de ninho das chave Seccionadora SD6-01, SB6-01, SB6-04, SD6-02 e SB6-05. Foi corrigido a ponta do cabo que estava irregular no Polo A da chave seccionadora 289-01. "/>
  </r>
  <r>
    <x v="38"/>
    <x v="0"/>
    <s v="SE-E1"/>
    <n v="1"/>
    <x v="0"/>
    <d v="1899-12-30T07:35:00"/>
    <d v="1899-12-30T18:10:00"/>
    <n v="10.583333333333336"/>
    <n v="13.416666666666664"/>
    <s v="1-Realizar inspeção, limpeza e reaperto dos paineis  DJ1-01, 501-01, SB1-01, DJ1-02. OBS. As atividades supracitadas serão realizadas em sequencias, como citadas, sendo realizado o aterramento provisório na saida do trafo 6TR1.(Equipamento(s):  DJ6-03, SD6-03, SY6-03). Obs: Solicitação pelo COP para limpeza das muflas e inspeção anual do ramal de entrada da EBV-01."/>
  </r>
  <r>
    <x v="39"/>
    <x v="1"/>
    <s v="SE-E3"/>
    <n v="1"/>
    <x v="0"/>
    <d v="1899-12-30T07:35:00"/>
    <d v="1899-12-30T18:10:00"/>
    <n v="10.583333333333336"/>
    <n v="13.416666666666664"/>
    <s v="1-Realizar inspeção, limpeza e reaperto dos paineis  DJ1-01, 501-01, SB1-01, DJ1-02. As atividades supracitadas serão realizadas em sequencias, como citadas, sendo realizado o aterramento provisório na saida do trafo 6TR1.(Equipamento(s):  DJ6-03, SD6-03, SY6-03). Obs:Solicitação pelo COP para limpeza das muflas e inspeção anual do ramal de entrada da EBV-03."/>
  </r>
  <r>
    <x v="40"/>
    <x v="3"/>
    <s v="SE-E2"/>
    <n v="1"/>
    <x v="0"/>
    <d v="1899-12-30T07:35:00"/>
    <d v="1899-12-30T18:10:00"/>
    <n v="10.583333333333336"/>
    <n v="13.416666666666664"/>
    <s v="1-Realizar inspeção, limpeza e reaperto dos paineis  DJ1-01, 501-01, SB1-01, DJ1-02. As atividades supracitadas serão realizadas em sequencias, como citadas, sendo realizado o aterramento provisório na saida do trafo 6TR1.(Equipamento(s):  DJ6-03, SD6-03, SY6-03).Obs: Solicitação pelo COP para limpeza das muflas e inspeção anual do ramal de entrada da EBV-02."/>
  </r>
  <r>
    <x v="41"/>
    <x v="2"/>
    <s v="SE-E5"/>
    <n v="1"/>
    <x v="0"/>
    <d v="1899-12-30T08:40:00"/>
    <d v="1899-12-30T19:32:00"/>
    <n v="10.866666666666669"/>
    <n v="13.133333333333331"/>
    <s v="Inspeção e regulagem das seccionaodras SD4-01/SB4-01/SB4-02 - inspeção e limpeza da seccionaodora 289-1 e inpseção e limpeza das buchas de alta e baixa, de toda tubulação de óleo do 6TR1 - Inspeção e limpeza dos TCs e TPs.(Obs: Solicitação pelo COP para limpeza das mulfas e inspeção anual do ramal de entrada da EBV-05)."/>
  </r>
  <r>
    <x v="42"/>
    <x v="7"/>
    <s v="SE-E6"/>
    <n v="1"/>
    <x v="0"/>
    <d v="1899-12-30T08:20:00"/>
    <d v="1899-12-30T15:42:00"/>
    <n v="7.3666666666666654"/>
    <n v="16.633333333333333"/>
    <s v=" Inspeção e limpeza da seccionaodora 289-1 e inpseção e limpeza das buchas de alta e baixa, de toda tubulação de óleo do 6TR5.(Obs: Solicitação pelo COP para limpeza das mulfas e inspeção anual do ramal de entrada da EBV-06)."/>
  </r>
  <r>
    <x v="43"/>
    <x v="6"/>
    <s v="SE-E6"/>
    <n v="1"/>
    <x v="0"/>
    <d v="1899-12-30T08:00:00"/>
    <d v="1899-12-30T09:13:00"/>
    <n v="1.2166666666666677"/>
    <n v="22.783333333333331"/>
    <s v="Desnergização para limpeza da vegetação rasteira da SE-E07."/>
  </r>
  <r>
    <x v="44"/>
    <x v="2"/>
    <s v="SE-E5"/>
    <n v="1"/>
    <x v="0"/>
    <d v="1899-12-30T08:30:00"/>
    <d v="1899-12-30T17:30:00"/>
    <n v="8.9999999999999982"/>
    <n v="15.000000000000002"/>
    <s v="Foram realizado ajustes e limpeza dos contatos das chave 289-01, SY4-02 SY4-01, SB4-02 e abertura da chave elo fusível no religador de 13,8kV._x000a_Retirada de resíduos de ninho na estrutura da SY4-01 e nos polos da SY4-01 e  SY4-02."/>
  </r>
  <r>
    <x v="45"/>
    <x v="4"/>
    <s v="SE-E4"/>
    <n v="1"/>
    <x v="0"/>
    <d v="1899-12-30T07:23:00"/>
    <d v="1899-12-30T18:11:00"/>
    <n v="10.799999999999999"/>
    <n v="13.200000000000001"/>
    <s v="Retirada de ninhos, inspeção indicador de nível de óleo 6TR1 e inspeção relé Buchholz 6TR1,6RE1."/>
  </r>
  <r>
    <x v="45"/>
    <x v="2"/>
    <s v="SE-E5"/>
    <n v="1"/>
    <x v="0"/>
    <d v="1899-12-30T07:14:00"/>
    <d v="1899-12-30T18:25:00"/>
    <n v="11.183333333333335"/>
    <n v="12.816666666666665"/>
    <s v="Retirada de resíduos de ninho novamente finalizado ajustes na SY4-01 e SD4-01."/>
  </r>
  <r>
    <x v="45"/>
    <x v="7"/>
    <s v="SE-E6"/>
    <n v="1"/>
    <x v="0"/>
    <d v="1899-12-30T08:59:00"/>
    <d v="1899-12-30T18:16:00"/>
    <n v="9.2833333333333332"/>
    <n v="14.716666666666667"/>
    <s v="Retirado resíduos de ninho na estrutura da chave seccionadora SY4-06 e nos polos da SY4-05._x000a_Realizado a correção do vazamento do Trafo 6TR5, limpeza do TC do vão BX fase B e limpeza da bucha do Reator fase A._x000a_Realizado teste de atuação do relé buchholz, válvula de alívio de pressão e no indicador de nível de óleo dos 6TR5, Reator 6RE1 e  Trafo de Aterramento 4TT1 69KV. _x000a_Nos 6TR1 e 6TR2 foram realizado a atuação do relé buchholz, relé de fluxo de óleo do comutador, válvula de alívio de pressão e dos indicador de nível de óleos."/>
  </r>
  <r>
    <x v="45"/>
    <x v="3"/>
    <s v="SE-E2"/>
    <n v="1"/>
    <x v="0"/>
    <d v="1899-12-30T07:15:00"/>
    <d v="1899-12-30T17:57:00"/>
    <n v="10.700000000000001"/>
    <n v="13.299999999999999"/>
    <s v="Complemento de gás SF6 nos disjuntores  DJ6-01, DJ6-02 e DJ6-03. limpeza dos TC, realizar inspeção, limpeza e reaperto dos paineis  DJ1-01, 501-01, SB1-01, DJ1-02 e inspeção nas buchas e reaperto geral no 6TR1. Equipamento(s):  DJ6-01, DJ6-02,  DJ6-03, 6TR1, TP e cubiculos de 6.9kV."/>
  </r>
  <r>
    <x v="46"/>
    <x v="3"/>
    <s v="SE-E2"/>
    <n v="1"/>
    <x v="0"/>
    <d v="1899-12-30T08:05:00"/>
    <d v="1899-12-30T14:17:00"/>
    <n v="6.1999999999999993"/>
    <n v="17.8"/>
    <s v="Complemento de gás SF6 nos disjuntores  DJ6-01, DJ6-02 e DJ6-03,_x000a_limpeza dos TC, realizar inspeção, limpeza e reaperto dos paineis  DJ1-01, 501-01, SB1-01, DJ1-02 e inspeção nas buchas e reaperto geral no 6TR1."/>
  </r>
  <r>
    <x v="47"/>
    <x v="10"/>
    <s v="SE-E3"/>
    <n v="1"/>
    <x v="0"/>
    <d v="1899-12-30T07:50:00"/>
    <d v="1899-12-30T15:52:00"/>
    <n v="8.0333333333333332"/>
    <n v="15.966666666666667"/>
    <s v="Complemento de gás no disjuntor DJ6-02, DJ6-01 e Restauração da pintura da base dos isoladores dos disjuntores DJ6-01, DJ6-02 e DJ6-03."/>
  </r>
  <r>
    <x v="47"/>
    <x v="3"/>
    <s v="SE-E2"/>
    <n v="1"/>
    <x v="0"/>
    <d v="1899-12-30T09:33:00"/>
    <d v="1899-12-30T12:39:00"/>
    <n v="3.0999999999999996"/>
    <n v="20.9"/>
    <s v="Limpeza das bucha do Transformador de potência 6TR1-E2, Complemento de gás no disjuntor DJ6-01 E Restauração da pintura da base dos isoladores dos disjuntores DJ6-01, DJ6-02 e DJ6-03."/>
  </r>
  <r>
    <x v="47"/>
    <x v="8"/>
    <s v="SE-E4"/>
    <n v="1"/>
    <x v="0"/>
    <d v="1899-12-30T07:43:00"/>
    <d v="1899-12-30T16:39:00"/>
    <n v="8.9333333333333318"/>
    <n v="15.066666666666668"/>
    <s v="Limpeza das buchas do Transformador de potência 6TR1-04, Complemento do gás SF6 DJ6-03, Remoção de resíduo(s) de ninho(s) na Seccionadora  CA6-01,SD6-02,SD6-04,  no Cubículo de média tensão  Revisão de fechadura do painel: reaperto e lubrificação. Reaperto geral nos terminais de borne dos cubículo/painéis e limpeza geral."/>
  </r>
  <r>
    <x v="47"/>
    <x v="5"/>
    <s v="SE-E6"/>
    <n v="1"/>
    <x v="0"/>
    <d v="1899-12-30T07:03:00"/>
    <d v="1899-12-30T17:00:00"/>
    <n v="9.9500000000000011"/>
    <n v="14.049999999999999"/>
    <s v=" Limpeza dos isoladores de porcelana do Transformador - corrente 94TR5-AX-A – 94TR5-AX-B – 94TR5-AX-V – 94P4-BX-A – 94P4-BX-B – 94P4-BX-V – 94RE-CX-A – 94RE-CX-B – 94RE-CX-V – 94TR2-BY-A – 94TR2-BY-B – 94TR2-BY-V – 94TR1-AY-A – 94TR1-AY-B – 94TR1-AY-V – 94P6-CZ-A – 94P6-CZ-B – 94P6-CZ-V – 94AGR-AZ-A – 94AGR-AZ-B – 94AGR-AZ-V – 94TR1-AW-A – 94TR1-AW-B – 94TR1-AW-V – 94TR2-CW-A – 94TR2-CW-B – 94TR2-CW-V Manutenção no braço de acionamento mecânico da chave Seccionadora  SD6-01 – SY6-02 – SY6-04"/>
  </r>
  <r>
    <x v="47"/>
    <x v="2"/>
    <s v="SE-E5"/>
    <n v="1"/>
    <x v="0"/>
    <d v="1899-12-30T07:30:00"/>
    <d v="1899-12-30T16:30:00"/>
    <n v="9"/>
    <n v="15"/>
    <s v="Limpar o isolador de porcelana Transformador -corrente. 94P4-AX-A – 94P4-AX-B – 94P4-AX-C – 94TR1-AY-A – 94TR1-AY-B – 94TR1-AY-C. Remoção de resíduo(s) de ninho(s) Seccionadora  SD4-01 – SY4-02,"/>
  </r>
  <r>
    <x v="48"/>
    <x v="6"/>
    <s v="SE-E6"/>
    <n v="1"/>
    <x v="0"/>
    <d v="1899-12-30T08:00:00"/>
    <d v="1899-12-30T16:37:00"/>
    <n v="8.6166666666666671"/>
    <n v="15.383333333333333"/>
    <s v="Procedimento de desligamento da SE-E7/ EBV07, (ramal do agreste ). Desligamento para realizar lançamento final da linha em 69kV (Neoenergia) sobre a linha de 69kV do Pisf entre a SE Sertânia e a SE Arcoverde._x000a_SE-E6 (Pisf Sertânia) e SE-E7 (Pisf Arcoverde)."/>
  </r>
  <r>
    <x v="49"/>
    <x v="0"/>
    <s v="SE-E1"/>
    <n v="1"/>
    <x v="1"/>
    <d v="1899-12-30T03:24:00"/>
    <d v="1899-12-30T23:59:59"/>
    <n v="20.599722222222219"/>
    <n v="3.4002777777777808"/>
    <s v="Desenergização da SE-E0, por motivo de invasão dos manisfestante na subestação."/>
  </r>
  <r>
    <x v="49"/>
    <x v="11"/>
    <s v="SE-E2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3"/>
    <s v="SE-E2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10"/>
    <s v="SE-E3"/>
    <n v="3"/>
    <x v="1"/>
    <d v="1899-12-30T03:24:00"/>
    <d v="1899-12-30T23:59:59"/>
    <n v="6.8665740740740731"/>
    <n v="17.133425925925927"/>
    <s v="Desenergização da SE-E0, por motivo de invasão dos manisfestante na subestação."/>
  </r>
  <r>
    <x v="49"/>
    <x v="1"/>
    <s v="SE-E3"/>
    <n v="3"/>
    <x v="1"/>
    <d v="1899-12-30T03:24:00"/>
    <d v="1899-12-30T23:59:59"/>
    <n v="6.8665740740740731"/>
    <n v="17.133425925925927"/>
    <s v="Desenergização da SE-E0, por motivo de invasão dos manisfestante na subestação."/>
  </r>
  <r>
    <x v="49"/>
    <x v="8"/>
    <s v="SE-E4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4"/>
    <s v="SE-E4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2"/>
    <s v="SE-E5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2"/>
    <s v="SE-E5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1"/>
    <s v="SE-E3"/>
    <n v="3"/>
    <x v="1"/>
    <d v="1899-12-30T03:24:00"/>
    <d v="1899-12-30T23:59:59"/>
    <n v="6.8665740740740731"/>
    <n v="17.133425925925927"/>
    <s v="Desenergização da SE-E0, por motivo de invasão dos manisfestante na subestação."/>
  </r>
  <r>
    <x v="49"/>
    <x v="7"/>
    <s v="SE-E6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6"/>
    <s v="SE-E6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50"/>
    <x v="0"/>
    <s v="SE-E1"/>
    <n v="1"/>
    <x v="1"/>
    <d v="1899-12-30T00:00:00"/>
    <d v="1899-12-30T23:59:59"/>
    <n v="23.999722222222221"/>
    <n v="2.7777777777870938E-4"/>
    <s v="Desenergização da SE-E0, por motivo de invasão dos manisfestante na subestação."/>
  </r>
  <r>
    <x v="50"/>
    <x v="11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3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10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1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8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4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5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0"/>
    <x v="7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0"/>
    <x v="6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1"/>
    <x v="0"/>
    <s v="SE-E1"/>
    <n v="1"/>
    <x v="1"/>
    <d v="1899-12-30T00:00:00"/>
    <d v="1899-12-30T23:59:59"/>
    <n v="23.999722222222221"/>
    <n v="2.7777777777870938E-4"/>
    <s v="Desenergização da SE-E0, por motivo de invasão dos manisfestante na subestação."/>
  </r>
  <r>
    <x v="51"/>
    <x v="11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3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10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1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8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4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5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1"/>
    <x v="7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1"/>
    <x v="6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2"/>
    <x v="0"/>
    <s v="SE-E1"/>
    <n v="1"/>
    <x v="1"/>
    <d v="1899-12-30T00:00:00"/>
    <d v="1899-12-30T16:10:00"/>
    <n v="16.166666666666668"/>
    <n v="7.8333333333333321"/>
    <s v="Desenergização da SE-E0, por motivo de invasão dos manisfestante na subestação."/>
  </r>
  <r>
    <x v="52"/>
    <x v="11"/>
    <s v="SE-E2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3"/>
    <s v="SE-E2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10"/>
    <s v="SE-E3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1"/>
    <s v="SE-E3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8"/>
    <s v="SE-E4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4"/>
    <s v="SE-E4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2"/>
    <s v="SE-E5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2"/>
    <s v="SE-E5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5"/>
    <s v="SE-E6"/>
    <n v="3"/>
    <x v="1"/>
    <d v="1899-12-30T00:00:00"/>
    <d v="1899-12-30T16:10:00"/>
    <n v="5.3888888888888893"/>
    <n v="18.611111111111111"/>
    <s v="Desenergização da SE-E0, por motivo de invasão dos manisfestante na subestação."/>
  </r>
  <r>
    <x v="52"/>
    <x v="7"/>
    <s v="SE-E6"/>
    <n v="3"/>
    <x v="1"/>
    <d v="1899-12-30T00:00:00"/>
    <d v="1899-12-30T16:10:00"/>
    <n v="5.3888888888888893"/>
    <n v="18.611111111111111"/>
    <s v="Desenergização da SE-E0, por motivo de invasão dos manisfestante na subestação."/>
  </r>
  <r>
    <x v="52"/>
    <x v="6"/>
    <s v="SE-E6"/>
    <n v="3"/>
    <x v="1"/>
    <d v="1899-12-30T00:00:00"/>
    <d v="1899-12-30T16:10:00"/>
    <n v="5.3888888888888893"/>
    <n v="18.611111111111111"/>
    <s v="Desenergização da SE-E0, por motivo de invasão dos manisfestante na subestação."/>
  </r>
  <r>
    <x v="53"/>
    <x v="1"/>
    <s v="SE-E3"/>
    <n v="1"/>
    <x v="0"/>
    <d v="1899-12-30T08:02:00"/>
    <d v="1899-12-30T18:05:00"/>
    <n v="10.050000000000001"/>
    <n v="13.95"/>
    <s v="Equipamento(s):  DJ6-03, SD6-03, SY6-03, 6TR1, 289-01, 1- Realizar a finalização da inspeção, limpeza, reaperto e retirada de ponto quente nos conectores da chave faca 289-01 do link 6.9kV, 2-  Realizar a finalização da limpeza, reaperto e retirada de ponto quente nos conectores das buchas do trafo 6TR1. ( OBS. As atividades supracitadas serão realizadas em sequencias, como citadas, sendo realizado a retirada do  aterramento provisório na saida do trafo 6TR1 somente após a finalização de todas as atividades).                                                           "/>
  </r>
  <r>
    <x v="54"/>
    <x v="0"/>
    <s v="SE-E1"/>
    <n v="1"/>
    <x v="0"/>
    <d v="1899-12-30T07:50:00"/>
    <d v="1899-12-30T17:34:00"/>
    <n v="9.7333333333333325"/>
    <n v="14.266666666666667"/>
    <s v="Equipamento(s):  DJ6-01, DJ6-02, SD6-02, SY6-02, 6TR1, 289-01. 1- Finalizar as atividades de inspeção, limpeza, reaperto e retirada de ponto quente nos conectores da chave faca 289-01 do link 6.9kV. 2- Finalizar as atividades de inspeção, limpeza, reaperto e retirada de ponto quente nos conectores das buchas do trafo 6TR1. ( OBS. As atividades supracitadas serão realizadas em sequencias, como citadas, sendo retirado o aterramento provisório na saida do trafo 6TR1 apenas após a finalização de todas as atividades)."/>
  </r>
  <r>
    <x v="55"/>
    <x v="3"/>
    <s v="SE-E2"/>
    <n v="1"/>
    <x v="0"/>
    <d v="1899-12-30T07:50:00"/>
    <d v="1899-12-30T15:37:00"/>
    <n v="7.7833333333333332"/>
    <n v="16.216666666666669"/>
    <s v="Equipamento(s):  DJ6-03, SD6-03, SY6-03, 6TR1, 289-01. 1- Finalizar as atividades de inspeção, limpeza, reaperto e retirada de ponto quente nos conectores da chave faca 289-01 do link 6.9kV._x000a_2- Finalizar as atividades de inspeção, limpeza, reaperto e retirada de ponto quente nos conectores das buchas do trafo 6TR1. (OBS. As atividades supracitadas serão realizadas em sequencias, como citadas, sendo retirado o aterramento provisório na saida do trafo 6TR1 apenas após a finalização de todas as atividades). "/>
  </r>
  <r>
    <x v="56"/>
    <x v="4"/>
    <s v="SE-E4"/>
    <n v="1"/>
    <x v="0"/>
    <d v="1899-12-30T08:20:00"/>
    <d v="1899-12-30T17:39:00"/>
    <n v="9.3166666666666647"/>
    <n v="14.683333333333335"/>
    <s v="Realizar inspeção em todos os pontos de conexões e reaperto geral no 6TR1 e de todo o link de 6,9kV."/>
  </r>
  <r>
    <x v="57"/>
    <x v="2"/>
    <s v="SE-E5"/>
    <n v="1"/>
    <x v="0"/>
    <d v="1899-12-30T08:40:00"/>
    <d v="1899-12-30T16:11:00"/>
    <n v="7.5166666666666675"/>
    <n v="16.483333333333334"/>
    <s v="Realizar inspeção em todos os pontos de conexões e reaperto geral no 6TR1 e de todo o link de 6,9kV."/>
  </r>
  <r>
    <x v="58"/>
    <x v="5"/>
    <s v="SE-E6"/>
    <n v="1"/>
    <x v="0"/>
    <d v="1899-12-30T08:22:00"/>
    <d v="1899-12-30T15:35:00"/>
    <n v="7.2166666666666668"/>
    <n v="16.783333333333331"/>
    <s v="Realizar inspeção em todos os pontos de conexões e reaperto geral no 6TR1 e de todo o link de 6,9kV."/>
  </r>
  <r>
    <x v="59"/>
    <x v="6"/>
    <s v="SE-E6"/>
    <n v="1"/>
    <x v="0"/>
    <d v="1899-12-30T08:21:00"/>
    <d v="1899-12-30T15:07:00"/>
    <n v="6.7666666666666666"/>
    <n v="17.233333333333334"/>
    <s v="Manutenção no Ramal."/>
  </r>
  <r>
    <x v="60"/>
    <x v="6"/>
    <s v="SE-E6"/>
    <n v="1"/>
    <x v="0"/>
    <d v="1899-12-30T08:58:00"/>
    <d v="1899-12-30T12:26:00"/>
    <n v="3.4666666666666677"/>
    <n v="20.533333333333331"/>
    <s v="Manutenção no Ramal."/>
  </r>
  <r>
    <x v="61"/>
    <x v="6"/>
    <s v="SE-E6"/>
    <n v="1"/>
    <x v="0"/>
    <d v="1899-12-30T08:00:00"/>
    <d v="1899-12-30T16:00:00"/>
    <n v="8"/>
    <n v="16"/>
    <s v="Devido a necessidade da execução de poda emergencial na vegetação próxima a LT 69kV no trecho 2/1 e 3/1."/>
  </r>
  <r>
    <x v="62"/>
    <x v="7"/>
    <s v="SE-E6"/>
    <n v="4"/>
    <x v="0"/>
    <d v="1899-12-30T07:11:00"/>
    <d v="1899-12-30T15:10:00"/>
    <n v="1.9958333333333331"/>
    <n v="22.004166666666666"/>
    <s v="Foi desligado em virtude da necessidade de manutenção no transformador 6TR1 da SE-E4."/>
  </r>
  <r>
    <x v="62"/>
    <x v="6"/>
    <s v="SE-E6"/>
    <n v="4"/>
    <x v="0"/>
    <d v="1899-12-30T07:14:00"/>
    <d v="1899-12-30T15:09:00"/>
    <n v="1.9791666666666665"/>
    <n v="22.020833333333332"/>
    <s v="Foi desligado em virtude da necessidade de manutenção no transformador 6TR1 da SE-E4."/>
  </r>
  <r>
    <x v="62"/>
    <x v="5"/>
    <s v="SE-E6"/>
    <n v="4"/>
    <x v="0"/>
    <d v="1899-12-30T07:25:00"/>
    <d v="1899-12-30T15:07:00"/>
    <n v="1.9249999999999998"/>
    <n v="22.074999999999999"/>
    <s v="Foi desligado em virtude da necessidade de manutenção no transformador 6TR1 da SE-E4."/>
  </r>
  <r>
    <x v="62"/>
    <x v="12"/>
    <s v="SE-E6"/>
    <n v="4"/>
    <x v="0"/>
    <d v="1899-12-30T07:27:00"/>
    <d v="1899-12-30T15:05:00"/>
    <n v="1.9083333333333332"/>
    <n v="22.091666666666669"/>
    <s v="Foi desligado em virtude da necessidade de manutenção no transformador 6TR1 da SE-E4."/>
  </r>
  <r>
    <x v="62"/>
    <x v="13"/>
    <s v="SE-E4"/>
    <n v="4"/>
    <x v="0"/>
    <d v="1899-12-30T07:23:00"/>
    <d v="1899-12-30T14:52:00"/>
    <n v="1.8708333333333333"/>
    <n v="22.129166666666666"/>
    <s v="Foi desligado em virtude da necessidade da retirada de ninhos nas seccionadoras "/>
  </r>
  <r>
    <x v="62"/>
    <x v="8"/>
    <s v="SE-E4"/>
    <n v="4"/>
    <x v="0"/>
    <d v="1899-12-30T07:23:50"/>
    <d v="1899-12-30T14:53:00"/>
    <n v="1.8715277777777781"/>
    <n v="22.128472222222221"/>
    <s v="Foi desligado em virtude da necessidade da retirada de ninhos nas seccionadoras, limpeza e regulagem"/>
  </r>
  <r>
    <x v="62"/>
    <x v="14"/>
    <s v="SE-E4"/>
    <n v="4"/>
    <x v="0"/>
    <d v="1899-12-30T07:30:00"/>
    <d v="1899-12-30T14:51:00"/>
    <n v="1.8375000000000001"/>
    <n v="22.162500000000001"/>
    <s v="Foi desligado em virtude da necessidade da retirada de ninhos nas seccionadoras, limpeza, regulagem e correção de vazamento na bucha &quot;B&quot; de baixa tensão 6TR1"/>
  </r>
  <r>
    <x v="62"/>
    <x v="4"/>
    <s v="SE-E4"/>
    <n v="4"/>
    <x v="0"/>
    <d v="1899-12-30T04:40:00"/>
    <d v="1899-12-30T15:54:00"/>
    <n v="2.8083333333333336"/>
    <n v="21.191666666666666"/>
    <s v="Foi desligado em virtude de correção de vazamento e realizar ensaio de tangente delta - para realizar o ensaio e corrigir o vazamento o transformador precisa estar desligado por 4 hr."/>
  </r>
  <r>
    <x v="63"/>
    <x v="0"/>
    <s v="SE-E1"/>
    <n v="1"/>
    <x v="0"/>
    <d v="1899-12-30T03:40:00"/>
    <d v="1899-12-30T18:57:00"/>
    <n v="15.283333333333331"/>
    <n v="8.7166666666666686"/>
    <s v="Realizar Ensaios elétricos no 6TR1, Ensaios nas proteções intrínsecas do 6TR1._x000a_ Realizar inspeção, limpeza, reaperto nos disjuntores do Cubículo de 6,9kV."/>
  </r>
  <r>
    <x v="64"/>
    <x v="11"/>
    <s v="SE-E2"/>
    <n v="1"/>
    <x v="0"/>
    <d v="1899-12-30T04:00:00"/>
    <d v="1899-12-30T17:07:00"/>
    <n v="13.116666666666667"/>
    <n v="10.883333333333333"/>
    <s v="Realizar Ensaios elétricos no 6TR1, Ensaios nas proteções intrínsecas do 6TR1._x000a_ Realizar inspeção, limpeza, reaperto nos disjuntores do Cubículo de 6,9kV."/>
  </r>
  <r>
    <x v="65"/>
    <x v="10"/>
    <s v="SE-E3"/>
    <n v="1"/>
    <x v="0"/>
    <d v="1899-12-30T03:57:00"/>
    <d v="1899-12-30T17:32:00"/>
    <n v="13.583333333333332"/>
    <n v="10.416666666666668"/>
    <s v="Realizar Ensaios elétricos no 6TR1, Ensaios nas proteções intrínsecas do 6TR1._x000a_ Realizar inspeção, limpeza, reaperto nos disjuntores do Cubículo de 6,9kV."/>
  </r>
  <r>
    <x v="66"/>
    <x v="4"/>
    <s v="SE-E4"/>
    <n v="1"/>
    <x v="0"/>
    <d v="1899-12-30T04:21:00"/>
    <d v="1899-12-30T14:48:00"/>
    <n v="10.45"/>
    <n v="13.55"/>
    <s v="Realizar Ensaios elétricos no 6TR1, Ensaios nas proteções intrínsecas do 6TR1._x000a_ Realizar inspeção, limpeza, reaperto nos disjuntores do Cubículo de 6,9kV."/>
  </r>
  <r>
    <x v="67"/>
    <x v="2"/>
    <s v="SE-E5"/>
    <n v="1"/>
    <x v="0"/>
    <d v="1899-12-30T04:16:00"/>
    <d v="1899-12-30T23:59:59"/>
    <n v="19.733055555555556"/>
    <n v="4.2669444444444444"/>
    <s v="Realizar Ensaios elétricos no 6TR1, Ensaios nas proteções intrínsecas do 6TR1._x000a_ Realizar inspeção, limpeza, reaperto nos disjuntores do Cubículo de 6,9kV."/>
  </r>
  <r>
    <x v="68"/>
    <x v="2"/>
    <s v="SE-E5"/>
    <n v="1"/>
    <x v="0"/>
    <d v="1899-12-30T00:00:00"/>
    <d v="1899-12-30T17:00:00"/>
    <n v="17"/>
    <n v="7"/>
    <s v="Realizar Ensaios elétricos no 6TR1, Ensaios nas proteções intrínsecas do 6TR1._x000a_ Realizar inspeção, limpeza, reaperto nos disjuntores do Cubículo de 6,9kV."/>
  </r>
  <r>
    <x v="67"/>
    <x v="5"/>
    <s v="SE-E6"/>
    <n v="1"/>
    <x v="0"/>
    <d v="1899-12-30T07:36:00"/>
    <d v="1899-12-30T23:59:59"/>
    <n v="16.399722222222223"/>
    <n v="7.6002777777777766"/>
    <s v="Realizar Ensaios elétricos no 6TR1, Ensaios nas proteções intrínsecas do 6TR1._x000a_ Realizar inspeção, limpeza, reaperto nos disjuntores do Cubículo de 6,9kV."/>
  </r>
  <r>
    <x v="68"/>
    <x v="5"/>
    <s v="SE-E6"/>
    <n v="1"/>
    <x v="0"/>
    <d v="1899-12-30T00:00:00"/>
    <d v="1899-12-30T16:10:00"/>
    <n v="16.166666666666668"/>
    <n v="7.8333333333333321"/>
    <s v="Realizar Ensaios elétricos no 6TR1, Ensaios nas proteções intrínsecas do 6TR1._x000a_ Realizar inspeção, limpeza, reaperto nos disjuntores do Cubículo de 6,9kV."/>
  </r>
  <r>
    <x v="67"/>
    <x v="1"/>
    <s v="SE-E3"/>
    <n v="1"/>
    <x v="0"/>
    <d v="1899-12-30T07:53:00"/>
    <d v="1899-12-30T23:59:59"/>
    <n v="16.116388888888888"/>
    <n v="7.8836111111111116"/>
    <s v=" Desligamento solicitado pelo Consórcio CPISF para realização dos ensaios de SPT na Subestação SE-E3, Solicitação pelo CPISF para desenergização e aterramento provisório do 230kV, OBS. As atividades supracitadas serão realizadas em sequencias, como citadas, sendo realizado o aterramento provisório no barramento do 230kV."/>
  </r>
  <r>
    <x v="68"/>
    <x v="1"/>
    <s v="SE-E3"/>
    <n v="1"/>
    <x v="0"/>
    <d v="1899-12-30T00:00:00"/>
    <d v="1899-12-30T10:03:00"/>
    <n v="10.050000000000001"/>
    <n v="13.95"/>
    <s v=" Desligamento solicitado pelo Consórcio CPISF para realização dos ensaios de SPT na Subestação SE-E3, Solicitação pelo CPISF para desenergização e aterramento provisório do 230kV, OBS. As atividades supracitadas serão realizadas em sequencias, como citadas, sendo realizado o aterramento provisório no barramento do 230kV."/>
  </r>
  <r>
    <x v="69"/>
    <x v="0"/>
    <s v="SE-E1"/>
    <n v="1"/>
    <x v="0"/>
    <d v="1899-12-30T06:55:00"/>
    <d v="1899-12-30T13:01:00"/>
    <n v="6.1"/>
    <n v="17.899999999999999"/>
    <s v="Desligamento programado pela a CHESF."/>
  </r>
  <r>
    <x v="69"/>
    <x v="11"/>
    <s v="SE-E2"/>
    <n v="1"/>
    <x v="0"/>
    <d v="1899-12-30T07:58:00"/>
    <d v="1899-12-30T12:10:00"/>
    <n v="4.1999999999999993"/>
    <n v="19.8"/>
    <s v="Desligamento programado pela a CHESF."/>
  </r>
  <r>
    <x v="70"/>
    <x v="0"/>
    <s v="SE-E1"/>
    <n v="1"/>
    <x v="0"/>
    <d v="1899-12-30T13:29:00"/>
    <d v="1899-12-30T17:46:00"/>
    <n v="4.2833333333333341"/>
    <n v="19.716666666666665"/>
    <s v="Desligamento programado pela a CHESF."/>
  </r>
  <r>
    <x v="70"/>
    <x v="11"/>
    <s v="SE-E2"/>
    <n v="1"/>
    <x v="0"/>
    <d v="1899-12-30T14:50:00"/>
    <d v="1899-12-30T17:23:00"/>
    <n v="2.5499999999999989"/>
    <n v="21.450000000000003"/>
    <s v="Desligamento programado pela a CHESF."/>
  </r>
  <r>
    <x v="71"/>
    <x v="1"/>
    <s v="SE-E3"/>
    <n v="1"/>
    <x v="0"/>
    <d v="1899-12-30T04:21:00"/>
    <d v="1899-12-30T16:16:00"/>
    <n v="11.916666666666668"/>
    <n v="12.083333333333332"/>
    <s v="Desliagmento para realizar ensaios elétricos no transformador de potencias 6TR1-E3."/>
  </r>
  <r>
    <x v="72"/>
    <x v="3"/>
    <s v="SE-E2"/>
    <n v="2"/>
    <x v="0"/>
    <d v="1899-12-30T09:07:00"/>
    <d v="1899-12-30T18:49:00"/>
    <n v="4.8499999999999996"/>
    <n v="19.149999999999999"/>
    <s v="Execução de reforço estrutural de bases de alvenaria."/>
  </r>
  <r>
    <x v="72"/>
    <x v="11"/>
    <s v="SE-E2"/>
    <n v="2"/>
    <x v="0"/>
    <d v="1899-12-30T09:07:00"/>
    <d v="1899-12-30T18:49:00"/>
    <n v="4.8499999999999996"/>
    <n v="19.149999999999999"/>
    <s v="Execução de reforço estrutural de bases de alvenaria."/>
  </r>
  <r>
    <x v="72"/>
    <x v="1"/>
    <s v="SE-E3"/>
    <n v="2"/>
    <x v="0"/>
    <d v="1899-12-30T08:03:00"/>
    <d v="1899-12-30T18:49:00"/>
    <n v="5.3833333333333337"/>
    <n v="18.616666666666667"/>
    <s v="Teste de resistência de contato (Microohmimetro),Das seccionadoras SD6-02, SB6-02,Retirada das derivações e aterramento para isolamento da SD6-02 e Limpeza dos contatos para fechamento da chave de By-pass SY6-02."/>
  </r>
  <r>
    <x v="72"/>
    <x v="10"/>
    <s v="SE-E3"/>
    <n v="2"/>
    <x v="0"/>
    <d v="1899-12-30T08:03:00"/>
    <d v="1899-12-30T18:49:00"/>
    <n v="5.3833333333333337"/>
    <n v="18.616666666666667"/>
    <s v="Teste de resistência de contato (Microohmimetro),Das seccionadoras SD6-02, SB6-02,Retirada das derivações e aterramento para isolamento da SD6-02 e Limpeza dos contatos para fechamento da chave de By-pass SY6-02._x000a_"/>
  </r>
  <r>
    <x v="72"/>
    <x v="5"/>
    <s v="SE-E6"/>
    <n v="3"/>
    <x v="0"/>
    <d v="1899-12-30T07:50:00"/>
    <d v="1899-12-30T18:48:00"/>
    <n v="3.6555555555555554"/>
    <n v="20.344444444444445"/>
    <s v="Foi desenergizada a linha de 230 kV  conforme programação para serem realizadas atividades de manutenção corretivas  na subestação SE-E3.E realizado a limpeza da cabeça dos transformadores de corrente (TCs) ."/>
  </r>
  <r>
    <x v="72"/>
    <x v="7"/>
    <s v="SE-E6"/>
    <n v="3"/>
    <x v="0"/>
    <d v="1899-12-30T07:50:00"/>
    <d v="1899-12-30T18:48:00"/>
    <n v="3.6555555555555554"/>
    <n v="20.344444444444445"/>
    <s v="Foi desenergizada a linha de 230 kV  conforme programação para serem realizadas atividades de manutenção corretivas  na subestação SE-E3.E realizado a limpeza da cabeça dos transformadores de corrente (TCs) ."/>
  </r>
  <r>
    <x v="72"/>
    <x v="6"/>
    <s v="SE-E6"/>
    <n v="3"/>
    <x v="0"/>
    <d v="1899-12-30T07:50:00"/>
    <d v="1899-12-30T18:48:00"/>
    <n v="3.6555555555555554"/>
    <n v="20.344444444444445"/>
    <s v="Foi desenergizada a linha de 230 kV  conforme programação para serem realizadas atividades de manutenção corretivas  na subestação SE-E3.E realizado a limpeza da cabeça dos transformadores de corrente (TCs) ."/>
  </r>
  <r>
    <x v="72"/>
    <x v="4"/>
    <s v="SE-E4"/>
    <n v="2"/>
    <x v="0"/>
    <d v="1899-12-30T08:49:00"/>
    <d v="1899-12-30T18:49:00"/>
    <n v="5"/>
    <n v="19"/>
    <s v="Foi desenergizada a linha de 230 kV  conforme programação para serem realizadas atividades de manutenção corretivas  na subestação SE-E3."/>
  </r>
  <r>
    <x v="72"/>
    <x v="8"/>
    <s v="SE-E4"/>
    <n v="2"/>
    <x v="0"/>
    <d v="1899-12-30T08:49:00"/>
    <d v="1899-12-30T18:49:00"/>
    <n v="5"/>
    <n v="19"/>
    <s v="Foi desenergizada a linha de 230 kV  conforme programação para serem realizadas atividades de manutenção corretivas  na subestação SE-E3."/>
  </r>
  <r>
    <x v="72"/>
    <x v="2"/>
    <s v="SE-E5"/>
    <n v="1"/>
    <x v="0"/>
    <d v="1899-12-30T07:50:00"/>
    <d v="1899-12-30T18:48:00"/>
    <n v="10.966666666666667"/>
    <n v="13.033333333333333"/>
    <s v="Foi desenergizada a linha de 230 kV  conforme programação para serem realizadas atividades de manutenção corretivas  na subestação SE-E3."/>
  </r>
  <r>
    <x v="73"/>
    <x v="11"/>
    <s v="SE-E2"/>
    <n v="2"/>
    <x v="0"/>
    <d v="1899-12-30T08:15:00"/>
    <d v="1899-12-30T17:43:00"/>
    <n v="4.7333333333333343"/>
    <n v="19.266666666666666"/>
    <s v="Desligamento programado para a reconexão das derivações do vão AY da SE-E3"/>
  </r>
  <r>
    <x v="73"/>
    <x v="3"/>
    <s v="SE-E2"/>
    <n v="2"/>
    <x v="0"/>
    <d v="1899-12-30T08:15:00"/>
    <d v="1899-12-30T17:43:00"/>
    <n v="4.7333333333333343"/>
    <n v="19.266666666666666"/>
    <s v="Desligamento programado para a reconexão das derivações do vão AY da SE-E3"/>
  </r>
  <r>
    <x v="73"/>
    <x v="10"/>
    <s v="SE-E3"/>
    <n v="2"/>
    <x v="0"/>
    <d v="1899-12-30T08:48:00"/>
    <d v="1899-12-30T17:50:00"/>
    <n v="4.5166666666666675"/>
    <n v="19.483333333333334"/>
    <s v="Desligamento programado para a reconexão das derivações do vão AY da SE-E3"/>
  </r>
  <r>
    <x v="73"/>
    <x v="1"/>
    <s v="SE-E3"/>
    <n v="2"/>
    <x v="0"/>
    <d v="1899-12-30T08:48:00"/>
    <d v="1899-12-30T17:50:00"/>
    <n v="4.5166666666666675"/>
    <n v="19.483333333333334"/>
    <s v="Desligamento programado para a reconexão das derivações do vão AY da SE-E3"/>
  </r>
  <r>
    <x v="73"/>
    <x v="8"/>
    <s v="SE-E4"/>
    <n v="2"/>
    <x v="0"/>
    <d v="1899-12-30T07:50:00"/>
    <d v="1899-12-30T17:44:00"/>
    <n v="4.95"/>
    <n v="19.05"/>
    <s v="Desligamento programado para a reconexão das derivações do vão AY da SE-E3"/>
  </r>
  <r>
    <x v="73"/>
    <x v="4"/>
    <s v="SE-E4"/>
    <n v="2"/>
    <x v="0"/>
    <d v="1899-12-30T07:50:00"/>
    <d v="1899-12-30T17:44:00"/>
    <n v="4.95"/>
    <n v="19.05"/>
    <s v="Desligamento programado para a reconexão das derivações do vão AY da SE-E3"/>
  </r>
  <r>
    <x v="73"/>
    <x v="2"/>
    <s v="SE-E5"/>
    <n v="1"/>
    <x v="0"/>
    <d v="1899-12-30T07:52:00"/>
    <d v="1899-12-30T17:45:00"/>
    <n v="9.8833333333333346"/>
    <n v="14.116666666666665"/>
    <s v="Desligamento programado para a reconexão das derivações do vão AY da SE-E3"/>
  </r>
  <r>
    <x v="73"/>
    <x v="6"/>
    <s v="SE-E6"/>
    <n v="3"/>
    <x v="0"/>
    <d v="1899-12-30T07:57:00"/>
    <d v="1899-12-30T17:44:00"/>
    <n v="3.2611111111111115"/>
    <n v="20.738888888888887"/>
    <s v="Desligamento programado para a reconexão das derivações do vão AY da SE-E3"/>
  </r>
  <r>
    <x v="73"/>
    <x v="7"/>
    <s v="SE-E6"/>
    <n v="3"/>
    <x v="0"/>
    <d v="1899-12-30T07:57:00"/>
    <d v="1899-12-30T17:44:00"/>
    <n v="3.2611111111111115"/>
    <n v="20.738888888888887"/>
    <s v="Desligamento programado para a reconexão das derivações do vão AY da SE-E3"/>
  </r>
  <r>
    <x v="73"/>
    <x v="5"/>
    <s v="SE-E6"/>
    <n v="3"/>
    <x v="0"/>
    <d v="1899-12-30T07:57:00"/>
    <d v="1899-12-30T17:44:00"/>
    <n v="3.2611111111111115"/>
    <n v="20.738888888888887"/>
    <s v="Desligamento programado para a reconexão das derivações do vão AY da SE-E3"/>
  </r>
  <r>
    <x v="74"/>
    <x v="0"/>
    <s v="SE-E1"/>
    <n v="1"/>
    <x v="0"/>
    <d v="1899-12-30T07:08:00"/>
    <d v="1899-12-30T19:10:00"/>
    <n v="12.033333333333333"/>
    <n v="11.966666666666667"/>
    <s v="Desligamento programado pela a CHESF. Para manutenção na SE-E0."/>
  </r>
  <r>
    <x v="74"/>
    <x v="11"/>
    <s v="SE-E2"/>
    <n v="2"/>
    <x v="0"/>
    <d v="1899-12-30T08:35:00"/>
    <d v="1899-12-30T18:43:00"/>
    <n v="5.0666666666666664"/>
    <n v="18.933333333333334"/>
    <s v="Desligamento programado para a reconexão das derivações do vão AY da SE-E3"/>
  </r>
  <r>
    <x v="74"/>
    <x v="3"/>
    <s v="SE-E2"/>
    <n v="2"/>
    <x v="0"/>
    <d v="1899-12-30T08:35:00"/>
    <d v="1899-12-30T18:43:00"/>
    <n v="5.0666666666666664"/>
    <n v="18.933333333333334"/>
    <s v="Desligamento programado para a reconexão das derivações do vão AY da SE-E3"/>
  </r>
  <r>
    <x v="74"/>
    <x v="10"/>
    <s v="SE-E3"/>
    <n v="2"/>
    <x v="0"/>
    <d v="1899-12-30T09:35:00"/>
    <d v="1899-12-30T18:30:00"/>
    <n v="4.4583333333333339"/>
    <n v="19.541666666666664"/>
    <s v="Desligamento programado para a reconexão das derivações do vão AY da SE-E3"/>
  </r>
  <r>
    <x v="74"/>
    <x v="1"/>
    <s v="SE-E3"/>
    <n v="2"/>
    <x v="0"/>
    <d v="1899-12-30T09:35:00"/>
    <d v="1899-12-30T18:30:00"/>
    <n v="4.4583333333333339"/>
    <n v="19.541666666666664"/>
    <s v="Desligamento programado para a reconexão das derivações do vão AY da SE-E3"/>
  </r>
  <r>
    <x v="74"/>
    <x v="8"/>
    <s v="SE-E4"/>
    <n v="2"/>
    <x v="0"/>
    <d v="1899-12-30T07:42:00"/>
    <d v="1899-12-30T18:31:00"/>
    <n v="5.4083333333333332"/>
    <n v="18.591666666666669"/>
    <s v="Desligamento programado para a reconexão das derivações do vão AY da SE-E3"/>
  </r>
  <r>
    <x v="74"/>
    <x v="4"/>
    <s v="SE-E4"/>
    <n v="2"/>
    <x v="0"/>
    <d v="1899-12-30T07:42:00"/>
    <d v="1899-12-30T18:31:00"/>
    <n v="5.4083333333333332"/>
    <n v="18.591666666666669"/>
    <s v="Desligamento programado para a reconexão das derivações do vão AY da SE-E3"/>
  </r>
  <r>
    <x v="74"/>
    <x v="2"/>
    <s v="SE-E5"/>
    <n v="1"/>
    <x v="0"/>
    <d v="1899-12-30T07:45:00"/>
    <d v="1899-12-30T18:39:00"/>
    <n v="10.9"/>
    <n v="13.1"/>
    <s v="Desligamento programado para a reconexão das derivações do vão AY da SE-E3"/>
  </r>
  <r>
    <x v="74"/>
    <x v="6"/>
    <s v="SE-E6"/>
    <n v="3"/>
    <x v="0"/>
    <d v="1899-12-30T07:53:00"/>
    <d v="1899-12-30T18:39:00"/>
    <n v="3.588888888888889"/>
    <n v="20.411111111111111"/>
    <s v="Desligamento programado para a reconexão das derivações do vão AY da SE-E3"/>
  </r>
  <r>
    <x v="74"/>
    <x v="7"/>
    <s v="SE-E6"/>
    <n v="3"/>
    <x v="0"/>
    <d v="1899-12-30T07:53:00"/>
    <d v="1899-12-30T18:39:00"/>
    <n v="3.588888888888889"/>
    <n v="20.411111111111111"/>
    <s v="Desligamento programado para a reconexão das derivações do vão AY da SE-E3"/>
  </r>
  <r>
    <x v="74"/>
    <x v="5"/>
    <s v="SE-E6"/>
    <n v="3"/>
    <x v="0"/>
    <d v="1899-12-30T07:53:00"/>
    <d v="1899-12-30T18:39:00"/>
    <n v="3.588888888888889"/>
    <n v="20.411111111111111"/>
    <s v="Desligamento programado para a reconexão das derivações do vão AY da SE-E3"/>
  </r>
  <r>
    <x v="75"/>
    <x v="11"/>
    <s v="SE-E2"/>
    <n v="2"/>
    <x v="0"/>
    <d v="1899-12-30T08:02:00"/>
    <d v="1899-12-30T17:20:00"/>
    <n v="4.6500000000000004"/>
    <n v="19.350000000000001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._x000a_* Limpeza dos contatos e articulações._x000a_* Reaperto dos Bornes dos painéis _x000a_* Alinhamento do bloco da SECCIONADORA SD6-06 juntamente com a topografia do CPISF."/>
  </r>
  <r>
    <x v="75"/>
    <x v="3"/>
    <s v="SE-E2"/>
    <n v="2"/>
    <x v="0"/>
    <d v="1899-12-30T08:02:00"/>
    <d v="1899-12-30T17:20:00"/>
    <n v="4.6500000000000004"/>
    <n v="19.350000000000001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10"/>
    <s v="SE-E3"/>
    <n v="2"/>
    <x v="0"/>
    <d v="1899-12-30T08:05:00"/>
    <d v="1899-12-30T19:52:00"/>
    <n v="5.8916666666666657"/>
    <n v="18.108333333333334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1"/>
    <s v="SE-E3"/>
    <n v="2"/>
    <x v="0"/>
    <d v="1899-12-30T08:05:00"/>
    <d v="1899-12-30T19:52:00"/>
    <n v="5.8916666666666657"/>
    <n v="18.108333333333334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8"/>
    <s v="SE-E4"/>
    <n v="2"/>
    <x v="0"/>
    <d v="1899-12-30T08:03:00"/>
    <d v="1899-12-30T19:30:00"/>
    <n v="5.7250000000000005"/>
    <n v="18.274999999999999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4"/>
    <s v="SE-E4"/>
    <n v="2"/>
    <x v="0"/>
    <d v="1899-12-30T08:03:00"/>
    <d v="1899-12-30T19:30:00"/>
    <n v="5.7250000000000005"/>
    <n v="18.274999999999999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2"/>
    <s v="SE-E5"/>
    <n v="1"/>
    <x v="0"/>
    <d v="1899-12-30T08:00:00"/>
    <d v="1899-12-30T19:27:00"/>
    <n v="11.450000000000001"/>
    <n v="12.549999999999999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6"/>
    <s v="SE-E6"/>
    <n v="3"/>
    <x v="0"/>
    <d v="1899-12-30T08:36:00"/>
    <d v="1899-12-30T19:30:00"/>
    <n v="3.6333333333333333"/>
    <n v="20.366666666666667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7"/>
    <s v="SE-E6"/>
    <n v="3"/>
    <x v="0"/>
    <d v="1899-12-30T08:36:00"/>
    <d v="1899-12-30T19:30:00"/>
    <n v="3.6333333333333333"/>
    <n v="20.366666666666667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5"/>
    <s v="SE-E6"/>
    <n v="3"/>
    <x v="0"/>
    <d v="1899-12-30T08:36:00"/>
    <d v="1899-12-30T19:30:00"/>
    <n v="3.6333333333333333"/>
    <n v="20.366666666666667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6"/>
    <x v="0"/>
    <s v="SE-E1"/>
    <n v="2"/>
    <x v="0"/>
    <d v="1899-12-30T07:02:00"/>
    <d v="1899-12-30T16:13:00"/>
    <n v="4.5916666666666668"/>
    <n v="19.408333333333331"/>
    <s v="*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"/>
  </r>
  <r>
    <x v="76"/>
    <x v="15"/>
    <s v="SE-E1"/>
    <n v="2"/>
    <x v="0"/>
    <d v="1899-12-30T07:00:00"/>
    <d v="1899-12-30T16:14:00"/>
    <n v="4.6166666666666671"/>
    <n v="19.383333333333333"/>
    <s v="*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"/>
  </r>
  <r>
    <x v="77"/>
    <x v="3"/>
    <s v="SE-E2"/>
    <n v="2"/>
    <x v="0"/>
    <d v="1899-12-30T07:19:00"/>
    <d v="1899-12-30T14:39:00"/>
    <n v="3.666666666666667"/>
    <n v="20.333333333333332"/>
    <s v="* Manutenção preventiva anual no Cubiculo e painéis elétricos da EBV2. Aproveitando a abertura do DJ6-03 do vão BX, foram realizadas na SE-E2 as seguintes manutenções: limpeza geral das buchas do 6TR1; limpeza geral dos cubículos de 6,9 kV; complemento de gás SF6 no disjuntor DJ3-03."/>
  </r>
  <r>
    <x v="77"/>
    <x v="16"/>
    <s v="SE-E2"/>
    <n v="2"/>
    <x v="0"/>
    <d v="1899-12-30T07:29:00"/>
    <d v="1899-12-30T14:41:00"/>
    <n v="3.6000000000000005"/>
    <n v="20.399999999999999"/>
    <s v="* Manutenção preventiva anual no Cubiculo e painéis elétricos da EBV2. Aproveitando a abertura do DJ6-03 do vão BX, foram realizadas na SE-E2 as seguintes manutenções: limpeza geral das buchas do 6TR1; limpeza geral dos cubículos de 6,9 kV; complemento de gás SF6 no disjuntor DJ3-03."/>
  </r>
  <r>
    <x v="78"/>
    <x v="1"/>
    <s v="SE-E3"/>
    <n v="2"/>
    <x v="0"/>
    <d v="1899-12-30T07:21:00"/>
    <d v="1899-12-30T15:07:00"/>
    <n v="3.8833333333333329"/>
    <n v="20.116666666666667"/>
    <s v="* Manutenção preventiva anual no Cubiculo e painéis elétricos da EBV3. Aproveitando a abertura do DJ6-03 do vão BX, foram realizadas na SE-E3 as seguintes manutenções: limpeza geral das buchas do 6TR1; limpeza geral dos cubículos de 6,9 kV; restauração da pintura para retirada de ferrugem interna dos cubículos 6.9 kV."/>
  </r>
  <r>
    <x v="78"/>
    <x v="17"/>
    <s v="SE-E3"/>
    <n v="2"/>
    <x v="0"/>
    <d v="1899-12-30T07:20:00"/>
    <d v="1899-12-30T15:08:00"/>
    <n v="3.8999999999999995"/>
    <n v="20.100000000000001"/>
    <s v="* Manutenção preventiva anual no Cubiculo e painéis elétricos da EBV3. Aproveitando a abertura do DJ6-03 do vão BX, foram realizadas na SE-E3 as seguintes manutenções: limpeza geral das buchas do 6TR1; limpeza geral dos cubículos de 6,9 kV;  restauração da pintura para retirada de ferrugem interna dos cubículos 6.9 kV."/>
  </r>
  <r>
    <x v="79"/>
    <x v="4"/>
    <s v="SE-E4"/>
    <n v="2"/>
    <x v="0"/>
    <d v="1899-12-30T07:41:00"/>
    <d v="1899-12-30T14:31:00"/>
    <n v="3.4166666666666665"/>
    <n v="20.583333333333332"/>
    <s v="*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  "/>
  </r>
  <r>
    <x v="79"/>
    <x v="18"/>
    <s v="SE-E4"/>
    <n v="2"/>
    <x v="0"/>
    <d v="1899-12-30T07:40:00"/>
    <d v="1899-12-30T14:34:00"/>
    <n v="3.4499999999999997"/>
    <n v="20.55"/>
    <s v="*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0"/>
    <x v="2"/>
    <s v="SE-E5"/>
    <n v="2"/>
    <x v="0"/>
    <d v="1899-12-30T07:04:00"/>
    <d v="1899-12-30T16:48:00"/>
    <n v="4.8666666666666663"/>
    <n v="19.133333333333333"/>
    <s v="* Manutenção preventiva anual no Cubiculo e painéis elétricos da EBV5. Aproveitando a abertura do DJ4-02 do vão AY, foram realizadas na SE-E5 as seguintes manutenções: limpeza geral das buchas do 4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0"/>
    <x v="19"/>
    <s v="SE-E5"/>
    <n v="2"/>
    <x v="0"/>
    <d v="1899-12-30T07:02:00"/>
    <d v="1899-12-30T16:48:00"/>
    <n v="4.8833333333333329"/>
    <n v="19.116666666666667"/>
    <s v="* Manutenção preventiva anual no Cubiculo e painéis elétricos da EBV5. Aproveitando a abertura do DJ4-02 do vão AY, foram realizadas na SE-E5 as seguintes manutenções: limpeza geral das buchas do 4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1"/>
    <x v="5"/>
    <s v="SE-E6"/>
    <n v="2"/>
    <x v="0"/>
    <d v="1899-12-30T07:10:00"/>
    <d v="1899-12-30T15:59:00"/>
    <n v="4.4083333333333332"/>
    <n v="19.591666666666669"/>
    <s v="* Manutenção preventiva anual no Cubiculo e painéis elétricos da EBV6. Aproveitando a abertura do DJ6-01 do vão AY, foram realizadas na SE-E6 as seguintes manutenções: limpeza geral das buchas do 6TR5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1"/>
    <x v="20"/>
    <s v="SE-E6"/>
    <n v="2"/>
    <x v="0"/>
    <d v="1899-12-30T07:12:00"/>
    <d v="1899-12-30T15:55:00"/>
    <n v="4.3583333333333334"/>
    <n v="19.641666666666666"/>
    <s v="* Manutenção preventiva anual no Cubiculo e painéis elétricos da EBV6. Aproveitando a abertura do DJ6-01 do vão AY, foram realizadas na SE-E6 as seguintes manutenções: limpeza geral das buchas do 6TR5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2"/>
    <x v="11"/>
    <s v="SE-E2"/>
    <n v="2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3"/>
    <s v="SE-E2"/>
    <n v="2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0"/>
    <s v="SE-E3"/>
    <n v="2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"/>
    <s v="SE-E3"/>
    <n v="2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8"/>
    <s v="SE-E4"/>
    <n v="2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4"/>
    <s v="SE-E4"/>
    <n v="2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2"/>
    <s v="SE-E5"/>
    <n v="1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6"/>
    <s v="SE-E6"/>
    <n v="3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7"/>
    <s v="SE-E6"/>
    <n v="3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5"/>
    <s v="SE-E6"/>
    <n v="3"/>
    <x v="0"/>
    <m/>
    <m/>
    <n v="0"/>
    <n v="2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₆ no disjuntor da SE-E2._x000a_Na SE-E6, foram realizados ensaios elétricos nos transformadores 6TR1 e 6TR2, contemplando os seguintes testes:_x000a_Medição da resistência de isolamento;_x000a_Ensaio de tangente delta (fator de potência);_x000a_Medição da resistência dos enrolamentos;_x000a_Verificação da relação de transformação."/>
  </r>
  <r>
    <x v="83"/>
    <x v="21"/>
    <s v=""/>
    <n v="0"/>
    <x v="2"/>
    <m/>
    <m/>
    <s v="—"/>
    <s v=""/>
    <m/>
  </r>
  <r>
    <x v="83"/>
    <x v="21"/>
    <s v=""/>
    <n v="0"/>
    <x v="2"/>
    <m/>
    <m/>
    <s v="—"/>
    <s v=""/>
    <m/>
  </r>
  <r>
    <x v="83"/>
    <x v="21"/>
    <s v=""/>
    <n v="0"/>
    <x v="2"/>
    <m/>
    <m/>
    <s v="—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9F0F4-9F9E-43DD-8A0A-28ECD3718069}" name="Tabela dinâmica8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45" rowHeaderCaption="Linha do Tempo">
  <location ref="AC4:AD25" firstHeaderRow="1" firstDataRow="1" firstDataCol="1"/>
  <pivotFields count="12">
    <pivotField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axis="axisRow" showAll="0" includeNewItemsInFilter="1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4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</rowItems>
  <colItems count="1">
    <i/>
  </colItems>
  <dataFields count="1">
    <dataField name="Contagem de Duração da Parada (H)" fld="7" subtotal="count" baseField="1" baseItem="1" numFmtId="165"/>
  </dataFields>
  <formats count="36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4" type="button" dataOnly="0" labelOnly="1" outline="0" axis="axisRow" fieldPosition="1"/>
    </format>
    <format dxfId="31">
      <pivotArea type="topRight" dataOnly="0" labelOnly="1" outline="0" fieldPosition="0"/>
    </format>
    <format dxfId="30">
      <pivotArea field="0" type="button" dataOnly="0" labelOnly="1" outline="0"/>
    </format>
    <format dxfId="29">
      <pivotArea dataOnly="0" labelOnly="1" grandRow="1" outline="0" fieldPosition="0"/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4" type="button" dataOnly="0" labelOnly="1" outline="0" axis="axisRow" fieldPosition="1"/>
    </format>
    <format dxfId="23">
      <pivotArea type="topRight" dataOnly="0" labelOnly="1" outline="0" fieldPosition="0"/>
    </format>
    <format dxfId="22">
      <pivotArea field="0" type="button" dataOnly="0" labelOnly="1" outline="0"/>
    </format>
    <format dxfId="21">
      <pivotArea dataOnly="0" labelOnly="1" grandRow="1" outline="0" fieldPosition="0"/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4" type="button" dataOnly="0" labelOnly="1" outline="0" axis="axisRow" fieldPosition="1"/>
    </format>
    <format dxfId="16">
      <pivotArea type="topRight" dataOnly="0" labelOnly="1" outline="0" fieldPosition="0"/>
    </format>
    <format dxfId="15">
      <pivotArea dataOnly="0" labelOnly="1" grandCol="1" outline="0" fieldPosition="0"/>
    </format>
    <format dxfId="14">
      <pivotArea dataOnly="0" labelOnly="1" grandRow="1" outline="0" fieldPosition="0"/>
    </format>
    <format dxfId="13">
      <pivotArea type="origin" dataOnly="0" labelOnly="1" outline="0" fieldPosition="0"/>
    </format>
    <format dxfId="12">
      <pivotArea field="0" type="button" dataOnly="0" labelOnly="1" outline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4" type="button" dataOnly="0" labelOnly="1" outline="0" axis="axisRow" fieldPosition="1"/>
    </format>
    <format dxfId="7">
      <pivotArea type="topRight" dataOnly="0" labelOnly="1" outline="0" fieldPosition="0"/>
    </format>
    <format dxfId="6">
      <pivotArea field="0" type="button" dataOnly="0" labelOnly="1" outline="0"/>
    </format>
    <format dxfId="5">
      <pivotArea dataOnly="0" labelOnly="1" grandRow="1" outline="0" fieldPosition="0"/>
    </format>
    <format dxfId="4">
      <pivotArea dataOnly="0" labelOnly="1" grandCol="1" outline="0" fieldPosition="0"/>
    </format>
    <format dxfId="3">
      <pivotArea dataOnly="0" labelOnly="1" grandRow="1" outline="0" fieldPosition="0"/>
    </format>
    <format dxfId="2">
      <pivotArea field="0" type="button" dataOnly="0" labelOnly="1" outline="0"/>
    </format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B6C9F-0FCF-45D3-848E-300C33EB9293}" name="Tabela dinâmica1" cacheId="0" applyNumberFormats="0" applyBorderFormats="0" applyFontFormats="0" applyPatternFormats="0" applyAlignmentFormats="0" applyWidthHeightFormats="1" dataCaption="Valores" errorCaption="0" showError="1" missingCaption="0" updatedVersion="8" minRefreshableVersion="5" itemPrintTitles="1" createdVersion="8" indent="0" outline="1" outlineData="1" multipleFieldFilters="0" rowHeaderCaption="Linha do Tempo">
  <location ref="B4:D42" firstHeaderRow="1" firstDataRow="2" firstDataCol="1"/>
  <pivotFields count="12">
    <pivotField axis="axisRow"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Col" showAll="0" includeNewItemsInFilter="1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37">
    <i>
      <x v="1"/>
    </i>
    <i r="1">
      <x v="79"/>
    </i>
    <i>
      <x v="2"/>
    </i>
    <i r="1">
      <x v="78"/>
    </i>
    <i>
      <x v="3"/>
    </i>
    <i r="1">
      <x v="78"/>
    </i>
    <i r="1">
      <x v="80"/>
    </i>
    <i>
      <x v="4"/>
    </i>
    <i r="1">
      <x v="78"/>
    </i>
    <i>
      <x v="5"/>
    </i>
    <i r="1">
      <x v="78"/>
    </i>
    <i r="1">
      <x v="81"/>
    </i>
    <i>
      <x v="6"/>
    </i>
    <i r="1">
      <x v="78"/>
    </i>
    <i>
      <x v="7"/>
    </i>
    <i r="1">
      <x v="78"/>
    </i>
    <i r="1">
      <x v="82"/>
    </i>
    <i>
      <x v="8"/>
    </i>
    <i r="1">
      <x v="78"/>
    </i>
    <i r="1">
      <x v="83"/>
    </i>
    <i>
      <x v="9"/>
    </i>
    <i r="1">
      <x v="78"/>
    </i>
    <i>
      <x v="10"/>
    </i>
    <i r="1">
      <x v="78"/>
    </i>
    <i>
      <x v="11"/>
    </i>
    <i r="1">
      <x v="78"/>
    </i>
    <i>
      <x v="16"/>
    </i>
    <i r="1">
      <x v="79"/>
    </i>
    <i>
      <x v="17"/>
    </i>
    <i r="1">
      <x v="80"/>
    </i>
    <i>
      <x v="18"/>
    </i>
    <i r="1">
      <x v="81"/>
    </i>
    <i>
      <x v="19"/>
    </i>
    <i r="1">
      <x v="82"/>
    </i>
    <i>
      <x v="20"/>
    </i>
    <i r="1">
      <x v="83"/>
    </i>
    <i t="grand">
      <x/>
    </i>
  </rowItems>
  <colFields count="1">
    <field x="4"/>
  </colFields>
  <colItems count="2">
    <i>
      <x v="1"/>
    </i>
    <i t="grand">
      <x/>
    </i>
  </colItems>
  <dataFields count="1">
    <dataField name="Soma de Duração da Parada (H)" fld="7" baseField="0" baseItem="0" numFmtId="2"/>
  </dataFields>
  <formats count="34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4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0" type="button" dataOnly="0" labelOnly="1" outline="0" axis="axisRow" fieldPosition="1"/>
    </format>
    <format dxfId="63">
      <pivotArea dataOnly="0" labelOnly="1" grandRow="1" outline="0" fieldPosition="0"/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4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0" type="button" dataOnly="0" labelOnly="1" outline="0" axis="axisRow" fieldPosition="1"/>
    </format>
    <format dxfId="55">
      <pivotArea dataOnly="0" labelOnly="1" grandRow="1" outline="0" fieldPosition="0"/>
    </format>
    <format dxfId="54">
      <pivotArea dataOnly="0" labelOnly="1" grandCol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Col" fieldPosition="0"/>
    </format>
    <format dxfId="50">
      <pivotArea type="topRight" dataOnly="0" labelOnly="1" outline="0" fieldPosition="0"/>
    </format>
    <format dxfId="49">
      <pivotArea dataOnly="0" labelOnly="1" grandCol="1" outline="0" fieldPosition="0"/>
    </format>
    <format dxfId="48">
      <pivotArea dataOnly="0" labelOnly="1" grandRow="1" outline="0" fieldPosition="0"/>
    </format>
    <format dxfId="47">
      <pivotArea type="origin" dataOnly="0" labelOnly="1" outline="0" fieldPosition="0"/>
    </format>
    <format dxfId="46">
      <pivotArea field="0" type="button" dataOnly="0" labelOnly="1" outline="0" axis="axisRow" fieldPosition="1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4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0" type="button" dataOnly="0" labelOnly="1" outline="0" axis="axisRow" fieldPosition="1"/>
    </format>
    <format dxfId="39">
      <pivotArea dataOnly="0" labelOnly="1" grandRow="1" outline="0" fieldPosition="0"/>
    </format>
    <format dxfId="38">
      <pivotArea dataOnly="0" labelOnly="1" grandCol="1" outline="0" fieldPosition="0"/>
    </format>
    <format dxfId="37">
      <pivotArea dataOnly="0" labelOnly="1" grandRow="1" outline="0" fieldPosition="0"/>
    </format>
    <format dxfId="36">
      <pivotArea field="0" type="button" dataOnly="0" labelOnly="1" outline="0" axis="axisRow" fieldPosition="1"/>
    </format>
  </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E1EB9-5D98-4050-A36F-CF76E6022EBD}" name="Tabela dinâmica3" cacheId="0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rowHeaderCaption="Linha do Tempo">
  <location ref="H4:J42" firstHeaderRow="1" firstDataRow="2" firstDataCol="1"/>
  <pivotFields count="12">
    <pivotField axis="axisRow"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Col" showAll="0" includeNewItemsInFilter="1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37">
    <i>
      <x v="1"/>
    </i>
    <i r="1">
      <x v="79"/>
    </i>
    <i>
      <x v="2"/>
    </i>
    <i r="1">
      <x v="78"/>
    </i>
    <i>
      <x v="3"/>
    </i>
    <i r="1">
      <x v="78"/>
    </i>
    <i r="1">
      <x v="80"/>
    </i>
    <i>
      <x v="4"/>
    </i>
    <i r="1">
      <x v="78"/>
    </i>
    <i>
      <x v="5"/>
    </i>
    <i r="1">
      <x v="78"/>
    </i>
    <i r="1">
      <x v="81"/>
    </i>
    <i>
      <x v="6"/>
    </i>
    <i r="1">
      <x v="78"/>
    </i>
    <i>
      <x v="7"/>
    </i>
    <i r="1">
      <x v="78"/>
    </i>
    <i r="1">
      <x v="82"/>
    </i>
    <i>
      <x v="8"/>
    </i>
    <i r="1">
      <x v="78"/>
    </i>
    <i r="1">
      <x v="83"/>
    </i>
    <i>
      <x v="9"/>
    </i>
    <i r="1">
      <x v="78"/>
    </i>
    <i>
      <x v="10"/>
    </i>
    <i r="1">
      <x v="78"/>
    </i>
    <i>
      <x v="11"/>
    </i>
    <i r="1">
      <x v="78"/>
    </i>
    <i>
      <x v="16"/>
    </i>
    <i r="1">
      <x v="79"/>
    </i>
    <i>
      <x v="17"/>
    </i>
    <i r="1">
      <x v="80"/>
    </i>
    <i>
      <x v="18"/>
    </i>
    <i r="1">
      <x v="81"/>
    </i>
    <i>
      <x v="19"/>
    </i>
    <i r="1">
      <x v="82"/>
    </i>
    <i>
      <x v="20"/>
    </i>
    <i r="1">
      <x v="83"/>
    </i>
    <i t="grand">
      <x/>
    </i>
  </rowItems>
  <colFields count="1">
    <field x="4"/>
  </colFields>
  <colItems count="2">
    <i>
      <x v="1"/>
    </i>
    <i t="grand">
      <x/>
    </i>
  </colItems>
  <dataFields count="1">
    <dataField name="Contagem de Duração da Parada (H)" fld="7" subtotal="count" baseField="1" baseItem="1"/>
  </dataFields>
  <formats count="34"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4" type="button" dataOnly="0" labelOnly="1" outline="0" axis="axisCol" fieldPosition="0"/>
    </format>
    <format dxfId="99">
      <pivotArea type="topRight" dataOnly="0" labelOnly="1" outline="0" fieldPosition="0"/>
    </format>
    <format dxfId="98">
      <pivotArea field="0" type="button" dataOnly="0" labelOnly="1" outline="0" axis="axisRow" fieldPosition="1"/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4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0" type="button" dataOnly="0" labelOnly="1" outline="0" axis="axisRow" fieldPosition="1"/>
    </format>
    <format dxfId="89">
      <pivotArea dataOnly="0" labelOnly="1" grandRow="1" outline="0" fieldPosition="0"/>
    </format>
    <format dxfId="88">
      <pivotArea dataOnly="0" labelOnly="1" grandCol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4" type="button" dataOnly="0" labelOnly="1" outline="0" axis="axisCol" fieldPosition="0"/>
    </format>
    <format dxfId="84">
      <pivotArea type="topRight" dataOnly="0" labelOnly="1" outline="0" fieldPosition="0"/>
    </format>
    <format dxfId="83">
      <pivotArea dataOnly="0" labelOnly="1" grandCol="1" outline="0" fieldPosition="0"/>
    </format>
    <format dxfId="82">
      <pivotArea dataOnly="0" labelOnly="1" grandRow="1" outline="0" fieldPosition="0"/>
    </format>
    <format dxfId="81">
      <pivotArea type="origin" dataOnly="0" labelOnly="1" outline="0" fieldPosition="0"/>
    </format>
    <format dxfId="80">
      <pivotArea field="0" type="button" dataOnly="0" labelOnly="1" outline="0" axis="axisRow" fieldPosition="1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4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0" type="button" dataOnly="0" labelOnly="1" outline="0" axis="axisRow" fieldPosition="1"/>
    </format>
    <format dxfId="73">
      <pivotArea dataOnly="0" labelOnly="1" grandRow="1" outline="0" fieldPosition="0"/>
    </format>
    <format dxfId="72">
      <pivotArea dataOnly="0" labelOnly="1" grandCol="1" outline="0" fieldPosition="0"/>
    </format>
    <format dxfId="71">
      <pivotArea dataOnly="0" labelOnly="1" grandRow="1" outline="0" fieldPosition="0"/>
    </format>
    <format dxfId="70">
      <pivotArea field="0" type="button" dataOnly="0" labelOnly="1" outline="0" axis="axisRow" fieldPosition="1"/>
    </format>
  </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B6F8C-2D53-475E-8364-10C854366E1F}" name="Tabela dinâmica6" cacheId="0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1" rowHeaderCaption="Linha do Tempo">
  <location ref="N4:O17" firstHeaderRow="1" firstDataRow="1" firstDataCol="1"/>
  <pivotFields count="12">
    <pivotField axis="axisRow"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 includeNewItemsInFilter="1">
      <items count="23">
        <item x="9"/>
        <item x="15"/>
        <item x="0"/>
        <item x="16"/>
        <item x="11"/>
        <item x="3"/>
        <item x="17"/>
        <item x="10"/>
        <item x="1"/>
        <item x="18"/>
        <item x="14"/>
        <item x="8"/>
        <item x="4"/>
        <item x="13"/>
        <item x="19"/>
        <item x="2"/>
        <item x="20"/>
        <item x="6"/>
        <item x="7"/>
        <item x="5"/>
        <item x="12"/>
        <item x="21"/>
        <item t="default"/>
      </items>
    </pivotField>
    <pivotField showAll="0"/>
    <pivotField showAll="0"/>
    <pivotField axis="axisRow" showAll="0" includeNewItemsInFilter="1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0"/>
    <field x="4"/>
  </rowFields>
  <rowItems count="13">
    <i>
      <x v="78"/>
    </i>
    <i r="1">
      <x v="1"/>
    </i>
    <i>
      <x v="79"/>
    </i>
    <i r="1">
      <x v="1"/>
    </i>
    <i>
      <x v="80"/>
    </i>
    <i r="1">
      <x v="1"/>
    </i>
    <i>
      <x v="81"/>
    </i>
    <i r="1">
      <x v="1"/>
    </i>
    <i>
      <x v="82"/>
    </i>
    <i r="1">
      <x v="1"/>
    </i>
    <i>
      <x v="83"/>
    </i>
    <i r="1">
      <x v="1"/>
    </i>
    <i t="grand">
      <x/>
    </i>
  </rowItems>
  <colItems count="1">
    <i/>
  </colItems>
  <dataFields count="1">
    <dataField name="Contagem de Duração da Parada (H)" fld="7" subtotal="count" baseField="1" baseItem="1"/>
  </dataFields>
  <formats count="34">
    <format dxfId="137">
      <pivotArea type="all" dataOnly="0" outline="0" fieldPosition="0"/>
    </format>
    <format dxfId="136">
      <pivotArea outline="0" collapsedLevelsAreSubtotals="1" fieldPosition="0"/>
    </format>
    <format dxfId="135">
      <pivotArea type="origin" dataOnly="0" labelOnly="1" outline="0" fieldPosition="0"/>
    </format>
    <format dxfId="134">
      <pivotArea field="4" type="button" dataOnly="0" labelOnly="1" outline="0" axis="axisRow" fieldPosition="1"/>
    </format>
    <format dxfId="133">
      <pivotArea type="topRight" dataOnly="0" labelOnly="1" outline="0" fieldPosition="0"/>
    </format>
    <format dxfId="132">
      <pivotArea field="0" type="button" dataOnly="0" labelOnly="1" outline="0" axis="axisRow" fieldPosition="0"/>
    </format>
    <format dxfId="131">
      <pivotArea dataOnly="0" labelOnly="1" grandRow="1" outline="0" fieldPosition="0"/>
    </format>
    <format dxfId="130">
      <pivotArea dataOnly="0" labelOnly="1" grandCol="1" outline="0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4" type="button" dataOnly="0" labelOnly="1" outline="0" axis="axisRow" fieldPosition="1"/>
    </format>
    <format dxfId="125">
      <pivotArea type="topRight" dataOnly="0" labelOnly="1" outline="0" fieldPosition="0"/>
    </format>
    <format dxfId="124">
      <pivotArea field="0" type="button" dataOnly="0" labelOnly="1" outline="0" axis="axisRow" fieldPosition="0"/>
    </format>
    <format dxfId="123">
      <pivotArea dataOnly="0" labelOnly="1" grandRow="1" outline="0" fieldPosition="0"/>
    </format>
    <format dxfId="122">
      <pivotArea dataOnly="0" labelOnly="1" grandCol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4" type="button" dataOnly="0" labelOnly="1" outline="0" axis="axisRow" fieldPosition="1"/>
    </format>
    <format dxfId="118">
      <pivotArea type="topRight" dataOnly="0" labelOnly="1" outline="0" fieldPosition="0"/>
    </format>
    <format dxfId="117">
      <pivotArea dataOnly="0" labelOnly="1" grandCol="1" outline="0" fieldPosition="0"/>
    </format>
    <format dxfId="116">
      <pivotArea dataOnly="0" labelOnly="1" grandRow="1" outline="0" fieldPosition="0"/>
    </format>
    <format dxfId="115">
      <pivotArea type="origin" dataOnly="0" labelOnly="1" outline="0" fieldPosition="0"/>
    </format>
    <format dxfId="114">
      <pivotArea field="0" type="button" dataOnly="0" labelOnly="1" outline="0" axis="axisRow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4" type="button" dataOnly="0" labelOnly="1" outline="0" axis="axisRow" fieldPosition="1"/>
    </format>
    <format dxfId="109">
      <pivotArea type="topRight" dataOnly="0" labelOnly="1" outline="0" fieldPosition="0"/>
    </format>
    <format dxfId="108">
      <pivotArea field="0" type="button" dataOnly="0" labelOnly="1" outline="0" axis="axisRow" fieldPosition="0"/>
    </format>
    <format dxfId="107">
      <pivotArea dataOnly="0" labelOnly="1" grandRow="1" outline="0" fieldPosition="0"/>
    </format>
    <format dxfId="106">
      <pivotArea dataOnly="0" labelOnly="1" grandCol="1" outline="0" fieldPosition="0"/>
    </format>
    <format dxfId="105">
      <pivotArea dataOnly="0" labelOnly="1" grandRow="1" outline="0" fieldPosition="0"/>
    </format>
    <format dxfId="104">
      <pivotArea field="0" type="button" dataOnly="0" labelOnly="1" outline="0" axis="axisRow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31074-845F-4313-9AE3-7F810D40F02C}" name="Tabela dinâmica5" cacheId="0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8" rowHeaderCaption="Linha do Tempo">
  <location ref="Q4:T57" firstHeaderRow="0" firstDataRow="1" firstDataCol="1"/>
  <pivotFields count="12">
    <pivotField axis="axisRow"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Row" showAll="0" includeNewItemsInFilter="1" sortType="ascending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3">
    <field x="1"/>
    <field x="4"/>
    <field x="0"/>
  </rowFields>
  <rowItems count="53">
    <i>
      <x v="1"/>
    </i>
    <i r="1">
      <x v="1"/>
    </i>
    <i r="2">
      <x v="79"/>
    </i>
    <i>
      <x v="2"/>
    </i>
    <i r="1">
      <x v="1"/>
    </i>
    <i r="2">
      <x v="78"/>
    </i>
    <i>
      <x v="3"/>
    </i>
    <i r="1">
      <x v="1"/>
    </i>
    <i r="2">
      <x v="78"/>
    </i>
    <i r="2">
      <x v="80"/>
    </i>
    <i>
      <x v="4"/>
    </i>
    <i r="1">
      <x v="1"/>
    </i>
    <i r="2">
      <x v="78"/>
    </i>
    <i>
      <x v="5"/>
    </i>
    <i r="1">
      <x v="1"/>
    </i>
    <i r="2">
      <x v="78"/>
    </i>
    <i r="2">
      <x v="81"/>
    </i>
    <i>
      <x v="6"/>
    </i>
    <i r="1">
      <x v="1"/>
    </i>
    <i r="2">
      <x v="78"/>
    </i>
    <i>
      <x v="7"/>
    </i>
    <i r="1">
      <x v="1"/>
    </i>
    <i r="2">
      <x v="78"/>
    </i>
    <i r="2">
      <x v="82"/>
    </i>
    <i>
      <x v="8"/>
    </i>
    <i r="1">
      <x v="1"/>
    </i>
    <i r="2">
      <x v="78"/>
    </i>
    <i r="2">
      <x v="83"/>
    </i>
    <i>
      <x v="9"/>
    </i>
    <i r="1">
      <x v="1"/>
    </i>
    <i r="2">
      <x v="78"/>
    </i>
    <i>
      <x v="10"/>
    </i>
    <i r="1">
      <x v="1"/>
    </i>
    <i r="2">
      <x v="78"/>
    </i>
    <i>
      <x v="11"/>
    </i>
    <i r="1">
      <x v="1"/>
    </i>
    <i r="2">
      <x v="78"/>
    </i>
    <i>
      <x v="16"/>
    </i>
    <i r="1">
      <x v="1"/>
    </i>
    <i r="2">
      <x v="79"/>
    </i>
    <i>
      <x v="17"/>
    </i>
    <i r="1">
      <x v="1"/>
    </i>
    <i r="2">
      <x v="80"/>
    </i>
    <i>
      <x v="18"/>
    </i>
    <i r="1">
      <x v="1"/>
    </i>
    <i r="2">
      <x v="81"/>
    </i>
    <i>
      <x v="19"/>
    </i>
    <i r="1">
      <x v="1"/>
    </i>
    <i r="2">
      <x v="82"/>
    </i>
    <i>
      <x v="20"/>
    </i>
    <i r="1">
      <x v="1"/>
    </i>
    <i r="2">
      <x v="8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uração da Parada [h]" fld="7" baseField="1" baseItem="1" numFmtId="2"/>
    <dataField name="Indisponibilidade [%]" fld="10" baseField="1" baseItem="1" numFmtId="2"/>
    <dataField name="Disponibilidade [%]" fld="11" baseField="1" baseItem="1" numFmtId="2"/>
  </dataFields>
  <formats count="34">
    <format dxfId="171">
      <pivotArea type="all" dataOnly="0" outline="0" fieldPosition="0"/>
    </format>
    <format dxfId="170">
      <pivotArea outline="0" collapsedLevelsAreSubtotals="1" fieldPosition="0"/>
    </format>
    <format dxfId="169">
      <pivotArea type="origin" dataOnly="0" labelOnly="1" outline="0" fieldPosition="0"/>
    </format>
    <format dxfId="168">
      <pivotArea field="4" type="button" dataOnly="0" labelOnly="1" outline="0" axis="axisRow" fieldPosition="1"/>
    </format>
    <format dxfId="167">
      <pivotArea type="topRight" dataOnly="0" labelOnly="1" outline="0" fieldPosition="0"/>
    </format>
    <format dxfId="166">
      <pivotArea field="0" type="button" dataOnly="0" labelOnly="1" outline="0" axis="axisRow" fieldPosition="2"/>
    </format>
    <format dxfId="165">
      <pivotArea dataOnly="0" labelOnly="1" grandRow="1" outline="0" fieldPosition="0"/>
    </format>
    <format dxfId="164">
      <pivotArea dataOnly="0" labelOnly="1" grandCol="1" outline="0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type="origin" dataOnly="0" labelOnly="1" outline="0" fieldPosition="0"/>
    </format>
    <format dxfId="160">
      <pivotArea field="4" type="button" dataOnly="0" labelOnly="1" outline="0" axis="axisRow" fieldPosition="1"/>
    </format>
    <format dxfId="159">
      <pivotArea type="topRight" dataOnly="0" labelOnly="1" outline="0" fieldPosition="0"/>
    </format>
    <format dxfId="158">
      <pivotArea field="0" type="button" dataOnly="0" labelOnly="1" outline="0" axis="axisRow" fieldPosition="2"/>
    </format>
    <format dxfId="157">
      <pivotArea dataOnly="0" labelOnly="1" grandRow="1" outline="0" fieldPosition="0"/>
    </format>
    <format dxfId="156">
      <pivotArea dataOnly="0" labelOnly="1" grandCol="1" outline="0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4" type="button" dataOnly="0" labelOnly="1" outline="0" axis="axisRow" fieldPosition="1"/>
    </format>
    <format dxfId="152">
      <pivotArea type="topRight" dataOnly="0" labelOnly="1" outline="0" fieldPosition="0"/>
    </format>
    <format dxfId="151">
      <pivotArea dataOnly="0" labelOnly="1" grandCol="1" outline="0" fieldPosition="0"/>
    </format>
    <format dxfId="150">
      <pivotArea dataOnly="0" labelOnly="1" grandRow="1" outline="0" fieldPosition="0"/>
    </format>
    <format dxfId="149">
      <pivotArea type="origin" dataOnly="0" labelOnly="1" outline="0" fieldPosition="0"/>
    </format>
    <format dxfId="148">
      <pivotArea field="0" type="button" dataOnly="0" labelOnly="1" outline="0" axis="axisRow" fieldPosition="2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field="4" type="button" dataOnly="0" labelOnly="1" outline="0" axis="axisRow" fieldPosition="1"/>
    </format>
    <format dxfId="143">
      <pivotArea type="topRight" dataOnly="0" labelOnly="1" outline="0" fieldPosition="0"/>
    </format>
    <format dxfId="142">
      <pivotArea field="0" type="button" dataOnly="0" labelOnly="1" outline="0" axis="axisRow" fieldPosition="2"/>
    </format>
    <format dxfId="141">
      <pivotArea dataOnly="0" labelOnly="1" grandRow="1" outline="0" fieldPosition="0"/>
    </format>
    <format dxfId="140">
      <pivotArea dataOnly="0" labelOnly="1" grandCol="1" outline="0" fieldPosition="0"/>
    </format>
    <format dxfId="139">
      <pivotArea dataOnly="0" labelOnly="1" grandRow="1" outline="0" fieldPosition="0"/>
    </format>
    <format dxfId="138">
      <pivotArea field="0" type="button" dataOnly="0" labelOnly="1" outline="0" axis="axisRow" fieldPosition="2"/>
    </format>
  </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99EE6-C986-4556-9D77-C6041782106B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F4:AG60" firstHeaderRow="1" firstDataRow="1" firstDataCol="1"/>
  <pivotFields count="12">
    <pivotField numFmtId="14" showAll="0"/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Row" showAll="0" includeNewItemsInFilter="1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4"/>
  </rowFields>
  <rowItems count="56">
    <i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 v="2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 t="grand">
      <x/>
    </i>
  </rowItems>
  <colItems count="1">
    <i/>
  </colItems>
  <dataFields count="1">
    <dataField name="Soma de Duração da Parada (H)" fld="7" baseField="0" baseItem="0" numFmtId="2"/>
  </dataFields>
  <formats count="15"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" type="button" dataOnly="0" labelOnly="1" outline="0" axis="axisRow" fieldPosition="0"/>
    </format>
    <format dxfId="183">
      <pivotArea dataOnly="0" labelOnly="1" fieldPosition="0">
        <references count="1">
          <reference field="1" count="0"/>
        </references>
      </pivotArea>
    </format>
    <format dxfId="182">
      <pivotArea dataOnly="0" labelOnly="1" grandRow="1" outline="0" fieldPosition="0"/>
    </format>
    <format dxfId="181">
      <pivotArea dataOnly="0" labelOnly="1" outline="0" axis="axisValues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1" type="button" dataOnly="0" labelOnly="1" outline="0" axis="axisRow" fieldPosition="0"/>
    </format>
    <format dxfId="177">
      <pivotArea dataOnly="0" labelOnly="1" fieldPosition="0">
        <references count="1">
          <reference field="1" count="0"/>
        </references>
      </pivotArea>
    </format>
    <format dxfId="176">
      <pivotArea dataOnly="0" labelOnly="1" grandRow="1" outline="0" fieldPosition="0"/>
    </format>
    <format dxfId="175">
      <pivotArea dataOnly="0" labelOnly="1" outline="0" axis="axisValues" fieldPosition="0"/>
    </format>
    <format dxfId="174">
      <pivotArea dataOnly="0" labelOnly="1" fieldPosition="0">
        <references count="1">
          <reference field="1" count="0"/>
        </references>
      </pivotArea>
    </format>
    <format dxfId="173">
      <pivotArea dataOnly="0" labelOnly="1" grandRow="1" outline="0" fieldPosition="0"/>
    </format>
    <format dxfId="172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C60B2-6405-424D-9893-1496B3E73A3B}" name="Tabela dinâmica9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36" rowHeaderCaption="Linha do Tempo">
  <location ref="AI4:AJ20" firstHeaderRow="1" firstDataRow="1" firstDataCol="1"/>
  <pivotFields count="12">
    <pivotField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showAll="0" includeNewItemsInFilter="1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Contagem de Duração da Parada (H)" fld="7" subtotal="count" baseField="1" baseItem="1" numFmtId="165"/>
  </dataFields>
  <formats count="36">
    <format dxfId="222">
      <pivotArea type="all" dataOnly="0" outline="0" fieldPosition="0"/>
    </format>
    <format dxfId="221">
      <pivotArea outline="0" collapsedLevelsAreSubtotals="1" fieldPosition="0"/>
    </format>
    <format dxfId="220">
      <pivotArea type="origin" dataOnly="0" labelOnly="1" outline="0" fieldPosition="0"/>
    </format>
    <format dxfId="219">
      <pivotArea field="4" type="button" dataOnly="0" labelOnly="1" outline="0"/>
    </format>
    <format dxfId="218">
      <pivotArea type="topRight" dataOnly="0" labelOnly="1" outline="0" fieldPosition="0"/>
    </format>
    <format dxfId="217">
      <pivotArea field="0" type="button" dataOnly="0" labelOnly="1" outline="0"/>
    </format>
    <format dxfId="216">
      <pivotArea dataOnly="0" labelOnly="1" grandRow="1" outline="0" fieldPosition="0"/>
    </format>
    <format dxfId="215">
      <pivotArea dataOnly="0" labelOnly="1" grandCol="1" outline="0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type="origin" dataOnly="0" labelOnly="1" outline="0" fieldPosition="0"/>
    </format>
    <format dxfId="211">
      <pivotArea field="4" type="button" dataOnly="0" labelOnly="1" outline="0"/>
    </format>
    <format dxfId="210">
      <pivotArea type="topRight" dataOnly="0" labelOnly="1" outline="0" fieldPosition="0"/>
    </format>
    <format dxfId="209">
      <pivotArea field="0" type="button" dataOnly="0" labelOnly="1" outline="0"/>
    </format>
    <format dxfId="208">
      <pivotArea dataOnly="0" labelOnly="1" grandRow="1" outline="0" fieldPosition="0"/>
    </format>
    <format dxfId="207">
      <pivotArea dataOnly="0" labelOnly="1" grandCol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4" type="button" dataOnly="0" labelOnly="1" outline="0"/>
    </format>
    <format dxfId="203">
      <pivotArea type="topRight" dataOnly="0" labelOnly="1" outline="0" fieldPosition="0"/>
    </format>
    <format dxfId="202">
      <pivotArea dataOnly="0" labelOnly="1" grandCol="1" outline="0" fieldPosition="0"/>
    </format>
    <format dxfId="201">
      <pivotArea dataOnly="0" labelOnly="1" grandRow="1" outline="0" fieldPosition="0"/>
    </format>
    <format dxfId="200">
      <pivotArea type="origin" dataOnly="0" labelOnly="1" outline="0" fieldPosition="0"/>
    </format>
    <format dxfId="199">
      <pivotArea field="0" type="button" dataOnly="0" labelOnly="1" outline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type="origin" dataOnly="0" labelOnly="1" outline="0" fieldPosition="0"/>
    </format>
    <format dxfId="195">
      <pivotArea field="4" type="button" dataOnly="0" labelOnly="1" outline="0"/>
    </format>
    <format dxfId="194">
      <pivotArea type="topRight" dataOnly="0" labelOnly="1" outline="0" fieldPosition="0"/>
    </format>
    <format dxfId="193">
      <pivotArea field="0" type="button" dataOnly="0" labelOnly="1" outline="0"/>
    </format>
    <format dxfId="192">
      <pivotArea dataOnly="0" labelOnly="1" grandRow="1" outline="0" fieldPosition="0"/>
    </format>
    <format dxfId="191">
      <pivotArea dataOnly="0" labelOnly="1" grandCol="1" outline="0" fieldPosition="0"/>
    </format>
    <format dxfId="190">
      <pivotArea dataOnly="0" labelOnly="1" grandRow="1" outline="0" fieldPosition="0"/>
    </format>
    <format dxfId="189">
      <pivotArea field="0" type="button" dataOnly="0" labelOnly="1" outline="0"/>
    </format>
    <format dxfId="188">
      <pivotArea collapsedLevelsAreSubtotals="1" fieldPosition="0">
        <references count="1">
          <reference field="1" count="1">
            <x v="1"/>
          </reference>
        </references>
      </pivotArea>
    </format>
    <format dxfId="187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E8C0B-7C22-4886-967B-6BEC5E1708BC}" name="Tabela dinâmica4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51" rowHeaderCaption="Linha do Tempo">
  <location ref="AL4:AM20" firstHeaderRow="1" firstDataRow="1" firstDataCol="1"/>
  <pivotFields count="12">
    <pivotField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showAll="0" includeNewItemsInFilter="1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Soma de Duração da Parada (H)" fld="7" baseField="1" baseItem="2" numFmtId="2"/>
  </dataFields>
  <formats count="36">
    <format dxfId="258">
      <pivotArea type="all" dataOnly="0" outline="0" fieldPosition="0"/>
    </format>
    <format dxfId="257">
      <pivotArea outline="0" collapsedLevelsAreSubtotals="1" fieldPosition="0"/>
    </format>
    <format dxfId="256">
      <pivotArea type="origin" dataOnly="0" labelOnly="1" outline="0" fieldPosition="0"/>
    </format>
    <format dxfId="255">
      <pivotArea field="4" type="button" dataOnly="0" labelOnly="1" outline="0"/>
    </format>
    <format dxfId="254">
      <pivotArea type="topRight" dataOnly="0" labelOnly="1" outline="0" fieldPosition="0"/>
    </format>
    <format dxfId="253">
      <pivotArea field="0" type="button" dataOnly="0" labelOnly="1" outline="0"/>
    </format>
    <format dxfId="252">
      <pivotArea dataOnly="0" labelOnly="1" grandRow="1" outline="0" fieldPosition="0"/>
    </format>
    <format dxfId="251">
      <pivotArea dataOnly="0" labelOnly="1" grandCol="1" outline="0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type="origin" dataOnly="0" labelOnly="1" outline="0" fieldPosition="0"/>
    </format>
    <format dxfId="247">
      <pivotArea field="4" type="button" dataOnly="0" labelOnly="1" outline="0"/>
    </format>
    <format dxfId="246">
      <pivotArea type="topRight" dataOnly="0" labelOnly="1" outline="0" fieldPosition="0"/>
    </format>
    <format dxfId="245">
      <pivotArea field="0" type="button" dataOnly="0" labelOnly="1" outline="0"/>
    </format>
    <format dxfId="244">
      <pivotArea dataOnly="0" labelOnly="1" grandRow="1" outline="0" fieldPosition="0"/>
    </format>
    <format dxfId="243">
      <pivotArea dataOnly="0" labelOnly="1" grandCol="1" outline="0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4" type="button" dataOnly="0" labelOnly="1" outline="0"/>
    </format>
    <format dxfId="239">
      <pivotArea type="topRight" dataOnly="0" labelOnly="1" outline="0" fieldPosition="0"/>
    </format>
    <format dxfId="238">
      <pivotArea dataOnly="0" labelOnly="1" grandCol="1" outline="0" fieldPosition="0"/>
    </format>
    <format dxfId="237">
      <pivotArea dataOnly="0" labelOnly="1" grandRow="1" outline="0" fieldPosition="0"/>
    </format>
    <format dxfId="236">
      <pivotArea type="origin" dataOnly="0" labelOnly="1" outline="0" fieldPosition="0"/>
    </format>
    <format dxfId="235">
      <pivotArea field="0" type="button" dataOnly="0" labelOnly="1" outline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type="origin" dataOnly="0" labelOnly="1" outline="0" fieldPosition="0"/>
    </format>
    <format dxfId="231">
      <pivotArea field="4" type="button" dataOnly="0" labelOnly="1" outline="0"/>
    </format>
    <format dxfId="230">
      <pivotArea type="topRight" dataOnly="0" labelOnly="1" outline="0" fieldPosition="0"/>
    </format>
    <format dxfId="229">
      <pivotArea field="0" type="button" dataOnly="0" labelOnly="1" outline="0"/>
    </format>
    <format dxfId="228">
      <pivotArea dataOnly="0" labelOnly="1" grandRow="1" outline="0" fieldPosition="0"/>
    </format>
    <format dxfId="227">
      <pivotArea dataOnly="0" labelOnly="1" grandCol="1" outline="0" fieldPosition="0"/>
    </format>
    <format dxfId="226">
      <pivotArea dataOnly="0" labelOnly="1" grandRow="1" outline="0" fieldPosition="0"/>
    </format>
    <format dxfId="225">
      <pivotArea field="0" type="button" dataOnly="0" labelOnly="1" outline="0"/>
    </format>
    <format dxfId="224">
      <pivotArea collapsedLevelsAreSubtotals="1" fieldPosition="0">
        <references count="1">
          <reference field="1" count="1">
            <x v="1"/>
          </reference>
        </references>
      </pivotArea>
    </format>
    <format dxfId="223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FD656-8D3C-40DE-88D8-80921DA09879}" name="Tabela dinâmica10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51" rowHeaderCaption="Linha do Tempo">
  <location ref="AO4:AP20" firstHeaderRow="1" firstDataRow="1" firstDataCol="1"/>
  <pivotFields count="12">
    <pivotField showAll="0" includeNewItemsInFilter="1" sortType="ascending">
      <items count="88">
        <item m="1" x="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8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8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showAll="0" includeNewItemsInFilter="1">
      <items count="4">
        <item x="1"/>
        <item x="0"/>
        <item x="2"/>
        <item t="default"/>
      </items>
    </pivotField>
    <pivotField showAll="0"/>
    <pivotField showAll="0"/>
    <pivotField numFmtId="2"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Soma de Tempo em Funcionamento (h)" fld="8" baseField="1" baseItem="7"/>
  </dataFields>
  <formats count="36">
    <format dxfId="294">
      <pivotArea type="all" dataOnly="0" outline="0" fieldPosition="0"/>
    </format>
    <format dxfId="293">
      <pivotArea outline="0" collapsedLevelsAreSubtotals="1" fieldPosition="0"/>
    </format>
    <format dxfId="292">
      <pivotArea type="origin" dataOnly="0" labelOnly="1" outline="0" fieldPosition="0"/>
    </format>
    <format dxfId="291">
      <pivotArea field="4" type="button" dataOnly="0" labelOnly="1" outline="0"/>
    </format>
    <format dxfId="290">
      <pivotArea type="topRight" dataOnly="0" labelOnly="1" outline="0" fieldPosition="0"/>
    </format>
    <format dxfId="289">
      <pivotArea field="0" type="button" dataOnly="0" labelOnly="1" outline="0"/>
    </format>
    <format dxfId="288">
      <pivotArea dataOnly="0" labelOnly="1" grandRow="1" outline="0" fieldPosition="0"/>
    </format>
    <format dxfId="287">
      <pivotArea dataOnly="0" labelOnly="1" grandCol="1" outline="0" fieldPosition="0"/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type="origin" dataOnly="0" labelOnly="1" outline="0" fieldPosition="0"/>
    </format>
    <format dxfId="283">
      <pivotArea field="4" type="button" dataOnly="0" labelOnly="1" outline="0"/>
    </format>
    <format dxfId="282">
      <pivotArea type="topRight" dataOnly="0" labelOnly="1" outline="0" fieldPosition="0"/>
    </format>
    <format dxfId="281">
      <pivotArea field="0" type="button" dataOnly="0" labelOnly="1" outline="0"/>
    </format>
    <format dxfId="280">
      <pivotArea dataOnly="0" labelOnly="1" grandRow="1" outline="0" fieldPosition="0"/>
    </format>
    <format dxfId="279">
      <pivotArea dataOnly="0" labelOnly="1" grandCol="1" outline="0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4" type="button" dataOnly="0" labelOnly="1" outline="0"/>
    </format>
    <format dxfId="275">
      <pivotArea type="topRight" dataOnly="0" labelOnly="1" outline="0" fieldPosition="0"/>
    </format>
    <format dxfId="274">
      <pivotArea dataOnly="0" labelOnly="1" grandCol="1" outline="0" fieldPosition="0"/>
    </format>
    <format dxfId="273">
      <pivotArea dataOnly="0" labelOnly="1" grandRow="1" outline="0" fieldPosition="0"/>
    </format>
    <format dxfId="272">
      <pivotArea type="origin" dataOnly="0" labelOnly="1" outline="0" fieldPosition="0"/>
    </format>
    <format dxfId="271">
      <pivotArea field="0" type="button" dataOnly="0" labelOnly="1" outline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4" type="button" dataOnly="0" labelOnly="1" outline="0"/>
    </format>
    <format dxfId="266">
      <pivotArea type="topRight" dataOnly="0" labelOnly="1" outline="0" fieldPosition="0"/>
    </format>
    <format dxfId="265">
      <pivotArea field="0" type="button" dataOnly="0" labelOnly="1" outline="0"/>
    </format>
    <format dxfId="264">
      <pivotArea dataOnly="0" labelOnly="1" grandRow="1" outline="0" fieldPosition="0"/>
    </format>
    <format dxfId="263">
      <pivotArea dataOnly="0" labelOnly="1" grandCol="1" outline="0" fieldPosition="0"/>
    </format>
    <format dxfId="262">
      <pivotArea dataOnly="0" labelOnly="1" grandRow="1" outline="0" fieldPosition="0"/>
    </format>
    <format dxfId="261">
      <pivotArea field="0" type="button" dataOnly="0" labelOnly="1" outline="0"/>
    </format>
    <format dxfId="260">
      <pivotArea collapsedLevelsAreSubtotals="1" fieldPosition="0">
        <references count="1">
          <reference field="1" count="1">
            <x v="1"/>
          </reference>
        </references>
      </pivotArea>
    </format>
    <format dxfId="25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67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rutura" xr10:uid="{12863EE1-73B9-4065-8A57-D17A4B068E91}" sourceName="Estrutura">
  <pivotTables>
    <pivotTable tabId="3" name="Tabela dinâmica1"/>
    <pivotTable tabId="3" name="Tabela dinâmica3"/>
    <pivotTable tabId="3" name="Tabela dinâmica6"/>
    <pivotTable tabId="3" name="Tabela dinâmica8"/>
    <pivotTable tabId="3" name="Tabela dinâmica9"/>
    <pivotTable tabId="3" name="Tabela dinâmica4"/>
    <pivotTable tabId="3" name="Tabela dinâmica10"/>
  </pivotTables>
  <data>
    <tabular pivotCacheId="494748491">
      <items count="22">
        <i x="15" s="1"/>
        <i x="0" s="1"/>
        <i x="16" s="1"/>
        <i x="11" s="1"/>
        <i x="3" s="1"/>
        <i x="17" s="1"/>
        <i x="10" s="1"/>
        <i x="1" s="1"/>
        <i x="18" s="1"/>
        <i x="8" s="1"/>
        <i x="4" s="1"/>
        <i x="19" s="1"/>
        <i x="2" s="1"/>
        <i x="6" s="1"/>
        <i x="7" s="1"/>
        <i x="5" s="1"/>
        <i x="9" s="1" nd="1"/>
        <i x="14" s="1" nd="1"/>
        <i x="13" s="1" nd="1"/>
        <i x="20" s="1" nd="1"/>
        <i x="1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ruturas" xr10:uid="{CF94E9FD-F8B6-4415-B746-E95EEEE94930}" cache="SegmentaçãodeDados_Estrutura" caption="Estruturas" startItem="1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2E817-422B-4122-98C0-1E8AF79AD0C4}" name="Tabela1" displayName="Tabela1" ref="B8:K221" totalsRowShown="0" headerRowDxfId="306" dataDxfId="305">
  <autoFilter ref="B8:K221" xr:uid="{ACA2E817-422B-4122-98C0-1E8AF79AD0C4}"/>
  <sortState xmlns:xlrd2="http://schemas.microsoft.com/office/spreadsheetml/2017/richdata2" ref="B9:K1130">
    <sortCondition ref="B8:B1130"/>
  </sortState>
  <tableColumns count="10">
    <tableColumn id="1" xr3:uid="{E5DA17D6-79AF-4240-9718-00F584036F6D}" name="Data da Ocorrência" dataDxfId="304"/>
    <tableColumn id="2" xr3:uid="{DB4638F0-236D-46DA-B627-2848FEB0D327}" name="Estrutura" dataDxfId="303"/>
    <tableColumn id="8" xr3:uid="{65B97A59-D8C9-47DF-AE88-827D8C559339}" name="Nome Reduzido" dataDxfId="302">
      <calculatedColumnFormula>MID(Tabela1[[#This Row],[Estrutura]], 1, 5)</calculatedColumnFormula>
    </tableColumn>
    <tableColumn id="9" xr3:uid="{EDDD6726-22AE-4F17-91CF-9DC85A64BC19}" name="Contagem de Ocorrências" dataDxfId="301">
      <calculatedColumnFormula>COUNTIFS(Tabela1[Data da Ocorrência], Tabela1[[#This Row],[Data da Ocorrência]], Tabela1[Nome Reduzido], Tabela1[[#This Row],[Nome Reduzido]])</calculatedColumnFormula>
    </tableColumn>
    <tableColumn id="3" xr3:uid="{D03B34B6-661B-45A1-95CA-7CB991A76876}" name="Tipo" dataDxfId="300"/>
    <tableColumn id="4" xr3:uid="{2289F56D-7EE5-47C3-9D8E-EB6D2A691605}" name="Início" dataDxfId="299"/>
    <tableColumn id="5" xr3:uid="{E6CFB6A6-CDF4-43C2-8C3B-B34F11B21D0F}" name="Término" dataDxfId="298"/>
    <tableColumn id="7" xr3:uid="{64F73EB1-612B-4EE7-BBEB-290EA130B651}" name="Duração da Parada (h)" dataDxfId="297">
      <calculatedColumnFormula>IF(Tabela1[[#This Row],[Tipo]] &lt;&gt; "", (Tabela1[[#This Row],[Término]] - Tabela1[[#This Row],[Início]])*24/Tabela1[[#This Row],[Contagem de Ocorrências]], "—")</calculatedColumnFormula>
    </tableColumn>
    <tableColumn id="6" xr3:uid="{3EBC6B9C-F3A5-4523-895F-62C6BE2FDBDE}" name="Tempo em Funcionamento (h)" dataDxfId="296">
      <calculatedColumnFormula>IF(Tabela1[[#This Row],[Duração da Parada (h)]] &lt;&gt; "—", (24 - Tabela1[[#This Row],[Duração da Parada (h)]]), "")</calculatedColumnFormula>
    </tableColumn>
    <tableColumn id="12" xr3:uid="{3011C56D-8C99-49A2-9173-A37A6C084E71}" name="Descriminação" dataDxfId="295"/>
  </tableColumns>
  <tableStyleInfo name="Grey TableStyle v1.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a_Ocorrência" xr10:uid="{E820AF38-0A28-493F-9353-DF0B9A007598}" sourceName="Data da Ocorrência">
  <pivotTables>
    <pivotTable tabId="3" name="Tabela dinâmica1"/>
    <pivotTable tabId="3" name="Tabela dinâmica6"/>
    <pivotTable tabId="3" name="Tabela dinâmica5"/>
    <pivotTable tabId="3" name="Tabela dinâmica8"/>
    <pivotTable tabId="3" name="Tabela dinâmica3"/>
    <pivotTable tabId="3" name="Tabela dinâmica9"/>
    <pivotTable tabId="3" name="Tabela dinâmica4"/>
    <pivotTable tabId="3" name="Tabela dinâmica10"/>
  </pivotTables>
  <state minimalRefreshVersion="6" lastRefreshVersion="6" pivotCacheId="494748491" filterType="dateBetween">
    <selection startDate="2025-11-15T00:00:00" endDate="2026-01-16T00:00:00"/>
    <bounds startDate="1904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Ocorrência" xr10:uid="{63C4CD59-63F4-4091-A6D1-A7D441911C8E}" cache="NativeTimeline_Data_da_Ocorrência" caption="Data da Ocorrência" level="3" selectionLevel="3" scrollPosition="2025-12-17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7FF0-C495-4BB7-BF8E-1430346BC6E2}">
  <sheetPr codeName="Planilha1"/>
  <dimension ref="A1:AB114"/>
  <sheetViews>
    <sheetView showGridLines="0" topLeftCell="A61" zoomScaleNormal="100" zoomScaleSheetLayoutView="100" workbookViewId="0">
      <selection activeCell="H11" sqref="H11:Z11"/>
    </sheetView>
  </sheetViews>
  <sheetFormatPr defaultColWidth="0" defaultRowHeight="15" zeroHeight="1" x14ac:dyDescent="0.25"/>
  <cols>
    <col min="1" max="1" width="1.7109375" style="11" customWidth="1"/>
    <col min="2" max="6" width="8.85546875" style="11" customWidth="1"/>
    <col min="7" max="7" width="1.7109375" style="11" customWidth="1"/>
    <col min="8" max="15" width="8.85546875" style="11" customWidth="1"/>
    <col min="16" max="16" width="1.7109375" style="11" customWidth="1"/>
    <col min="17" max="20" width="8.85546875" style="11" customWidth="1"/>
    <col min="21" max="21" width="1.7109375" style="11" customWidth="1"/>
    <col min="22" max="26" width="8.85546875" style="11" customWidth="1"/>
    <col min="27" max="28" width="1.7109375" style="11" customWidth="1"/>
    <col min="29" max="16384" width="8.85546875" style="11" hidden="1"/>
  </cols>
  <sheetData>
    <row r="1" spans="8:26" ht="9" customHeight="1" x14ac:dyDescent="0.25"/>
    <row r="2" spans="8:26" ht="18" customHeight="1" x14ac:dyDescent="0.25"/>
    <row r="3" spans="8:26" ht="9" customHeight="1" x14ac:dyDescent="0.25"/>
    <row r="4" spans="8:26" ht="14.45" customHeight="1" x14ac:dyDescent="0.25"/>
    <row r="5" spans="8:26" ht="14.45" customHeight="1" x14ac:dyDescent="0.25"/>
    <row r="6" spans="8:26" ht="14.45" customHeight="1" x14ac:dyDescent="0.25"/>
    <row r="7" spans="8:26" ht="14.45" customHeight="1" x14ac:dyDescent="0.25"/>
    <row r="8" spans="8:26" ht="14.45" customHeight="1" x14ac:dyDescent="0.25"/>
    <row r="9" spans="8:26" ht="14.45" customHeight="1" x14ac:dyDescent="0.25"/>
    <row r="10" spans="8:26" ht="9" customHeight="1" x14ac:dyDescent="0.25"/>
    <row r="11" spans="8:26" s="12" customFormat="1" ht="18" customHeight="1" x14ac:dyDescent="0.25">
      <c r="H11" s="63" t="s">
        <v>103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5"/>
    </row>
    <row r="12" spans="8:26" ht="9" customHeight="1" x14ac:dyDescent="0.25"/>
    <row r="13" spans="8:26" x14ac:dyDescent="0.25"/>
    <row r="14" spans="8:26" x14ac:dyDescent="0.25"/>
    <row r="15" spans="8:26" x14ac:dyDescent="0.25"/>
    <row r="16" spans="8:26" x14ac:dyDescent="0.25"/>
    <row r="17" spans="2:26" x14ac:dyDescent="0.25"/>
    <row r="18" spans="2:26" x14ac:dyDescent="0.25">
      <c r="B18" s="66" t="s">
        <v>101</v>
      </c>
      <c r="C18" s="67"/>
      <c r="D18" s="67"/>
      <c r="E18" s="67"/>
      <c r="F18" s="68"/>
    </row>
    <row r="19" spans="2:26" ht="9" customHeight="1" x14ac:dyDescent="0.25"/>
    <row r="20" spans="2:26" ht="18" customHeight="1" x14ac:dyDescent="0.25">
      <c r="B20" s="60" t="s">
        <v>117</v>
      </c>
      <c r="C20" s="61"/>
      <c r="D20" s="61"/>
      <c r="E20" s="61"/>
      <c r="F20" s="62"/>
    </row>
    <row r="21" spans="2:26" ht="9" customHeight="1" x14ac:dyDescent="0.25"/>
    <row r="22" spans="2:26" x14ac:dyDescent="0.25">
      <c r="B22" s="35"/>
      <c r="C22" s="36"/>
      <c r="D22" s="36"/>
      <c r="E22" s="36"/>
      <c r="F22" s="37"/>
    </row>
    <row r="23" spans="2:26" ht="21" customHeight="1" x14ac:dyDescent="0.25">
      <c r="B23" s="38"/>
      <c r="C23" s="39"/>
      <c r="D23" s="39"/>
      <c r="E23" s="39"/>
      <c r="F23" s="40"/>
    </row>
    <row r="24" spans="2:26" ht="9" customHeight="1" x14ac:dyDescent="0.25">
      <c r="B24" s="38"/>
      <c r="C24" s="39"/>
      <c r="D24" s="39"/>
      <c r="E24" s="39"/>
      <c r="F24" s="40"/>
    </row>
    <row r="25" spans="2:26" ht="14.45" customHeight="1" x14ac:dyDescent="0.25">
      <c r="B25" s="66" t="s">
        <v>118</v>
      </c>
      <c r="C25" s="67"/>
      <c r="D25" s="67"/>
      <c r="E25" s="67"/>
      <c r="F25" s="68"/>
    </row>
    <row r="26" spans="2:26" ht="9" customHeight="1" x14ac:dyDescent="0.25"/>
    <row r="27" spans="2:26" ht="18" customHeight="1" x14ac:dyDescent="0.25">
      <c r="B27" s="63" t="s">
        <v>104</v>
      </c>
      <c r="C27" s="64"/>
      <c r="D27" s="64"/>
      <c r="E27" s="64"/>
      <c r="F27" s="65"/>
    </row>
    <row r="28" spans="2:26" ht="9" customHeight="1" x14ac:dyDescent="0.25"/>
    <row r="29" spans="2:26" x14ac:dyDescent="0.25"/>
    <row r="30" spans="2:26" x14ac:dyDescent="0.25"/>
    <row r="31" spans="2:26" ht="9" customHeight="1" x14ac:dyDescent="0.25"/>
    <row r="32" spans="2:26" s="12" customFormat="1" ht="18" customHeight="1" x14ac:dyDescent="0.25">
      <c r="H32" s="63" t="s">
        <v>102</v>
      </c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5"/>
    </row>
    <row r="33" spans="2:6" ht="9" customHeight="1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ht="9" customHeight="1" x14ac:dyDescent="0.25">
      <c r="B42" s="12"/>
      <c r="C42" s="12"/>
      <c r="D42" s="12"/>
      <c r="E42" s="12"/>
      <c r="F42" s="12"/>
    </row>
    <row r="43" spans="2:6" ht="18" customHeight="1" x14ac:dyDescent="0.25">
      <c r="B43" s="63" t="s">
        <v>143</v>
      </c>
      <c r="C43" s="64"/>
      <c r="D43" s="64"/>
      <c r="E43" s="64"/>
      <c r="F43" s="65"/>
    </row>
    <row r="44" spans="2:6" ht="9" customHeight="1" x14ac:dyDescent="0.25"/>
    <row r="45" spans="2:6" ht="9" customHeight="1" x14ac:dyDescent="0.25"/>
    <row r="46" spans="2:6" x14ac:dyDescent="0.25"/>
    <row r="47" spans="2:6" x14ac:dyDescent="0.25"/>
    <row r="48" spans="2:6" x14ac:dyDescent="0.25"/>
    <row r="49" spans="2:26" x14ac:dyDescent="0.25"/>
    <row r="50" spans="2:26" x14ac:dyDescent="0.25"/>
    <row r="51" spans="2:26" x14ac:dyDescent="0.25"/>
    <row r="52" spans="2:26" x14ac:dyDescent="0.25"/>
    <row r="53" spans="2:26" x14ac:dyDescent="0.25"/>
    <row r="54" spans="2:26" x14ac:dyDescent="0.25"/>
    <row r="55" spans="2:26" x14ac:dyDescent="0.25"/>
    <row r="56" spans="2:26" x14ac:dyDescent="0.25"/>
    <row r="57" spans="2:26" x14ac:dyDescent="0.25"/>
    <row r="58" spans="2:26" ht="9" customHeight="1" x14ac:dyDescent="0.25"/>
    <row r="59" spans="2:26" ht="9" customHeight="1" x14ac:dyDescent="0.25"/>
    <row r="60" spans="2:26" ht="18" customHeight="1" x14ac:dyDescent="0.25">
      <c r="B60" s="57" t="s">
        <v>120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9"/>
    </row>
    <row r="61" spans="2:26" ht="9" customHeight="1" x14ac:dyDescent="0.25"/>
    <row r="62" spans="2:26" x14ac:dyDescent="0.25"/>
    <row r="63" spans="2:26" x14ac:dyDescent="0.25"/>
    <row r="64" spans="2:26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ht="14.45" customHeight="1" x14ac:dyDescent="0.25"/>
    <row r="92" spans="2:2" ht="14.45" customHeight="1" x14ac:dyDescent="0.25">
      <c r="B92" s="43"/>
    </row>
    <row r="93" spans="2:2" ht="14.45" customHeight="1" x14ac:dyDescent="0.25"/>
    <row r="94" spans="2:2" s="47" customFormat="1" ht="14.45" customHeight="1" x14ac:dyDescent="0.25">
      <c r="B94" s="50"/>
    </row>
    <row r="95" spans="2:2" s="47" customFormat="1" ht="14.45" customHeight="1" x14ac:dyDescent="0.25">
      <c r="B95" s="50"/>
    </row>
    <row r="96" spans="2:2" s="47" customFormat="1" ht="14.45" customHeight="1" x14ac:dyDescent="0.25">
      <c r="B96" s="50"/>
    </row>
    <row r="97" spans="2:2" s="47" customFormat="1" ht="14.45" customHeight="1" x14ac:dyDescent="0.25">
      <c r="B97" s="50"/>
    </row>
    <row r="98" spans="2:2" s="47" customFormat="1" ht="14.45" customHeight="1" x14ac:dyDescent="0.25">
      <c r="B98" s="50"/>
    </row>
    <row r="99" spans="2:2" ht="14.45" customHeight="1" x14ac:dyDescent="0.25"/>
    <row r="100" spans="2:2" ht="14.45" customHeight="1" x14ac:dyDescent="0.25">
      <c r="B100" s="50"/>
    </row>
    <row r="101" spans="2:2" ht="14.45" customHeight="1" x14ac:dyDescent="0.25">
      <c r="B101" s="52" t="s">
        <v>121</v>
      </c>
    </row>
    <row r="102" spans="2:2" ht="3" customHeight="1" x14ac:dyDescent="0.25">
      <c r="B102" s="53"/>
    </row>
    <row r="103" spans="2:2" s="47" customFormat="1" ht="12" customHeight="1" x14ac:dyDescent="0.25">
      <c r="B103" s="54" t="s">
        <v>149</v>
      </c>
    </row>
    <row r="104" spans="2:2" s="47" customFormat="1" ht="12" customHeight="1" x14ac:dyDescent="0.25">
      <c r="B104" s="54" t="s">
        <v>150</v>
      </c>
    </row>
    <row r="105" spans="2:2" s="47" customFormat="1" ht="12" customHeight="1" x14ac:dyDescent="0.25">
      <c r="B105" s="54" t="s">
        <v>146</v>
      </c>
    </row>
    <row r="106" spans="2:2" s="47" customFormat="1" ht="12" customHeight="1" x14ac:dyDescent="0.25">
      <c r="B106" s="54" t="s">
        <v>147</v>
      </c>
    </row>
    <row r="107" spans="2:2" s="47" customFormat="1" ht="12" customHeight="1" x14ac:dyDescent="0.25">
      <c r="B107" s="55"/>
    </row>
    <row r="108" spans="2:2" ht="14.45" customHeight="1" x14ac:dyDescent="0.25">
      <c r="B108" s="52" t="s">
        <v>111</v>
      </c>
    </row>
    <row r="109" spans="2:2" ht="3" customHeight="1" x14ac:dyDescent="0.25">
      <c r="B109" s="53"/>
    </row>
    <row r="110" spans="2:2" ht="14.45" customHeight="1" x14ac:dyDescent="0.25">
      <c r="B110" s="54" t="s">
        <v>151</v>
      </c>
    </row>
    <row r="111" spans="2:2" ht="14.45" customHeight="1" x14ac:dyDescent="0.25">
      <c r="B111" s="54" t="s">
        <v>145</v>
      </c>
    </row>
    <row r="112" spans="2:2" ht="14.45" customHeight="1" x14ac:dyDescent="0.25">
      <c r="B112" s="54" t="s">
        <v>144</v>
      </c>
    </row>
    <row r="113" ht="9" customHeight="1" x14ac:dyDescent="0.25"/>
    <row r="114" ht="9" customHeight="1" x14ac:dyDescent="0.25"/>
  </sheetData>
  <sheetProtection algorithmName="SHA-512" hashValue="JgNV3DF/giyTexRzCDmHPVkmxZxJ6k5LxQ9wsS6CP3i2pHK2c/j+9vDmqphiAQ3ZjWkJA/MroXuWeWtjayzUQw==" saltValue="E2w7Nt1R9knYEkqdw8/V2A==" spinCount="100000" sheet="1" objects="1" scenarios="1" selectLockedCells="1" sort="0" autoFilter="0" pivotTables="0" selectUnlockedCells="1"/>
  <mergeCells count="8">
    <mergeCell ref="B60:Z60"/>
    <mergeCell ref="B20:F20"/>
    <mergeCell ref="B43:F43"/>
    <mergeCell ref="H11:Z11"/>
    <mergeCell ref="H32:Z32"/>
    <mergeCell ref="B27:F27"/>
    <mergeCell ref="B18:F18"/>
    <mergeCell ref="B25:F25"/>
  </mergeCells>
  <printOptions horizontalCentered="1" verticalCentered="1"/>
  <pageMargins left="0" right="0" top="0" bottom="0" header="0" footer="0"/>
  <pageSetup paperSize="9" scale="70" orientation="landscape" r:id="rId1"/>
  <rowBreaks count="1" manualBreakCount="1">
    <brk id="58" max="26" man="1"/>
  </rowBreaks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76EB-5ACF-4E12-9324-06FEE6AF9A98}">
  <sheetPr codeName="Planilha2"/>
  <dimension ref="A1:L1135"/>
  <sheetViews>
    <sheetView showGridLines="0" tabSelected="1" zoomScale="85" zoomScaleNormal="85" workbookViewId="0">
      <pane xSplit="2" ySplit="8" topLeftCell="F220" activePane="bottomRight" state="frozen"/>
      <selection pane="topRight" activeCell="C1" sqref="C1"/>
      <selection pane="bottomLeft" activeCell="A3" sqref="A3"/>
      <selection pane="bottomRight" activeCell="H222" sqref="H222"/>
    </sheetView>
  </sheetViews>
  <sheetFormatPr defaultColWidth="0" defaultRowHeight="15" x14ac:dyDescent="0.25"/>
  <cols>
    <col min="1" max="1" width="1.7109375" style="3" customWidth="1"/>
    <col min="2" max="2" width="22.28515625" style="18" customWidth="1"/>
    <col min="3" max="3" width="44.42578125" style="19" customWidth="1"/>
    <col min="4" max="4" width="12.85546875" style="19" hidden="1" customWidth="1"/>
    <col min="5" max="5" width="17.28515625" style="19" hidden="1" customWidth="1"/>
    <col min="6" max="6" width="16.7109375" style="18" customWidth="1"/>
    <col min="7" max="8" width="13.85546875" style="19" customWidth="1"/>
    <col min="9" max="9" width="15.42578125" style="4" customWidth="1"/>
    <col min="10" max="10" width="22.28515625" style="4" customWidth="1"/>
    <col min="11" max="11" width="168" style="20" customWidth="1"/>
    <col min="12" max="12" width="1.7109375" style="3" customWidth="1"/>
    <col min="13" max="16384" width="8.85546875" style="3" hidden="1"/>
  </cols>
  <sheetData>
    <row r="1" spans="2:11" ht="9" customHeight="1" x14ac:dyDescent="0.25">
      <c r="B1" s="4"/>
      <c r="C1" s="3"/>
      <c r="D1" s="3"/>
      <c r="E1" s="3"/>
      <c r="F1" s="4"/>
      <c r="G1" s="3"/>
      <c r="H1" s="3"/>
      <c r="K1" s="7"/>
    </row>
    <row r="2" spans="2:11" ht="14.45" customHeight="1" x14ac:dyDescent="0.25">
      <c r="B2" s="41" t="s">
        <v>111</v>
      </c>
      <c r="C2" s="3"/>
      <c r="D2" s="3"/>
      <c r="E2" s="3"/>
      <c r="F2" s="4"/>
      <c r="G2" s="3"/>
      <c r="H2" s="3"/>
      <c r="K2" s="7"/>
    </row>
    <row r="3" spans="2:11" ht="3" customHeight="1" x14ac:dyDescent="0.25">
      <c r="B3" s="4"/>
      <c r="C3" s="3"/>
      <c r="D3" s="3"/>
      <c r="E3" s="3"/>
      <c r="F3" s="4"/>
      <c r="G3" s="3"/>
      <c r="H3" s="3"/>
      <c r="K3" s="7"/>
    </row>
    <row r="4" spans="2:11" s="30" customFormat="1" ht="12" customHeight="1" x14ac:dyDescent="0.25">
      <c r="B4" s="32" t="s">
        <v>133</v>
      </c>
      <c r="F4" s="29"/>
      <c r="I4" s="29"/>
      <c r="J4" s="29"/>
      <c r="K4" s="31"/>
    </row>
    <row r="5" spans="2:11" s="30" customFormat="1" ht="12" customHeight="1" x14ac:dyDescent="0.25">
      <c r="B5" s="32" t="s">
        <v>132</v>
      </c>
      <c r="F5" s="29"/>
      <c r="I5" s="29"/>
      <c r="J5" s="29"/>
      <c r="K5" s="31"/>
    </row>
    <row r="6" spans="2:11" s="30" customFormat="1" ht="12" customHeight="1" x14ac:dyDescent="0.25">
      <c r="B6" s="32" t="s">
        <v>134</v>
      </c>
      <c r="F6" s="29"/>
      <c r="I6" s="29"/>
      <c r="J6" s="29"/>
      <c r="K6" s="31"/>
    </row>
    <row r="7" spans="2:11" ht="9" customHeight="1" x14ac:dyDescent="0.25">
      <c r="B7" s="4"/>
      <c r="C7" s="3"/>
      <c r="D7" s="3"/>
      <c r="E7" s="3"/>
      <c r="F7" s="4"/>
      <c r="G7" s="3"/>
      <c r="H7" s="3"/>
      <c r="K7" s="7"/>
    </row>
    <row r="8" spans="2:11" s="14" customFormat="1" ht="30" customHeight="1" x14ac:dyDescent="0.25">
      <c r="B8" s="14" t="s">
        <v>0</v>
      </c>
      <c r="C8" s="14" t="s">
        <v>1</v>
      </c>
      <c r="D8" s="14" t="s">
        <v>184</v>
      </c>
      <c r="E8" s="14" t="s">
        <v>185</v>
      </c>
      <c r="F8" s="14" t="s">
        <v>2</v>
      </c>
      <c r="G8" s="14" t="s">
        <v>18</v>
      </c>
      <c r="H8" s="14" t="s">
        <v>19</v>
      </c>
      <c r="I8" s="14" t="s">
        <v>109</v>
      </c>
      <c r="J8" s="14" t="s">
        <v>135</v>
      </c>
      <c r="K8" s="14" t="s">
        <v>3</v>
      </c>
    </row>
    <row r="9" spans="2:11" ht="30" x14ac:dyDescent="0.25">
      <c r="B9" s="21">
        <v>44974</v>
      </c>
      <c r="C9" s="19" t="s">
        <v>4</v>
      </c>
      <c r="D9" s="3" t="str">
        <f>MID(Tabela1[[#This Row],[Estrutura]], 1, 5)</f>
        <v>SE-E1</v>
      </c>
      <c r="E9" s="3">
        <f>COUNTIFS(Tabela1[Data da Ocorrência], Tabela1[[#This Row],[Data da Ocorrência]], Tabela1[Nome Reduzido], Tabela1[[#This Row],[Nome Reduzido]])</f>
        <v>1</v>
      </c>
      <c r="F9" s="18" t="s">
        <v>16</v>
      </c>
      <c r="G9" s="22">
        <v>0.82152777777777775</v>
      </c>
      <c r="H9" s="22">
        <v>0.99998842592592596</v>
      </c>
      <c r="I9" s="28">
        <f>IF(Tabela1[[#This Row],[Tipo]] &lt;&gt; "", (Tabela1[[#This Row],[Término]] - Tabela1[[#This Row],[Início]])*24/Tabela1[[#This Row],[Contagem de Ocorrências]], "—")</f>
        <v>4.2830555555555572</v>
      </c>
      <c r="J9" s="28">
        <f>IF(Tabela1[[#This Row],[Duração da Parada (h)]] &lt;&gt; "—", (24 - Tabela1[[#This Row],[Duração da Parada (h)]]), "")</f>
        <v>19.716944444444444</v>
      </c>
      <c r="K9" s="20" t="s">
        <v>20</v>
      </c>
    </row>
    <row r="10" spans="2:11" x14ac:dyDescent="0.25">
      <c r="B10" s="21">
        <v>44975</v>
      </c>
      <c r="C10" s="19" t="s">
        <v>4</v>
      </c>
      <c r="D10" s="3" t="str">
        <f>MID(Tabela1[[#This Row],[Estrutura]], 1, 5)</f>
        <v>SE-E1</v>
      </c>
      <c r="E10" s="3">
        <f>COUNTIFS(Tabela1[Data da Ocorrência], Tabela1[[#This Row],[Data da Ocorrência]], Tabela1[Nome Reduzido], Tabela1[[#This Row],[Nome Reduzido]])</f>
        <v>1</v>
      </c>
      <c r="F10" s="18" t="s">
        <v>16</v>
      </c>
      <c r="G10" s="22">
        <v>0</v>
      </c>
      <c r="H10" s="22">
        <v>0.99998842592592596</v>
      </c>
      <c r="I10" s="28">
        <f>IF(Tabela1[[#This Row],[Tipo]] &lt;&gt; "", (Tabela1[[#This Row],[Término]] - Tabela1[[#This Row],[Início]])*24/Tabela1[[#This Row],[Contagem de Ocorrências]], "—")</f>
        <v>23.999722222222225</v>
      </c>
      <c r="J10" s="28">
        <f>IF(Tabela1[[#This Row],[Duração da Parada (h)]] &lt;&gt; "—", (24 - Tabela1[[#This Row],[Duração da Parada (h)]]), "")</f>
        <v>2.7777777777515666E-4</v>
      </c>
      <c r="K10" s="20" t="s">
        <v>137</v>
      </c>
    </row>
    <row r="11" spans="2:11" x14ac:dyDescent="0.25">
      <c r="B11" s="21">
        <v>44976</v>
      </c>
      <c r="C11" s="19" t="s">
        <v>4</v>
      </c>
      <c r="D11" s="3" t="str">
        <f>MID(Tabela1[[#This Row],[Estrutura]], 1, 5)</f>
        <v>SE-E1</v>
      </c>
      <c r="E11" s="3">
        <f>COUNTIFS(Tabela1[Data da Ocorrência], Tabela1[[#This Row],[Data da Ocorrência]], Tabela1[Nome Reduzido], Tabela1[[#This Row],[Nome Reduzido]])</f>
        <v>1</v>
      </c>
      <c r="F11" s="18" t="s">
        <v>16</v>
      </c>
      <c r="G11" s="22">
        <v>0</v>
      </c>
      <c r="H11" s="22">
        <v>0.99998842592592596</v>
      </c>
      <c r="I11" s="28">
        <f>IF(Tabela1[[#This Row],[Tipo]] &lt;&gt; "", (Tabela1[[#This Row],[Término]] - Tabela1[[#This Row],[Início]])*24/Tabela1[[#This Row],[Contagem de Ocorrências]], "—")</f>
        <v>23.999722222222225</v>
      </c>
      <c r="J11" s="28">
        <f>IF(Tabela1[[#This Row],[Duração da Parada (h)]] &lt;&gt; "—", (24 - Tabela1[[#This Row],[Duração da Parada (h)]]), "")</f>
        <v>2.7777777777515666E-4</v>
      </c>
      <c r="K11" s="20" t="s">
        <v>137</v>
      </c>
    </row>
    <row r="12" spans="2:11" x14ac:dyDescent="0.25">
      <c r="B12" s="21">
        <v>44977</v>
      </c>
      <c r="C12" s="19" t="s">
        <v>4</v>
      </c>
      <c r="D12" s="3" t="str">
        <f>MID(Tabela1[[#This Row],[Estrutura]], 1, 5)</f>
        <v>SE-E1</v>
      </c>
      <c r="E12" s="3">
        <f>COUNTIFS(Tabela1[Data da Ocorrência], Tabela1[[#This Row],[Data da Ocorrência]], Tabela1[Nome Reduzido], Tabela1[[#This Row],[Nome Reduzido]])</f>
        <v>1</v>
      </c>
      <c r="F12" s="18" t="s">
        <v>16</v>
      </c>
      <c r="G12" s="22">
        <v>0</v>
      </c>
      <c r="H12" s="22">
        <v>0.99998842592592596</v>
      </c>
      <c r="I12" s="28">
        <f>IF(Tabela1[[#This Row],[Tipo]] &lt;&gt; "", (Tabela1[[#This Row],[Término]] - Tabela1[[#This Row],[Início]])*24/Tabela1[[#This Row],[Contagem de Ocorrências]], "—")</f>
        <v>23.999722222222225</v>
      </c>
      <c r="J12" s="28">
        <f>IF(Tabela1[[#This Row],[Duração da Parada (h)]] &lt;&gt; "—", (24 - Tabela1[[#This Row],[Duração da Parada (h)]]), "")</f>
        <v>2.7777777777515666E-4</v>
      </c>
      <c r="K12" s="20" t="s">
        <v>137</v>
      </c>
    </row>
    <row r="13" spans="2:11" x14ac:dyDescent="0.25">
      <c r="B13" s="21">
        <v>44978</v>
      </c>
      <c r="C13" s="19" t="s">
        <v>4</v>
      </c>
      <c r="D13" s="3" t="str">
        <f>MID(Tabela1[[#This Row],[Estrutura]], 1, 5)</f>
        <v>SE-E1</v>
      </c>
      <c r="E13" s="3">
        <f>COUNTIFS(Tabela1[Data da Ocorrência], Tabela1[[#This Row],[Data da Ocorrência]], Tabela1[Nome Reduzido], Tabela1[[#This Row],[Nome Reduzido]])</f>
        <v>1</v>
      </c>
      <c r="F13" s="18" t="s">
        <v>16</v>
      </c>
      <c r="G13" s="22">
        <v>0</v>
      </c>
      <c r="H13" s="22">
        <v>0.99998842592592596</v>
      </c>
      <c r="I13" s="28">
        <f>IF(Tabela1[[#This Row],[Tipo]] &lt;&gt; "", (Tabela1[[#This Row],[Término]] - Tabela1[[#This Row],[Início]])*24/Tabela1[[#This Row],[Contagem de Ocorrências]], "—")</f>
        <v>23.999722222222225</v>
      </c>
      <c r="J13" s="28">
        <f>IF(Tabela1[[#This Row],[Duração da Parada (h)]] &lt;&gt; "—", (24 - Tabela1[[#This Row],[Duração da Parada (h)]]), "")</f>
        <v>2.7777777777515666E-4</v>
      </c>
      <c r="K13" s="20" t="s">
        <v>137</v>
      </c>
    </row>
    <row r="14" spans="2:11" x14ac:dyDescent="0.25">
      <c r="B14" s="21">
        <v>44979</v>
      </c>
      <c r="C14" s="19" t="s">
        <v>4</v>
      </c>
      <c r="D14" s="3" t="str">
        <f>MID(Tabela1[[#This Row],[Estrutura]], 1, 5)</f>
        <v>SE-E1</v>
      </c>
      <c r="E14" s="3">
        <f>COUNTIFS(Tabela1[Data da Ocorrência], Tabela1[[#This Row],[Data da Ocorrência]], Tabela1[Nome Reduzido], Tabela1[[#This Row],[Nome Reduzido]])</f>
        <v>1</v>
      </c>
      <c r="F14" s="18" t="s">
        <v>16</v>
      </c>
      <c r="G14" s="22">
        <v>0</v>
      </c>
      <c r="H14" s="22">
        <v>0.99998842592592596</v>
      </c>
      <c r="I14" s="28">
        <f>IF(Tabela1[[#This Row],[Tipo]] &lt;&gt; "", (Tabela1[[#This Row],[Término]] - Tabela1[[#This Row],[Início]])*24/Tabela1[[#This Row],[Contagem de Ocorrências]], "—")</f>
        <v>23.999722222222225</v>
      </c>
      <c r="J14" s="28">
        <f>IF(Tabela1[[#This Row],[Duração da Parada (h)]] &lt;&gt; "—", (24 - Tabela1[[#This Row],[Duração da Parada (h)]]), "")</f>
        <v>2.7777777777515666E-4</v>
      </c>
      <c r="K14" s="20" t="s">
        <v>137</v>
      </c>
    </row>
    <row r="15" spans="2:11" x14ac:dyDescent="0.25">
      <c r="B15" s="21">
        <v>44980</v>
      </c>
      <c r="C15" s="19" t="s">
        <v>4</v>
      </c>
      <c r="D15" s="3" t="str">
        <f>MID(Tabela1[[#This Row],[Estrutura]], 1, 5)</f>
        <v>SE-E1</v>
      </c>
      <c r="E15" s="3">
        <f>COUNTIFS(Tabela1[Data da Ocorrência], Tabela1[[#This Row],[Data da Ocorrência]], Tabela1[Nome Reduzido], Tabela1[[#This Row],[Nome Reduzido]])</f>
        <v>1</v>
      </c>
      <c r="F15" s="18" t="s">
        <v>16</v>
      </c>
      <c r="G15" s="22">
        <v>0</v>
      </c>
      <c r="H15" s="22">
        <v>0.99998842592592596</v>
      </c>
      <c r="I15" s="28">
        <f>IF(Tabela1[[#This Row],[Tipo]] &lt;&gt; "", (Tabela1[[#This Row],[Término]] - Tabela1[[#This Row],[Início]])*24/Tabela1[[#This Row],[Contagem de Ocorrências]], "—")</f>
        <v>23.999722222222225</v>
      </c>
      <c r="J15" s="28">
        <f>IF(Tabela1[[#This Row],[Duração da Parada (h)]] &lt;&gt; "—", (24 - Tabela1[[#This Row],[Duração da Parada (h)]]), "")</f>
        <v>2.7777777777515666E-4</v>
      </c>
      <c r="K15" s="20" t="s">
        <v>137</v>
      </c>
    </row>
    <row r="16" spans="2:11" x14ac:dyDescent="0.25">
      <c r="B16" s="21">
        <v>44981</v>
      </c>
      <c r="C16" s="19" t="s">
        <v>4</v>
      </c>
      <c r="D16" s="3" t="str">
        <f>MID(Tabela1[[#This Row],[Estrutura]], 1, 5)</f>
        <v>SE-E1</v>
      </c>
      <c r="E16" s="3">
        <f>COUNTIFS(Tabela1[Data da Ocorrência], Tabela1[[#This Row],[Data da Ocorrência]], Tabela1[Nome Reduzido], Tabela1[[#This Row],[Nome Reduzido]])</f>
        <v>1</v>
      </c>
      <c r="F16" s="18" t="s">
        <v>16</v>
      </c>
      <c r="G16" s="22">
        <v>0</v>
      </c>
      <c r="H16" s="22">
        <v>0.99998842592592596</v>
      </c>
      <c r="I16" s="28">
        <f>IF(Tabela1[[#This Row],[Tipo]] &lt;&gt; "", (Tabela1[[#This Row],[Término]] - Tabela1[[#This Row],[Início]])*24/Tabela1[[#This Row],[Contagem de Ocorrências]], "—")</f>
        <v>23.999722222222225</v>
      </c>
      <c r="J16" s="28">
        <f>IF(Tabela1[[#This Row],[Duração da Parada (h)]] &lt;&gt; "—", (24 - Tabela1[[#This Row],[Duração da Parada (h)]]), "")</f>
        <v>2.7777777777515666E-4</v>
      </c>
      <c r="K16" s="20" t="s">
        <v>137</v>
      </c>
    </row>
    <row r="17" spans="2:11" x14ac:dyDescent="0.25">
      <c r="B17" s="21">
        <v>44982</v>
      </c>
      <c r="C17" s="19" t="s">
        <v>4</v>
      </c>
      <c r="D17" s="3" t="str">
        <f>MID(Tabela1[[#This Row],[Estrutura]], 1, 5)</f>
        <v>SE-E1</v>
      </c>
      <c r="E17" s="3">
        <f>COUNTIFS(Tabela1[Data da Ocorrência], Tabela1[[#This Row],[Data da Ocorrência]], Tabela1[Nome Reduzido], Tabela1[[#This Row],[Nome Reduzido]])</f>
        <v>1</v>
      </c>
      <c r="F17" s="18" t="s">
        <v>16</v>
      </c>
      <c r="G17" s="22">
        <v>0</v>
      </c>
      <c r="H17" s="22">
        <v>0.99998842592592596</v>
      </c>
      <c r="I17" s="28">
        <f>IF(Tabela1[[#This Row],[Tipo]] &lt;&gt; "", (Tabela1[[#This Row],[Término]] - Tabela1[[#This Row],[Início]])*24/Tabela1[[#This Row],[Contagem de Ocorrências]], "—")</f>
        <v>23.999722222222225</v>
      </c>
      <c r="J17" s="28">
        <f>IF(Tabela1[[#This Row],[Duração da Parada (h)]] &lt;&gt; "—", (24 - Tabela1[[#This Row],[Duração da Parada (h)]]), "")</f>
        <v>2.7777777777515666E-4</v>
      </c>
      <c r="K17" s="20" t="s">
        <v>137</v>
      </c>
    </row>
    <row r="18" spans="2:11" x14ac:dyDescent="0.25">
      <c r="B18" s="21">
        <v>44983</v>
      </c>
      <c r="C18" s="19" t="s">
        <v>4</v>
      </c>
      <c r="D18" s="3" t="str">
        <f>MID(Tabela1[[#This Row],[Estrutura]], 1, 5)</f>
        <v>SE-E1</v>
      </c>
      <c r="E18" s="3">
        <f>COUNTIFS(Tabela1[Data da Ocorrência], Tabela1[[#This Row],[Data da Ocorrência]], Tabela1[Nome Reduzido], Tabela1[[#This Row],[Nome Reduzido]])</f>
        <v>1</v>
      </c>
      <c r="F18" s="18" t="s">
        <v>16</v>
      </c>
      <c r="G18" s="22">
        <v>0</v>
      </c>
      <c r="H18" s="22">
        <v>0.99998842592592596</v>
      </c>
      <c r="I18" s="28">
        <f>IF(Tabela1[[#This Row],[Tipo]] &lt;&gt; "", (Tabela1[[#This Row],[Término]] - Tabela1[[#This Row],[Início]])*24/Tabela1[[#This Row],[Contagem de Ocorrências]], "—")</f>
        <v>23.999722222222225</v>
      </c>
      <c r="J18" s="28">
        <f>IF(Tabela1[[#This Row],[Duração da Parada (h)]] &lt;&gt; "—", (24 - Tabela1[[#This Row],[Duração da Parada (h)]]), "")</f>
        <v>2.7777777777515666E-4</v>
      </c>
      <c r="K18" s="20" t="s">
        <v>137</v>
      </c>
    </row>
    <row r="19" spans="2:11" x14ac:dyDescent="0.25">
      <c r="B19" s="21">
        <v>44984</v>
      </c>
      <c r="C19" s="19" t="s">
        <v>4</v>
      </c>
      <c r="D19" s="3" t="str">
        <f>MID(Tabela1[[#This Row],[Estrutura]], 1, 5)</f>
        <v>SE-E1</v>
      </c>
      <c r="E19" s="3">
        <f>COUNTIFS(Tabela1[Data da Ocorrência], Tabela1[[#This Row],[Data da Ocorrência]], Tabela1[Nome Reduzido], Tabela1[[#This Row],[Nome Reduzido]])</f>
        <v>1</v>
      </c>
      <c r="F19" s="18" t="s">
        <v>16</v>
      </c>
      <c r="G19" s="22">
        <v>0</v>
      </c>
      <c r="H19" s="22">
        <v>0.99998842592592596</v>
      </c>
      <c r="I19" s="28">
        <f>IF(Tabela1[[#This Row],[Tipo]] &lt;&gt; "", (Tabela1[[#This Row],[Término]] - Tabela1[[#This Row],[Início]])*24/Tabela1[[#This Row],[Contagem de Ocorrências]], "—")</f>
        <v>23.999722222222225</v>
      </c>
      <c r="J19" s="28">
        <f>IF(Tabela1[[#This Row],[Duração da Parada (h)]] &lt;&gt; "—", (24 - Tabela1[[#This Row],[Duração da Parada (h)]]), "")</f>
        <v>2.7777777777515666E-4</v>
      </c>
      <c r="K19" s="20" t="s">
        <v>137</v>
      </c>
    </row>
    <row r="20" spans="2:11" ht="30" x14ac:dyDescent="0.25">
      <c r="B20" s="21">
        <v>44984</v>
      </c>
      <c r="C20" s="19" t="s">
        <v>5</v>
      </c>
      <c r="D20" s="3" t="str">
        <f>MID(Tabela1[[#This Row],[Estrutura]], 1, 5)</f>
        <v>SE-E3</v>
      </c>
      <c r="E20" s="3">
        <f>COUNTIFS(Tabela1[Data da Ocorrência], Tabela1[[#This Row],[Data da Ocorrência]], Tabela1[Nome Reduzido], Tabela1[[#This Row],[Nome Reduzido]])</f>
        <v>1</v>
      </c>
      <c r="F20" s="18" t="s">
        <v>16</v>
      </c>
      <c r="G20" s="22">
        <v>44984.420138888891</v>
      </c>
      <c r="H20" s="22">
        <v>44984.67083333333</v>
      </c>
      <c r="I20" s="28">
        <f>IF(Tabela1[[#This Row],[Tipo]] &lt;&gt; "", (Tabela1[[#This Row],[Término]] - Tabela1[[#This Row],[Início]])*24/Tabela1[[#This Row],[Contagem de Ocorrências]], "—")</f>
        <v>6.0166666665463708</v>
      </c>
      <c r="J20" s="28">
        <f>IF(Tabela1[[#This Row],[Duração da Parada (h)]] &lt;&gt; "—", (24 - Tabela1[[#This Row],[Duração da Parada (h)]]), "")</f>
        <v>17.983333333453629</v>
      </c>
      <c r="K20" s="20" t="s">
        <v>21</v>
      </c>
    </row>
    <row r="21" spans="2:11" ht="30" x14ac:dyDescent="0.25">
      <c r="B21" s="21">
        <v>44984</v>
      </c>
      <c r="C21" s="19" t="s">
        <v>6</v>
      </c>
      <c r="D21" s="3" t="str">
        <f>MID(Tabela1[[#This Row],[Estrutura]], 1, 5)</f>
        <v>SE-E5</v>
      </c>
      <c r="E21" s="3">
        <f>COUNTIFS(Tabela1[Data da Ocorrência], Tabela1[[#This Row],[Data da Ocorrência]], Tabela1[Nome Reduzido], Tabela1[[#This Row],[Nome Reduzido]])</f>
        <v>1</v>
      </c>
      <c r="F21" s="18" t="s">
        <v>16</v>
      </c>
      <c r="G21" s="22">
        <v>449840.25</v>
      </c>
      <c r="H21" s="22">
        <v>449840.65486111102</v>
      </c>
      <c r="I21" s="28">
        <f>IF(Tabela1[[#This Row],[Tipo]] &lt;&gt; "", (Tabela1[[#This Row],[Término]] - Tabela1[[#This Row],[Início]])*24/Tabela1[[#This Row],[Contagem de Ocorrências]], "—")</f>
        <v>9.7166666644625366</v>
      </c>
      <c r="J21" s="28">
        <f>IF(Tabela1[[#This Row],[Duração da Parada (h)]] &lt;&gt; "—", (24 - Tabela1[[#This Row],[Duração da Parada (h)]]), "")</f>
        <v>14.283333335537463</v>
      </c>
      <c r="K21" s="20" t="s">
        <v>22</v>
      </c>
    </row>
    <row r="22" spans="2:11" x14ac:dyDescent="0.25">
      <c r="B22" s="21">
        <v>44985</v>
      </c>
      <c r="C22" s="19" t="s">
        <v>4</v>
      </c>
      <c r="D22" s="3" t="str">
        <f>MID(Tabela1[[#This Row],[Estrutura]], 1, 5)</f>
        <v>SE-E1</v>
      </c>
      <c r="E22" s="3">
        <f>COUNTIFS(Tabela1[Data da Ocorrência], Tabela1[[#This Row],[Data da Ocorrência]], Tabela1[Nome Reduzido], Tabela1[[#This Row],[Nome Reduzido]])</f>
        <v>1</v>
      </c>
      <c r="F22" s="18" t="s">
        <v>16</v>
      </c>
      <c r="G22" s="22">
        <v>0</v>
      </c>
      <c r="H22" s="22">
        <v>0.99998842592592596</v>
      </c>
      <c r="I22" s="28">
        <f>IF(Tabela1[[#This Row],[Tipo]] &lt;&gt; "", (Tabela1[[#This Row],[Término]] - Tabela1[[#This Row],[Início]])*24/Tabela1[[#This Row],[Contagem de Ocorrências]], "—")</f>
        <v>23.999722222222225</v>
      </c>
      <c r="J22" s="28">
        <f>IF(Tabela1[[#This Row],[Duração da Parada (h)]] &lt;&gt; "—", (24 - Tabela1[[#This Row],[Duração da Parada (h)]]), "")</f>
        <v>2.7777777777515666E-4</v>
      </c>
      <c r="K22" s="20" t="s">
        <v>137</v>
      </c>
    </row>
    <row r="23" spans="2:11" ht="45" x14ac:dyDescent="0.25">
      <c r="B23" s="21">
        <v>44985</v>
      </c>
      <c r="C23" s="19" t="s">
        <v>7</v>
      </c>
      <c r="D23" s="3" t="str">
        <f>MID(Tabela1[[#This Row],[Estrutura]], 1, 5)</f>
        <v>SE-E2</v>
      </c>
      <c r="E23" s="3">
        <f>COUNTIFS(Tabela1[Data da Ocorrência], Tabela1[[#This Row],[Data da Ocorrência]], Tabela1[Nome Reduzido], Tabela1[[#This Row],[Nome Reduzido]])</f>
        <v>1</v>
      </c>
      <c r="F23" s="18" t="s">
        <v>16</v>
      </c>
      <c r="G23" s="22">
        <v>449850.38263888803</v>
      </c>
      <c r="H23" s="22">
        <v>449850.688194444</v>
      </c>
      <c r="I23" s="28">
        <f>IF(Tabela1[[#This Row],[Tipo]] &lt;&gt; "", (Tabela1[[#This Row],[Término]] - Tabela1[[#This Row],[Início]])*24/Tabela1[[#This Row],[Contagem de Ocorrências]], "—")</f>
        <v>7.3333333432674408</v>
      </c>
      <c r="J23" s="28">
        <f>IF(Tabela1[[#This Row],[Duração da Parada (h)]] &lt;&gt; "—", (24 - Tabela1[[#This Row],[Duração da Parada (h)]]), "")</f>
        <v>16.666666656732559</v>
      </c>
      <c r="K23" s="20" t="s">
        <v>23</v>
      </c>
    </row>
    <row r="24" spans="2:11" x14ac:dyDescent="0.25">
      <c r="B24" s="21">
        <v>44986</v>
      </c>
      <c r="C24" s="19" t="s">
        <v>4</v>
      </c>
      <c r="D24" s="3" t="str">
        <f>MID(Tabela1[[#This Row],[Estrutura]], 1, 5)</f>
        <v>SE-E1</v>
      </c>
      <c r="E24" s="3">
        <f>COUNTIFS(Tabela1[Data da Ocorrência], Tabela1[[#This Row],[Data da Ocorrência]], Tabela1[Nome Reduzido], Tabela1[[#This Row],[Nome Reduzido]])</f>
        <v>1</v>
      </c>
      <c r="F24" s="18" t="s">
        <v>16</v>
      </c>
      <c r="G24" s="22">
        <v>0</v>
      </c>
      <c r="H24" s="22">
        <v>0.46736111111111112</v>
      </c>
      <c r="I24" s="28">
        <f>IF(Tabela1[[#This Row],[Tipo]] &lt;&gt; "", (Tabela1[[#This Row],[Término]] - Tabela1[[#This Row],[Início]])*24/Tabela1[[#This Row],[Contagem de Ocorrências]], "—")</f>
        <v>11.216666666666667</v>
      </c>
      <c r="J24" s="28">
        <f>IF(Tabela1[[#This Row],[Duração da Parada (h)]] &lt;&gt; "—", (24 - Tabela1[[#This Row],[Duração da Parada (h)]]), "")</f>
        <v>12.783333333333333</v>
      </c>
      <c r="K24" s="20" t="s">
        <v>137</v>
      </c>
    </row>
    <row r="25" spans="2:11" x14ac:dyDescent="0.25">
      <c r="B25" s="21">
        <v>44987</v>
      </c>
      <c r="C25" s="19" t="s">
        <v>5</v>
      </c>
      <c r="D25" s="3" t="str">
        <f>MID(Tabela1[[#This Row],[Estrutura]], 1, 5)</f>
        <v>SE-E3</v>
      </c>
      <c r="E25" s="3">
        <f>COUNTIFS(Tabela1[Data da Ocorrência], Tabela1[[#This Row],[Data da Ocorrência]], Tabela1[Nome Reduzido], Tabela1[[#This Row],[Nome Reduzido]])</f>
        <v>1</v>
      </c>
      <c r="F25" s="18" t="s">
        <v>16</v>
      </c>
      <c r="G25" s="22">
        <v>449870.393055555</v>
      </c>
      <c r="H25" s="22">
        <v>449870.44444444397</v>
      </c>
      <c r="I25" s="28">
        <f>IF(Tabela1[[#This Row],[Tipo]] &lt;&gt; "", (Tabela1[[#This Row],[Término]] - Tabela1[[#This Row],[Início]])*24/Tabela1[[#This Row],[Contagem de Ocorrências]], "—")</f>
        <v>1.2333333352580667</v>
      </c>
      <c r="J25" s="28">
        <f>IF(Tabela1[[#This Row],[Duração da Parada (h)]] &lt;&gt; "—", (24 - Tabela1[[#This Row],[Duração da Parada (h)]]), "")</f>
        <v>22.766666664741933</v>
      </c>
      <c r="K25" s="20" t="s">
        <v>24</v>
      </c>
    </row>
    <row r="26" spans="2:11" x14ac:dyDescent="0.25">
      <c r="B26" s="21">
        <v>44998</v>
      </c>
      <c r="C26" s="19" t="s">
        <v>8</v>
      </c>
      <c r="D26" s="3" t="str">
        <f>MID(Tabela1[[#This Row],[Estrutura]], 1, 5)</f>
        <v>SE-E4</v>
      </c>
      <c r="E26" s="3">
        <f>COUNTIFS(Tabela1[Data da Ocorrência], Tabela1[[#This Row],[Data da Ocorrência]], Tabela1[Nome Reduzido], Tabela1[[#This Row],[Nome Reduzido]])</f>
        <v>1</v>
      </c>
      <c r="F26" s="18" t="s">
        <v>16</v>
      </c>
      <c r="G26" s="22">
        <v>449980.375</v>
      </c>
      <c r="H26" s="22">
        <v>449980.58124999999</v>
      </c>
      <c r="I26" s="28">
        <f>IF(Tabela1[[#This Row],[Tipo]] &lt;&gt; "", (Tabela1[[#This Row],[Término]] - Tabela1[[#This Row],[Início]])*24/Tabela1[[#This Row],[Contagem de Ocorrências]], "—")</f>
        <v>4.9499999997206032</v>
      </c>
      <c r="J26" s="28">
        <f>IF(Tabela1[[#This Row],[Duração da Parada (h)]] &lt;&gt; "—", (24 - Tabela1[[#This Row],[Duração da Parada (h)]]), "")</f>
        <v>19.050000000279397</v>
      </c>
      <c r="K26" s="20" t="s">
        <v>25</v>
      </c>
    </row>
    <row r="27" spans="2:11" ht="45" x14ac:dyDescent="0.25">
      <c r="B27" s="21">
        <v>45008</v>
      </c>
      <c r="C27" s="19" t="s">
        <v>9</v>
      </c>
      <c r="D27" s="3" t="str">
        <f>MID(Tabela1[[#This Row],[Estrutura]], 1, 5)</f>
        <v>SE-E6</v>
      </c>
      <c r="E27" s="3">
        <f>COUNTIFS(Tabela1[Data da Ocorrência], Tabela1[[#This Row],[Data da Ocorrência]], Tabela1[Nome Reduzido], Tabela1[[#This Row],[Nome Reduzido]])</f>
        <v>1</v>
      </c>
      <c r="F27" s="18" t="s">
        <v>16</v>
      </c>
      <c r="G27" s="22">
        <v>450080.56041666598</v>
      </c>
      <c r="H27" s="22">
        <v>450080.60555555503</v>
      </c>
      <c r="I27" s="28">
        <f>IF(Tabela1[[#This Row],[Tipo]] &lt;&gt; "", (Tabela1[[#This Row],[Término]] - Tabela1[[#This Row],[Início]])*24/Tabela1[[#This Row],[Contagem de Ocorrências]], "—")</f>
        <v>1.0833333372138441</v>
      </c>
      <c r="J27" s="28">
        <f>IF(Tabela1[[#This Row],[Duração da Parada (h)]] &lt;&gt; "—", (24 - Tabela1[[#This Row],[Duração da Parada (h)]]), "")</f>
        <v>22.916666662786156</v>
      </c>
      <c r="K27" s="20" t="s">
        <v>26</v>
      </c>
    </row>
    <row r="28" spans="2:11" x14ac:dyDescent="0.25">
      <c r="B28" s="21">
        <v>45015</v>
      </c>
      <c r="C28" s="19" t="s">
        <v>10</v>
      </c>
      <c r="D28" s="3" t="str">
        <f>MID(Tabela1[[#This Row],[Estrutura]], 1, 5)</f>
        <v>SE-E6</v>
      </c>
      <c r="E28" s="3">
        <f>COUNTIFS(Tabela1[Data da Ocorrência], Tabela1[[#This Row],[Data da Ocorrência]], Tabela1[Nome Reduzido], Tabela1[[#This Row],[Nome Reduzido]])</f>
        <v>1</v>
      </c>
      <c r="F28" s="18" t="s">
        <v>17</v>
      </c>
      <c r="G28" s="22">
        <v>0</v>
      </c>
      <c r="H28" s="22">
        <v>0.99998842592592596</v>
      </c>
      <c r="I28" s="28">
        <f>IF(Tabela1[[#This Row],[Tipo]] &lt;&gt; "", (Tabela1[[#This Row],[Término]] - Tabela1[[#This Row],[Início]])*24/Tabela1[[#This Row],[Contagem de Ocorrências]], "—")</f>
        <v>23.999722222222225</v>
      </c>
      <c r="J28" s="28">
        <f>IF(Tabela1[[#This Row],[Duração da Parada (h)]] &lt;&gt; "—", (24 - Tabela1[[#This Row],[Duração da Parada (h)]]), "")</f>
        <v>2.7777777777515666E-4</v>
      </c>
      <c r="K28" s="20" t="s">
        <v>27</v>
      </c>
    </row>
    <row r="29" spans="2:11" x14ac:dyDescent="0.25">
      <c r="B29" s="21">
        <v>45036</v>
      </c>
      <c r="C29" s="19" t="s">
        <v>10</v>
      </c>
      <c r="D29" s="3" t="str">
        <f>MID(Tabela1[[#This Row],[Estrutura]], 1, 5)</f>
        <v>SE-E6</v>
      </c>
      <c r="E29" s="3">
        <f>COUNTIFS(Tabela1[Data da Ocorrência], Tabela1[[#This Row],[Data da Ocorrência]], Tabela1[Nome Reduzido], Tabela1[[#This Row],[Nome Reduzido]])</f>
        <v>1</v>
      </c>
      <c r="F29" s="18" t="s">
        <v>16</v>
      </c>
      <c r="G29" s="22">
        <v>450360.34513888799</v>
      </c>
      <c r="H29" s="22">
        <v>450360.500694444</v>
      </c>
      <c r="I29" s="28">
        <f>IF(Tabela1[[#This Row],[Tipo]] &lt;&gt; "", (Tabela1[[#This Row],[Término]] - Tabela1[[#This Row],[Início]])*24/Tabela1[[#This Row],[Contagem de Ocorrências]], "—")</f>
        <v>3.7333333441056311</v>
      </c>
      <c r="J29" s="28">
        <f>IF(Tabela1[[#This Row],[Duração da Parada (h)]] &lt;&gt; "—", (24 - Tabela1[[#This Row],[Duração da Parada (h)]]), "")</f>
        <v>20.266666655894369</v>
      </c>
      <c r="K29" s="20" t="s">
        <v>28</v>
      </c>
    </row>
    <row r="30" spans="2:11" ht="30" x14ac:dyDescent="0.25">
      <c r="B30" s="21">
        <v>45041</v>
      </c>
      <c r="C30" s="19" t="s">
        <v>6</v>
      </c>
      <c r="D30" s="3" t="str">
        <f>MID(Tabela1[[#This Row],[Estrutura]], 1, 5)</f>
        <v>SE-E5</v>
      </c>
      <c r="E30" s="3">
        <f>COUNTIFS(Tabela1[Data da Ocorrência], Tabela1[[#This Row],[Data da Ocorrência]], Tabela1[Nome Reduzido], Tabela1[[#This Row],[Nome Reduzido]])</f>
        <v>1</v>
      </c>
      <c r="F30" s="18" t="s">
        <v>16</v>
      </c>
      <c r="G30" s="22">
        <v>450410.357638888</v>
      </c>
      <c r="H30" s="22">
        <v>450410.500694444</v>
      </c>
      <c r="I30" s="28">
        <f>IF(Tabela1[[#This Row],[Tipo]] &lt;&gt; "", (Tabela1[[#This Row],[Término]] - Tabela1[[#This Row],[Início]])*24/Tabela1[[#This Row],[Contagem de Ocorrências]], "—")</f>
        <v>3.4333333438262343</v>
      </c>
      <c r="J30" s="28">
        <f>IF(Tabela1[[#This Row],[Duração da Parada (h)]] &lt;&gt; "—", (24 - Tabela1[[#This Row],[Duração da Parada (h)]]), "")</f>
        <v>20.566666656173766</v>
      </c>
      <c r="K30" s="20" t="s">
        <v>29</v>
      </c>
    </row>
    <row r="31" spans="2:11" x14ac:dyDescent="0.25">
      <c r="B31" s="21">
        <v>45041</v>
      </c>
      <c r="C31" s="19" t="s">
        <v>11</v>
      </c>
      <c r="D31" s="3" t="str">
        <f>MID(Tabela1[[#This Row],[Estrutura]], 1, 5)</f>
        <v>SE-E6</v>
      </c>
      <c r="E31" s="3">
        <f>COUNTIFS(Tabela1[Data da Ocorrência], Tabela1[[#This Row],[Data da Ocorrência]], Tabela1[Nome Reduzido], Tabela1[[#This Row],[Nome Reduzido]])</f>
        <v>1</v>
      </c>
      <c r="F31" s="18" t="s">
        <v>16</v>
      </c>
      <c r="G31" s="22">
        <v>450410.36875000002</v>
      </c>
      <c r="H31" s="22">
        <v>450410.496527777</v>
      </c>
      <c r="I31" s="28">
        <f>IF(Tabela1[[#This Row],[Tipo]] &lt;&gt; "", (Tabela1[[#This Row],[Término]] - Tabela1[[#This Row],[Início]])*24/Tabela1[[#This Row],[Contagem de Ocorrências]], "—")</f>
        <v>3.0666666473262012</v>
      </c>
      <c r="J31" s="28">
        <f>IF(Tabela1[[#This Row],[Duração da Parada (h)]] &lt;&gt; "—", (24 - Tabela1[[#This Row],[Duração da Parada (h)]]), "")</f>
        <v>20.933333352673799</v>
      </c>
      <c r="K31" s="20" t="s">
        <v>30</v>
      </c>
    </row>
    <row r="32" spans="2:11" ht="45" x14ac:dyDescent="0.25">
      <c r="B32" s="21">
        <v>45042</v>
      </c>
      <c r="C32" s="19" t="s">
        <v>9</v>
      </c>
      <c r="D32" s="3" t="str">
        <f>MID(Tabela1[[#This Row],[Estrutura]], 1, 5)</f>
        <v>SE-E6</v>
      </c>
      <c r="E32" s="3">
        <f>COUNTIFS(Tabela1[Data da Ocorrência], Tabela1[[#This Row],[Data da Ocorrência]], Tabela1[Nome Reduzido], Tabela1[[#This Row],[Nome Reduzido]])</f>
        <v>1</v>
      </c>
      <c r="F32" s="18" t="s">
        <v>16</v>
      </c>
      <c r="G32" s="22">
        <v>450420.371527777</v>
      </c>
      <c r="H32" s="22">
        <v>450420.51597222203</v>
      </c>
      <c r="I32" s="28">
        <f>IF(Tabela1[[#This Row],[Tipo]] &lt;&gt; "", (Tabela1[[#This Row],[Término]] - Tabela1[[#This Row],[Início]])*24/Tabela1[[#This Row],[Contagem de Ocorrências]], "—")</f>
        <v>3.4666666807606816</v>
      </c>
      <c r="J32" s="28">
        <f>IF(Tabela1[[#This Row],[Duração da Parada (h)]] &lt;&gt; "—", (24 - Tabela1[[#This Row],[Duração da Parada (h)]]), "")</f>
        <v>20.533333319239318</v>
      </c>
      <c r="K32" s="20" t="s">
        <v>31</v>
      </c>
    </row>
    <row r="33" spans="2:11" ht="45" x14ac:dyDescent="0.25">
      <c r="B33" s="21">
        <v>45043</v>
      </c>
      <c r="C33" s="19" t="s">
        <v>8</v>
      </c>
      <c r="D33" s="3" t="str">
        <f>MID(Tabela1[[#This Row],[Estrutura]], 1, 5)</f>
        <v>SE-E4</v>
      </c>
      <c r="E33" s="3">
        <f>COUNTIFS(Tabela1[Data da Ocorrência], Tabela1[[#This Row],[Data da Ocorrência]], Tabela1[Nome Reduzido], Tabela1[[#This Row],[Nome Reduzido]])</f>
        <v>1</v>
      </c>
      <c r="F33" s="18" t="s">
        <v>16</v>
      </c>
      <c r="G33" s="22">
        <v>450430.39583333302</v>
      </c>
      <c r="H33" s="22">
        <v>450430.66666666599</v>
      </c>
      <c r="I33" s="28">
        <f>IF(Tabela1[[#This Row],[Tipo]] &lt;&gt; "", (Tabela1[[#This Row],[Término]] - Tabela1[[#This Row],[Início]])*24/Tabela1[[#This Row],[Contagem de Ocorrências]], "—")</f>
        <v>6.4999999911524355</v>
      </c>
      <c r="J33" s="28">
        <f>IF(Tabela1[[#This Row],[Duração da Parada (h)]] &lt;&gt; "—", (24 - Tabela1[[#This Row],[Duração da Parada (h)]]), "")</f>
        <v>17.500000008847564</v>
      </c>
      <c r="K33" s="20" t="s">
        <v>32</v>
      </c>
    </row>
    <row r="34" spans="2:11" ht="45" x14ac:dyDescent="0.25">
      <c r="B34" s="21">
        <v>45056</v>
      </c>
      <c r="C34" s="19" t="s">
        <v>8</v>
      </c>
      <c r="D34" s="3" t="str">
        <f>MID(Tabela1[[#This Row],[Estrutura]], 1, 5)</f>
        <v>SE-E4</v>
      </c>
      <c r="E34" s="3">
        <f>COUNTIFS(Tabela1[Data da Ocorrência], Tabela1[[#This Row],[Data da Ocorrência]], Tabela1[Nome Reduzido], Tabela1[[#This Row],[Nome Reduzido]])</f>
        <v>1</v>
      </c>
      <c r="F34" s="18" t="s">
        <v>16</v>
      </c>
      <c r="G34" s="22">
        <v>450560.36458333302</v>
      </c>
      <c r="H34" s="22">
        <v>450560.42361111101</v>
      </c>
      <c r="I34" s="28">
        <f>IF(Tabela1[[#This Row],[Tipo]] &lt;&gt; "", (Tabela1[[#This Row],[Término]] - Tabela1[[#This Row],[Início]])*24/Tabela1[[#This Row],[Contagem de Ocorrências]], "—")</f>
        <v>1.4166666716337204</v>
      </c>
      <c r="J34" s="28">
        <f>IF(Tabela1[[#This Row],[Duração da Parada (h)]] &lt;&gt; "—", (24 - Tabela1[[#This Row],[Duração da Parada (h)]]), "")</f>
        <v>22.58333332836628</v>
      </c>
      <c r="K34" s="20" t="s">
        <v>33</v>
      </c>
    </row>
    <row r="35" spans="2:11" ht="30" x14ac:dyDescent="0.25">
      <c r="B35" s="21">
        <v>45064</v>
      </c>
      <c r="C35" s="19" t="s">
        <v>6</v>
      </c>
      <c r="D35" s="3" t="str">
        <f>MID(Tabela1[[#This Row],[Estrutura]], 1, 5)</f>
        <v>SE-E5</v>
      </c>
      <c r="E35" s="3">
        <f>COUNTIFS(Tabela1[Data da Ocorrência], Tabela1[[#This Row],[Data da Ocorrência]], Tabela1[Nome Reduzido], Tabela1[[#This Row],[Nome Reduzido]])</f>
        <v>1</v>
      </c>
      <c r="F35" s="18" t="s">
        <v>16</v>
      </c>
      <c r="G35" s="22">
        <v>450640.35416666599</v>
      </c>
      <c r="H35" s="22">
        <v>450640.68541666598</v>
      </c>
      <c r="I35" s="28">
        <f>IF(Tabela1[[#This Row],[Tipo]] &lt;&gt; "", (Tabela1[[#This Row],[Término]] - Tabela1[[#This Row],[Início]])*24/Tabela1[[#This Row],[Contagem de Ocorrências]], "—")</f>
        <v>7.9499999997206032</v>
      </c>
      <c r="J35" s="28">
        <f>IF(Tabela1[[#This Row],[Duração da Parada (h)]] &lt;&gt; "—", (24 - Tabela1[[#This Row],[Duração da Parada (h)]]), "")</f>
        <v>16.050000000279397</v>
      </c>
      <c r="K35" s="20" t="s">
        <v>34</v>
      </c>
    </row>
    <row r="36" spans="2:11" ht="75" x14ac:dyDescent="0.25">
      <c r="B36" s="21">
        <v>45064</v>
      </c>
      <c r="C36" s="19" t="s">
        <v>11</v>
      </c>
      <c r="D36" s="3" t="str">
        <f>MID(Tabela1[[#This Row],[Estrutura]], 1, 5)</f>
        <v>SE-E6</v>
      </c>
      <c r="E36" s="3">
        <f>COUNTIFS(Tabela1[Data da Ocorrência], Tabela1[[#This Row],[Data da Ocorrência]], Tabela1[Nome Reduzido], Tabela1[[#This Row],[Nome Reduzido]])</f>
        <v>1</v>
      </c>
      <c r="F36" s="18" t="s">
        <v>16</v>
      </c>
      <c r="G36" s="22">
        <v>450640.35277777701</v>
      </c>
      <c r="H36" s="22">
        <v>450640.65625</v>
      </c>
      <c r="I36" s="28">
        <f>IF(Tabela1[[#This Row],[Tipo]] &lt;&gt; "", (Tabela1[[#This Row],[Término]] - Tabela1[[#This Row],[Início]])*24/Tabela1[[#This Row],[Contagem de Ocorrências]], "—")</f>
        <v>7.2833333518356085</v>
      </c>
      <c r="J36" s="28">
        <f>IF(Tabela1[[#This Row],[Duração da Parada (h)]] &lt;&gt; "—", (24 - Tabela1[[#This Row],[Duração da Parada (h)]]), "")</f>
        <v>16.716666648164392</v>
      </c>
      <c r="K36" s="20" t="s">
        <v>35</v>
      </c>
    </row>
    <row r="37" spans="2:11" ht="120" x14ac:dyDescent="0.25">
      <c r="B37" s="21">
        <v>45064</v>
      </c>
      <c r="C37" s="19" t="s">
        <v>12</v>
      </c>
      <c r="D37" s="3" t="str">
        <f>MID(Tabela1[[#This Row],[Estrutura]], 1, 5)</f>
        <v>SE-E4</v>
      </c>
      <c r="E37" s="3">
        <f>COUNTIFS(Tabela1[Data da Ocorrência], Tabela1[[#This Row],[Data da Ocorrência]], Tabela1[Nome Reduzido], Tabela1[[#This Row],[Nome Reduzido]])</f>
        <v>1</v>
      </c>
      <c r="F37" s="18" t="s">
        <v>16</v>
      </c>
      <c r="G37" s="22">
        <v>450640.39861111098</v>
      </c>
      <c r="H37" s="22">
        <v>450640.64166666602</v>
      </c>
      <c r="I37" s="28">
        <f>IF(Tabela1[[#This Row],[Tipo]] &lt;&gt; "", (Tabela1[[#This Row],[Término]] - Tabela1[[#This Row],[Início]])*24/Tabela1[[#This Row],[Contagem de Ocorrências]], "—")</f>
        <v>5.833333320915699</v>
      </c>
      <c r="J37" s="28">
        <f>IF(Tabela1[[#This Row],[Duração da Parada (h)]] &lt;&gt; "—", (24 - Tabela1[[#This Row],[Duração da Parada (h)]]), "")</f>
        <v>18.166666679084301</v>
      </c>
      <c r="K37" s="20" t="s">
        <v>36</v>
      </c>
    </row>
    <row r="38" spans="2:11" ht="45" x14ac:dyDescent="0.25">
      <c r="B38" s="21">
        <v>45071</v>
      </c>
      <c r="C38" s="19" t="s">
        <v>8</v>
      </c>
      <c r="D38" s="3" t="str">
        <f>MID(Tabela1[[#This Row],[Estrutura]], 1, 5)</f>
        <v>SE-E4</v>
      </c>
      <c r="E38" s="3">
        <f>COUNTIFS(Tabela1[Data da Ocorrência], Tabela1[[#This Row],[Data da Ocorrência]], Tabela1[Nome Reduzido], Tabela1[[#This Row],[Nome Reduzido]])</f>
        <v>1</v>
      </c>
      <c r="F38" s="18" t="s">
        <v>16</v>
      </c>
      <c r="G38" s="22">
        <v>450710.38124999998</v>
      </c>
      <c r="H38" s="22">
        <v>450710.41527777701</v>
      </c>
      <c r="I38" s="28">
        <f>IF(Tabela1[[#This Row],[Tipo]] &lt;&gt; "", (Tabela1[[#This Row],[Término]] - Tabela1[[#This Row],[Início]])*24/Tabela1[[#This Row],[Contagem de Ocorrências]], "—")</f>
        <v>0.81666664872318506</v>
      </c>
      <c r="J38" s="28">
        <f>IF(Tabela1[[#This Row],[Duração da Parada (h)]] &lt;&gt; "—", (24 - Tabela1[[#This Row],[Duração da Parada (h)]]), "")</f>
        <v>23.183333351276815</v>
      </c>
      <c r="K38" s="20" t="s">
        <v>37</v>
      </c>
    </row>
    <row r="39" spans="2:11" ht="75" x14ac:dyDescent="0.25">
      <c r="B39" s="21">
        <v>45072</v>
      </c>
      <c r="C39" s="19" t="s">
        <v>10</v>
      </c>
      <c r="D39" s="3" t="str">
        <f>MID(Tabela1[[#This Row],[Estrutura]], 1, 5)</f>
        <v>SE-E6</v>
      </c>
      <c r="E39" s="3">
        <f>COUNTIFS(Tabela1[Data da Ocorrência], Tabela1[[#This Row],[Data da Ocorrência]], Tabela1[Nome Reduzido], Tabela1[[#This Row],[Nome Reduzido]])</f>
        <v>1</v>
      </c>
      <c r="F39" s="18" t="s">
        <v>16</v>
      </c>
      <c r="G39" s="22">
        <v>450720.365972222</v>
      </c>
      <c r="H39" s="22">
        <v>450720.59305555501</v>
      </c>
      <c r="I39" s="28">
        <f>IF(Tabela1[[#This Row],[Tipo]] &lt;&gt; "", (Tabela1[[#This Row],[Término]] - Tabela1[[#This Row],[Início]])*24/Tabela1[[#This Row],[Contagem de Ocorrências]], "—")</f>
        <v>5.4499999922700226</v>
      </c>
      <c r="J39" s="28">
        <f>IF(Tabela1[[#This Row],[Duração da Parada (h)]] &lt;&gt; "—", (24 - Tabela1[[#This Row],[Duração da Parada (h)]]), "")</f>
        <v>18.550000007729977</v>
      </c>
      <c r="K39" s="20" t="s">
        <v>38</v>
      </c>
    </row>
    <row r="40" spans="2:11" x14ac:dyDescent="0.25">
      <c r="B40" s="21">
        <v>45084</v>
      </c>
      <c r="C40" s="19" t="s">
        <v>6</v>
      </c>
      <c r="D40" s="3" t="str">
        <f>MID(Tabela1[[#This Row],[Estrutura]], 1, 5)</f>
        <v>SE-E5</v>
      </c>
      <c r="E40" s="3">
        <f>COUNTIFS(Tabela1[Data da Ocorrência], Tabela1[[#This Row],[Data da Ocorrência]], Tabela1[Nome Reduzido], Tabela1[[#This Row],[Nome Reduzido]])</f>
        <v>1</v>
      </c>
      <c r="F40" s="18" t="s">
        <v>16</v>
      </c>
      <c r="G40" s="22">
        <v>450840.3125</v>
      </c>
      <c r="H40" s="22">
        <v>450840.45833333302</v>
      </c>
      <c r="I40" s="28">
        <f>IF(Tabela1[[#This Row],[Tipo]] &lt;&gt; "", (Tabela1[[#This Row],[Término]] - Tabela1[[#This Row],[Início]])*24/Tabela1[[#This Row],[Contagem de Ocorrências]], "—")</f>
        <v>3.4999999925494194</v>
      </c>
      <c r="J40" s="28">
        <f>IF(Tabela1[[#This Row],[Duração da Parada (h)]] &lt;&gt; "—", (24 - Tabela1[[#This Row],[Duração da Parada (h)]]), "")</f>
        <v>20.500000007450581</v>
      </c>
      <c r="K40" s="20" t="s">
        <v>39</v>
      </c>
    </row>
    <row r="41" spans="2:11" x14ac:dyDescent="0.25">
      <c r="B41" s="21">
        <v>45084</v>
      </c>
      <c r="C41" s="19" t="s">
        <v>9</v>
      </c>
      <c r="D41" s="3" t="str">
        <f>MID(Tabela1[[#This Row],[Estrutura]], 1, 5)</f>
        <v>SE-E6</v>
      </c>
      <c r="E41" s="3">
        <f>COUNTIFS(Tabela1[Data da Ocorrência], Tabela1[[#This Row],[Data da Ocorrência]], Tabela1[Nome Reduzido], Tabela1[[#This Row],[Nome Reduzido]])</f>
        <v>1</v>
      </c>
      <c r="F41" s="18" t="s">
        <v>16</v>
      </c>
      <c r="G41" s="22">
        <v>450840.54166666599</v>
      </c>
      <c r="H41" s="22">
        <v>450840.66666666599</v>
      </c>
      <c r="I41" s="28">
        <f>IF(Tabela1[[#This Row],[Tipo]] &lt;&gt; "", (Tabela1[[#This Row],[Término]] - Tabela1[[#This Row],[Início]])*24/Tabela1[[#This Row],[Contagem de Ocorrências]], "—")</f>
        <v>3</v>
      </c>
      <c r="J41" s="28">
        <f>IF(Tabela1[[#This Row],[Duração da Parada (h)]] &lt;&gt; "—", (24 - Tabela1[[#This Row],[Duração da Parada (h)]]), "")</f>
        <v>21</v>
      </c>
      <c r="K41" s="20" t="s">
        <v>40</v>
      </c>
    </row>
    <row r="42" spans="2:11" x14ac:dyDescent="0.25">
      <c r="B42" s="21">
        <v>45092</v>
      </c>
      <c r="C42" s="19" t="s">
        <v>6</v>
      </c>
      <c r="D42" s="3" t="str">
        <f>MID(Tabela1[[#This Row],[Estrutura]], 1, 5)</f>
        <v>SE-E5</v>
      </c>
      <c r="E42" s="3">
        <f>COUNTIFS(Tabela1[Data da Ocorrência], Tabela1[[#This Row],[Data da Ocorrência]], Tabela1[Nome Reduzido], Tabela1[[#This Row],[Nome Reduzido]])</f>
        <v>1</v>
      </c>
      <c r="F42" s="18" t="s">
        <v>16</v>
      </c>
      <c r="G42" s="22">
        <v>0.41666666666666669</v>
      </c>
      <c r="H42" s="22">
        <v>0.70833333333333337</v>
      </c>
      <c r="I42" s="28">
        <f>IF(Tabela1[[#This Row],[Tipo]] &lt;&gt; "", (Tabela1[[#This Row],[Término]] - Tabela1[[#This Row],[Início]])*24/Tabela1[[#This Row],[Contagem de Ocorrências]], "—")</f>
        <v>7</v>
      </c>
      <c r="J42" s="28">
        <f>IF(Tabela1[[#This Row],[Duração da Parada (h)]] &lt;&gt; "—", (24 - Tabela1[[#This Row],[Duração da Parada (h)]]), "")</f>
        <v>17</v>
      </c>
      <c r="K42" s="20" t="s">
        <v>41</v>
      </c>
    </row>
    <row r="43" spans="2:11" ht="30" x14ac:dyDescent="0.25">
      <c r="B43" s="21">
        <v>45106</v>
      </c>
      <c r="C43" s="19" t="s">
        <v>13</v>
      </c>
      <c r="D43" s="3" t="str">
        <f>MID(Tabela1[[#This Row],[Estrutura]], 1, 5)</f>
        <v>PONTO</v>
      </c>
      <c r="E43" s="3">
        <f>COUNTIFS(Tabela1[Data da Ocorrência], Tabela1[[#This Row],[Data da Ocorrência]], Tabela1[Nome Reduzido], Tabela1[[#This Row],[Nome Reduzido]])</f>
        <v>1</v>
      </c>
      <c r="F43" s="18" t="s">
        <v>16</v>
      </c>
      <c r="G43" s="22">
        <v>0.33333333333333331</v>
      </c>
      <c r="H43" s="22">
        <v>0.70833333333333337</v>
      </c>
      <c r="I43" s="28">
        <f>IF(Tabela1[[#This Row],[Tipo]] &lt;&gt; "", (Tabela1[[#This Row],[Término]] - Tabela1[[#This Row],[Início]])*24/Tabela1[[#This Row],[Contagem de Ocorrências]], "—")</f>
        <v>9.0000000000000018</v>
      </c>
      <c r="J43" s="28">
        <f>IF(Tabela1[[#This Row],[Duração da Parada (h)]] &lt;&gt; "—", (24 - Tabela1[[#This Row],[Duração da Parada (h)]]), "")</f>
        <v>14.999999999999998</v>
      </c>
      <c r="K43" s="20" t="s">
        <v>42</v>
      </c>
    </row>
    <row r="44" spans="2:11" ht="30" x14ac:dyDescent="0.25">
      <c r="B44" s="21">
        <v>45107</v>
      </c>
      <c r="C44" s="19" t="s">
        <v>13</v>
      </c>
      <c r="D44" s="3" t="str">
        <f>MID(Tabela1[[#This Row],[Estrutura]], 1, 5)</f>
        <v>PONTO</v>
      </c>
      <c r="E44" s="3">
        <f>COUNTIFS(Tabela1[Data da Ocorrência], Tabela1[[#This Row],[Data da Ocorrência]], Tabela1[Nome Reduzido], Tabela1[[#This Row],[Nome Reduzido]])</f>
        <v>1</v>
      </c>
      <c r="F44" s="18" t="s">
        <v>16</v>
      </c>
      <c r="G44" s="22">
        <v>0.33333333333333331</v>
      </c>
      <c r="H44" s="22">
        <v>0.70833333333333337</v>
      </c>
      <c r="I44" s="28">
        <f>IF(Tabela1[[#This Row],[Tipo]] &lt;&gt; "", (Tabela1[[#This Row],[Término]] - Tabela1[[#This Row],[Início]])*24/Tabela1[[#This Row],[Contagem de Ocorrências]], "—")</f>
        <v>9.0000000000000018</v>
      </c>
      <c r="J44" s="28">
        <f>IF(Tabela1[[#This Row],[Duração da Parada (h)]] &lt;&gt; "—", (24 - Tabela1[[#This Row],[Duração da Parada (h)]]), "")</f>
        <v>14.999999999999998</v>
      </c>
      <c r="K44" s="20" t="s">
        <v>43</v>
      </c>
    </row>
    <row r="45" spans="2:11" x14ac:dyDescent="0.25">
      <c r="B45" s="21">
        <v>45131</v>
      </c>
      <c r="C45" s="19" t="s">
        <v>4</v>
      </c>
      <c r="D45" s="3" t="str">
        <f>MID(Tabela1[[#This Row],[Estrutura]], 1, 5)</f>
        <v>SE-E1</v>
      </c>
      <c r="E45" s="3">
        <f>COUNTIFS(Tabela1[Data da Ocorrência], Tabela1[[#This Row],[Data da Ocorrência]], Tabela1[Nome Reduzido], Tabela1[[#This Row],[Nome Reduzido]])</f>
        <v>1</v>
      </c>
      <c r="F45" s="18" t="s">
        <v>16</v>
      </c>
      <c r="G45" s="22">
        <v>0.29166666666666669</v>
      </c>
      <c r="H45" s="22">
        <v>0.70833333333333337</v>
      </c>
      <c r="I45" s="28">
        <f>IF(Tabela1[[#This Row],[Tipo]] &lt;&gt; "", (Tabela1[[#This Row],[Término]] - Tabela1[[#This Row],[Início]])*24/Tabela1[[#This Row],[Contagem de Ocorrências]], "—")</f>
        <v>10</v>
      </c>
      <c r="J45" s="28">
        <f>IF(Tabela1[[#This Row],[Duração da Parada (h)]] &lt;&gt; "—", (24 - Tabela1[[#This Row],[Duração da Parada (h)]]), "")</f>
        <v>14</v>
      </c>
      <c r="K45" s="20" t="s">
        <v>44</v>
      </c>
    </row>
    <row r="46" spans="2:11" x14ac:dyDescent="0.25">
      <c r="B46" s="21">
        <v>45132</v>
      </c>
      <c r="C46" s="19" t="s">
        <v>4</v>
      </c>
      <c r="D46" s="3" t="str">
        <f>MID(Tabela1[[#This Row],[Estrutura]], 1, 5)</f>
        <v>SE-E1</v>
      </c>
      <c r="E46" s="3">
        <f>COUNTIFS(Tabela1[Data da Ocorrência], Tabela1[[#This Row],[Data da Ocorrência]], Tabela1[Nome Reduzido], Tabela1[[#This Row],[Nome Reduzido]])</f>
        <v>1</v>
      </c>
      <c r="F46" s="18" t="s">
        <v>16</v>
      </c>
      <c r="G46" s="22">
        <v>0.29166666666666669</v>
      </c>
      <c r="H46" s="22">
        <v>0.70833333333333337</v>
      </c>
      <c r="I46" s="28">
        <f>IF(Tabela1[[#This Row],[Tipo]] &lt;&gt; "", (Tabela1[[#This Row],[Término]] - Tabela1[[#This Row],[Início]])*24/Tabela1[[#This Row],[Contagem de Ocorrências]], "—")</f>
        <v>10</v>
      </c>
      <c r="J46" s="28">
        <f>IF(Tabela1[[#This Row],[Duração da Parada (h)]] &lt;&gt; "—", (24 - Tabela1[[#This Row],[Duração da Parada (h)]]), "")</f>
        <v>14</v>
      </c>
      <c r="K46" s="20" t="s">
        <v>44</v>
      </c>
    </row>
    <row r="47" spans="2:11" x14ac:dyDescent="0.25">
      <c r="B47" s="21">
        <v>45133</v>
      </c>
      <c r="C47" s="19" t="s">
        <v>4</v>
      </c>
      <c r="D47" s="3" t="str">
        <f>MID(Tabela1[[#This Row],[Estrutura]], 1, 5)</f>
        <v>SE-E1</v>
      </c>
      <c r="E47" s="3">
        <f>COUNTIFS(Tabela1[Data da Ocorrência], Tabela1[[#This Row],[Data da Ocorrência]], Tabela1[Nome Reduzido], Tabela1[[#This Row],[Nome Reduzido]])</f>
        <v>1</v>
      </c>
      <c r="F47" s="18" t="s">
        <v>16</v>
      </c>
      <c r="G47" s="22">
        <v>0.29166666666666669</v>
      </c>
      <c r="H47" s="22">
        <v>0.70833333333333337</v>
      </c>
      <c r="I47" s="28">
        <f>IF(Tabela1[[#This Row],[Tipo]] &lt;&gt; "", (Tabela1[[#This Row],[Término]] - Tabela1[[#This Row],[Início]])*24/Tabela1[[#This Row],[Contagem de Ocorrências]], "—")</f>
        <v>10</v>
      </c>
      <c r="J47" s="28">
        <f>IF(Tabela1[[#This Row],[Duração da Parada (h)]] &lt;&gt; "—", (24 - Tabela1[[#This Row],[Duração da Parada (h)]]), "")</f>
        <v>14</v>
      </c>
      <c r="K47" s="20" t="s">
        <v>44</v>
      </c>
    </row>
    <row r="48" spans="2:11" x14ac:dyDescent="0.25">
      <c r="B48" s="21">
        <v>45134</v>
      </c>
      <c r="C48" s="19" t="s">
        <v>7</v>
      </c>
      <c r="D48" s="3" t="str">
        <f>MID(Tabela1[[#This Row],[Estrutura]], 1, 5)</f>
        <v>SE-E2</v>
      </c>
      <c r="E48" s="3">
        <f>COUNTIFS(Tabela1[Data da Ocorrência], Tabela1[[#This Row],[Data da Ocorrência]], Tabela1[Nome Reduzido], Tabela1[[#This Row],[Nome Reduzido]])</f>
        <v>1</v>
      </c>
      <c r="F48" s="18" t="s">
        <v>16</v>
      </c>
      <c r="G48" s="22">
        <v>0.33333333333333331</v>
      </c>
      <c r="H48" s="22">
        <v>0.72916666666666663</v>
      </c>
      <c r="I48" s="28">
        <f>IF(Tabela1[[#This Row],[Tipo]] &lt;&gt; "", (Tabela1[[#This Row],[Término]] - Tabela1[[#This Row],[Início]])*24/Tabela1[[#This Row],[Contagem de Ocorrências]], "—")</f>
        <v>9.5</v>
      </c>
      <c r="J48" s="28">
        <f>IF(Tabela1[[#This Row],[Duração da Parada (h)]] &lt;&gt; "—", (24 - Tabela1[[#This Row],[Duração da Parada (h)]]), "")</f>
        <v>14.5</v>
      </c>
      <c r="K48" s="20" t="s">
        <v>45</v>
      </c>
    </row>
    <row r="49" spans="2:11" x14ac:dyDescent="0.25">
      <c r="B49" s="21">
        <v>45135</v>
      </c>
      <c r="C49" s="19" t="s">
        <v>5</v>
      </c>
      <c r="D49" s="3" t="str">
        <f>MID(Tabela1[[#This Row],[Estrutura]], 1, 5)</f>
        <v>SE-E3</v>
      </c>
      <c r="E49" s="3">
        <f>COUNTIFS(Tabela1[Data da Ocorrência], Tabela1[[#This Row],[Data da Ocorrência]], Tabela1[Nome Reduzido], Tabela1[[#This Row],[Nome Reduzido]])</f>
        <v>1</v>
      </c>
      <c r="F49" s="18" t="s">
        <v>16</v>
      </c>
      <c r="G49" s="22">
        <v>0.33333333333333331</v>
      </c>
      <c r="H49" s="22">
        <v>0.66666666666666663</v>
      </c>
      <c r="I49" s="28">
        <f>IF(Tabela1[[#This Row],[Tipo]] &lt;&gt; "", (Tabela1[[#This Row],[Término]] - Tabela1[[#This Row],[Início]])*24/Tabela1[[#This Row],[Contagem de Ocorrências]], "—")</f>
        <v>8</v>
      </c>
      <c r="J49" s="28">
        <f>IF(Tabela1[[#This Row],[Duração da Parada (h)]] &lt;&gt; "—", (24 - Tabela1[[#This Row],[Duração da Parada (h)]]), "")</f>
        <v>16</v>
      </c>
      <c r="K49" s="20" t="s">
        <v>46</v>
      </c>
    </row>
    <row r="50" spans="2:11" ht="60" x14ac:dyDescent="0.25">
      <c r="B50" s="21">
        <v>45204</v>
      </c>
      <c r="C50" s="19" t="s">
        <v>4</v>
      </c>
      <c r="D50" s="3" t="str">
        <f>MID(Tabela1[[#This Row],[Estrutura]], 1, 5)</f>
        <v>SE-E1</v>
      </c>
      <c r="E50" s="3">
        <f>COUNTIFS(Tabela1[Data da Ocorrência], Tabela1[[#This Row],[Data da Ocorrência]], Tabela1[Nome Reduzido], Tabela1[[#This Row],[Nome Reduzido]])</f>
        <v>1</v>
      </c>
      <c r="F50" s="18" t="s">
        <v>16</v>
      </c>
      <c r="G50" s="22">
        <v>0.34027777777777773</v>
      </c>
      <c r="H50" s="22">
        <v>0.5854166666666667</v>
      </c>
      <c r="I50" s="28">
        <f>IF(Tabela1[[#This Row],[Tipo]] &lt;&gt; "", (Tabela1[[#This Row],[Término]] - Tabela1[[#This Row],[Início]])*24/Tabela1[[#This Row],[Contagem de Ocorrências]], "—")</f>
        <v>5.8833333333333346</v>
      </c>
      <c r="J50" s="28">
        <f>IF(Tabela1[[#This Row],[Duração da Parada (h)]] &lt;&gt; "—", (24 - Tabela1[[#This Row],[Duração da Parada (h)]]), "")</f>
        <v>18.116666666666667</v>
      </c>
      <c r="K50" s="20" t="s">
        <v>47</v>
      </c>
    </row>
    <row r="51" spans="2:11" ht="30" x14ac:dyDescent="0.25">
      <c r="B51" s="21">
        <v>45205</v>
      </c>
      <c r="C51" s="19" t="s">
        <v>4</v>
      </c>
      <c r="D51" s="3" t="str">
        <f>MID(Tabela1[[#This Row],[Estrutura]], 1, 5)</f>
        <v>SE-E1</v>
      </c>
      <c r="E51" s="3">
        <f>COUNTIFS(Tabela1[Data da Ocorrência], Tabela1[[#This Row],[Data da Ocorrência]], Tabela1[Nome Reduzido], Tabela1[[#This Row],[Nome Reduzido]])</f>
        <v>1</v>
      </c>
      <c r="F51" s="18" t="s">
        <v>16</v>
      </c>
      <c r="G51" s="22">
        <v>0.31388888888888888</v>
      </c>
      <c r="H51" s="22">
        <v>0.65972222222222221</v>
      </c>
      <c r="I51" s="28">
        <f>IF(Tabela1[[#This Row],[Tipo]] &lt;&gt; "", (Tabela1[[#This Row],[Término]] - Tabela1[[#This Row],[Início]])*24/Tabela1[[#This Row],[Contagem de Ocorrências]], "—")</f>
        <v>8.3000000000000007</v>
      </c>
      <c r="J51" s="28">
        <f>IF(Tabela1[[#This Row],[Duração da Parada (h)]] &lt;&gt; "—", (24 - Tabela1[[#This Row],[Duração da Parada (h)]]), "")</f>
        <v>15.7</v>
      </c>
      <c r="K51" s="20" t="s">
        <v>48</v>
      </c>
    </row>
    <row r="52" spans="2:11" ht="135" x14ac:dyDescent="0.25">
      <c r="B52" s="21">
        <v>45209</v>
      </c>
      <c r="C52" s="19" t="s">
        <v>8</v>
      </c>
      <c r="D52" s="3" t="str">
        <f>MID(Tabela1[[#This Row],[Estrutura]], 1, 5)</f>
        <v>SE-E4</v>
      </c>
      <c r="E52" s="3">
        <f>COUNTIFS(Tabela1[Data da Ocorrência], Tabela1[[#This Row],[Data da Ocorrência]], Tabela1[Nome Reduzido], Tabela1[[#This Row],[Nome Reduzido]])</f>
        <v>1</v>
      </c>
      <c r="F52" s="18" t="s">
        <v>16</v>
      </c>
      <c r="G52" s="22">
        <v>0.40486111111111112</v>
      </c>
      <c r="H52" s="22">
        <v>0.55833333333333335</v>
      </c>
      <c r="I52" s="28">
        <f>IF(Tabela1[[#This Row],[Tipo]] &lt;&gt; "", (Tabela1[[#This Row],[Término]] - Tabela1[[#This Row],[Início]])*24/Tabela1[[#This Row],[Contagem de Ocorrências]], "—")</f>
        <v>3.6833333333333336</v>
      </c>
      <c r="J52" s="28">
        <f>IF(Tabela1[[#This Row],[Duração da Parada (h)]] &lt;&gt; "—", (24 - Tabela1[[#This Row],[Duração da Parada (h)]]), "")</f>
        <v>20.316666666666666</v>
      </c>
      <c r="K52" s="20" t="s">
        <v>49</v>
      </c>
    </row>
    <row r="53" spans="2:11" ht="30" x14ac:dyDescent="0.25">
      <c r="B53" s="21">
        <v>45210</v>
      </c>
      <c r="C53" s="19" t="s">
        <v>6</v>
      </c>
      <c r="D53" s="3" t="str">
        <f>MID(Tabela1[[#This Row],[Estrutura]], 1, 5)</f>
        <v>SE-E5</v>
      </c>
      <c r="E53" s="3">
        <f>COUNTIFS(Tabela1[Data da Ocorrência], Tabela1[[#This Row],[Data da Ocorrência]], Tabela1[Nome Reduzido], Tabela1[[#This Row],[Nome Reduzido]])</f>
        <v>1</v>
      </c>
      <c r="F53" s="18" t="s">
        <v>16</v>
      </c>
      <c r="G53" s="22">
        <v>0.3520833333333333</v>
      </c>
      <c r="H53" s="22">
        <v>0.48749999999999999</v>
      </c>
      <c r="I53" s="28">
        <f>IF(Tabela1[[#This Row],[Tipo]] &lt;&gt; "", (Tabela1[[#This Row],[Término]] - Tabela1[[#This Row],[Início]])*24/Tabela1[[#This Row],[Contagem de Ocorrências]], "—")</f>
        <v>3.2500000000000004</v>
      </c>
      <c r="J53" s="28">
        <f>IF(Tabela1[[#This Row],[Duração da Parada (h)]] &lt;&gt; "—", (24 - Tabela1[[#This Row],[Duração da Parada (h)]]), "")</f>
        <v>20.75</v>
      </c>
      <c r="K53" s="20" t="s">
        <v>50</v>
      </c>
    </row>
    <row r="54" spans="2:11" ht="45" x14ac:dyDescent="0.25">
      <c r="B54" s="21">
        <v>45210</v>
      </c>
      <c r="C54" s="19" t="s">
        <v>9</v>
      </c>
      <c r="D54" s="3" t="str">
        <f>MID(Tabela1[[#This Row],[Estrutura]], 1, 5)</f>
        <v>SE-E6</v>
      </c>
      <c r="E54" s="3">
        <f>COUNTIFS(Tabela1[Data da Ocorrência], Tabela1[[#This Row],[Data da Ocorrência]], Tabela1[Nome Reduzido], Tabela1[[#This Row],[Nome Reduzido]])</f>
        <v>1</v>
      </c>
      <c r="F54" s="18" t="s">
        <v>16</v>
      </c>
      <c r="G54" s="22">
        <v>0.55694444444444446</v>
      </c>
      <c r="H54" s="22">
        <v>0.67361111111111116</v>
      </c>
      <c r="I54" s="28">
        <f>IF(Tabela1[[#This Row],[Tipo]] &lt;&gt; "", (Tabela1[[#This Row],[Término]] - Tabela1[[#This Row],[Início]])*24/Tabela1[[#This Row],[Contagem de Ocorrências]], "—")</f>
        <v>2.8000000000000007</v>
      </c>
      <c r="J54" s="28">
        <f>IF(Tabela1[[#This Row],[Duração da Parada (h)]] &lt;&gt; "—", (24 - Tabela1[[#This Row],[Duração da Parada (h)]]), "")</f>
        <v>21.2</v>
      </c>
      <c r="K54" s="20" t="s">
        <v>51</v>
      </c>
    </row>
    <row r="55" spans="2:11" ht="45" x14ac:dyDescent="0.25">
      <c r="B55" s="21">
        <v>45294</v>
      </c>
      <c r="C55" s="19" t="s">
        <v>4</v>
      </c>
      <c r="D55" s="3" t="str">
        <f>MID(Tabela1[[#This Row],[Estrutura]], 1, 5)</f>
        <v>SE-E1</v>
      </c>
      <c r="E55" s="3">
        <f>COUNTIFS(Tabela1[Data da Ocorrência], Tabela1[[#This Row],[Data da Ocorrência]], Tabela1[Nome Reduzido], Tabela1[[#This Row],[Nome Reduzido]])</f>
        <v>1</v>
      </c>
      <c r="F55" s="18" t="s">
        <v>16</v>
      </c>
      <c r="G55" s="22">
        <v>0.31597222222222221</v>
      </c>
      <c r="H55" s="22">
        <v>0.75694444444444453</v>
      </c>
      <c r="I55" s="28">
        <f>IF(Tabela1[[#This Row],[Tipo]] &lt;&gt; "", (Tabela1[[#This Row],[Término]] - Tabela1[[#This Row],[Início]])*24/Tabela1[[#This Row],[Contagem de Ocorrências]], "—")</f>
        <v>10.583333333333336</v>
      </c>
      <c r="J55" s="28">
        <f>IF(Tabela1[[#This Row],[Duração da Parada (h)]] &lt;&gt; "—", (24 - Tabela1[[#This Row],[Duração da Parada (h)]]), "")</f>
        <v>13.416666666666664</v>
      </c>
      <c r="K55" s="20" t="s">
        <v>52</v>
      </c>
    </row>
    <row r="56" spans="2:11" ht="45" x14ac:dyDescent="0.25">
      <c r="B56" s="21">
        <v>45295</v>
      </c>
      <c r="C56" s="19" t="s">
        <v>5</v>
      </c>
      <c r="D56" s="3" t="str">
        <f>MID(Tabela1[[#This Row],[Estrutura]], 1, 5)</f>
        <v>SE-E3</v>
      </c>
      <c r="E56" s="3">
        <f>COUNTIFS(Tabela1[Data da Ocorrência], Tabela1[[#This Row],[Data da Ocorrência]], Tabela1[Nome Reduzido], Tabela1[[#This Row],[Nome Reduzido]])</f>
        <v>1</v>
      </c>
      <c r="F56" s="18" t="s">
        <v>16</v>
      </c>
      <c r="G56" s="22">
        <v>0.31597222222222221</v>
      </c>
      <c r="H56" s="22">
        <v>0.75694444444444453</v>
      </c>
      <c r="I56" s="28">
        <f>IF(Tabela1[[#This Row],[Tipo]] &lt;&gt; "", (Tabela1[[#This Row],[Término]] - Tabela1[[#This Row],[Início]])*24/Tabela1[[#This Row],[Contagem de Ocorrências]], "—")</f>
        <v>10.583333333333336</v>
      </c>
      <c r="J56" s="28">
        <f>IF(Tabela1[[#This Row],[Duração da Parada (h)]] &lt;&gt; "—", (24 - Tabela1[[#This Row],[Duração da Parada (h)]]), "")</f>
        <v>13.416666666666664</v>
      </c>
      <c r="K56" s="20" t="s">
        <v>53</v>
      </c>
    </row>
    <row r="57" spans="2:11" ht="45" x14ac:dyDescent="0.25">
      <c r="B57" s="21">
        <v>45296</v>
      </c>
      <c r="C57" s="19" t="s">
        <v>7</v>
      </c>
      <c r="D57" s="3" t="str">
        <f>MID(Tabela1[[#This Row],[Estrutura]], 1, 5)</f>
        <v>SE-E2</v>
      </c>
      <c r="E57" s="3">
        <f>COUNTIFS(Tabela1[Data da Ocorrência], Tabela1[[#This Row],[Data da Ocorrência]], Tabela1[Nome Reduzido], Tabela1[[#This Row],[Nome Reduzido]])</f>
        <v>1</v>
      </c>
      <c r="F57" s="18" t="s">
        <v>16</v>
      </c>
      <c r="G57" s="22">
        <v>0.31597222222222221</v>
      </c>
      <c r="H57" s="22">
        <v>0.75694444444444453</v>
      </c>
      <c r="I57" s="28">
        <f>IF(Tabela1[[#This Row],[Tipo]] &lt;&gt; "", (Tabela1[[#This Row],[Término]] - Tabela1[[#This Row],[Início]])*24/Tabela1[[#This Row],[Contagem de Ocorrências]], "—")</f>
        <v>10.583333333333336</v>
      </c>
      <c r="J57" s="28">
        <f>IF(Tabela1[[#This Row],[Duração da Parada (h)]] &lt;&gt; "—", (24 - Tabela1[[#This Row],[Duração da Parada (h)]]), "")</f>
        <v>13.416666666666664</v>
      </c>
      <c r="K57" s="20" t="s">
        <v>54</v>
      </c>
    </row>
    <row r="58" spans="2:11" ht="30" x14ac:dyDescent="0.25">
      <c r="B58" s="21">
        <v>45301</v>
      </c>
      <c r="C58" s="19" t="s">
        <v>6</v>
      </c>
      <c r="D58" s="3" t="str">
        <f>MID(Tabela1[[#This Row],[Estrutura]], 1, 5)</f>
        <v>SE-E5</v>
      </c>
      <c r="E58" s="3">
        <f>COUNTIFS(Tabela1[Data da Ocorrência], Tabela1[[#This Row],[Data da Ocorrência]], Tabela1[Nome Reduzido], Tabela1[[#This Row],[Nome Reduzido]])</f>
        <v>1</v>
      </c>
      <c r="F58" s="18" t="s">
        <v>16</v>
      </c>
      <c r="G58" s="22">
        <v>0.3611111111111111</v>
      </c>
      <c r="H58" s="22">
        <v>0.81388888888888899</v>
      </c>
      <c r="I58" s="28">
        <f>IF(Tabela1[[#This Row],[Tipo]] &lt;&gt; "", (Tabela1[[#This Row],[Término]] - Tabela1[[#This Row],[Início]])*24/Tabela1[[#This Row],[Contagem de Ocorrências]], "—")</f>
        <v>10.866666666666669</v>
      </c>
      <c r="J58" s="28">
        <f>IF(Tabela1[[#This Row],[Duração da Parada (h)]] &lt;&gt; "—", (24 - Tabela1[[#This Row],[Duração da Parada (h)]]), "")</f>
        <v>13.133333333333331</v>
      </c>
      <c r="K58" s="20" t="s">
        <v>55</v>
      </c>
    </row>
    <row r="59" spans="2:11" ht="30" x14ac:dyDescent="0.25">
      <c r="B59" s="21">
        <v>45302</v>
      </c>
      <c r="C59" s="19" t="s">
        <v>11</v>
      </c>
      <c r="D59" s="3" t="str">
        <f>MID(Tabela1[[#This Row],[Estrutura]], 1, 5)</f>
        <v>SE-E6</v>
      </c>
      <c r="E59" s="3">
        <f>COUNTIFS(Tabela1[Data da Ocorrência], Tabela1[[#This Row],[Data da Ocorrência]], Tabela1[Nome Reduzido], Tabela1[[#This Row],[Nome Reduzido]])</f>
        <v>1</v>
      </c>
      <c r="F59" s="18" t="s">
        <v>16</v>
      </c>
      <c r="G59" s="22">
        <v>0.34722222222222227</v>
      </c>
      <c r="H59" s="22">
        <v>0.65416666666666667</v>
      </c>
      <c r="I59" s="28">
        <f>IF(Tabela1[[#This Row],[Tipo]] &lt;&gt; "", (Tabela1[[#This Row],[Término]] - Tabela1[[#This Row],[Início]])*24/Tabela1[[#This Row],[Contagem de Ocorrências]], "—")</f>
        <v>7.3666666666666654</v>
      </c>
      <c r="J59" s="28">
        <f>IF(Tabela1[[#This Row],[Duração da Parada (h)]] &lt;&gt; "—", (24 - Tabela1[[#This Row],[Duração da Parada (h)]]), "")</f>
        <v>16.633333333333333</v>
      </c>
      <c r="K59" s="20" t="s">
        <v>56</v>
      </c>
    </row>
    <row r="60" spans="2:11" x14ac:dyDescent="0.25">
      <c r="B60" s="21">
        <v>45307</v>
      </c>
      <c r="C60" s="19" t="s">
        <v>10</v>
      </c>
      <c r="D60" s="3" t="str">
        <f>MID(Tabela1[[#This Row],[Estrutura]], 1, 5)</f>
        <v>SE-E6</v>
      </c>
      <c r="E60" s="3">
        <f>COUNTIFS(Tabela1[Data da Ocorrência], Tabela1[[#This Row],[Data da Ocorrência]], Tabela1[Nome Reduzido], Tabela1[[#This Row],[Nome Reduzido]])</f>
        <v>1</v>
      </c>
      <c r="F60" s="18" t="s">
        <v>16</v>
      </c>
      <c r="G60" s="22">
        <v>0.33333333333333331</v>
      </c>
      <c r="H60" s="22">
        <v>0.3840277777777778</v>
      </c>
      <c r="I60" s="28">
        <f>IF(Tabela1[[#This Row],[Tipo]] &lt;&gt; "", (Tabela1[[#This Row],[Término]] - Tabela1[[#This Row],[Início]])*24/Tabela1[[#This Row],[Contagem de Ocorrências]], "—")</f>
        <v>1.2166666666666677</v>
      </c>
      <c r="J60" s="28">
        <f>IF(Tabela1[[#This Row],[Duração da Parada (h)]] &lt;&gt; "—", (24 - Tabela1[[#This Row],[Duração da Parada (h)]]), "")</f>
        <v>22.783333333333331</v>
      </c>
      <c r="K60" s="20" t="s">
        <v>57</v>
      </c>
    </row>
    <row r="61" spans="2:11" ht="30" x14ac:dyDescent="0.25">
      <c r="B61" s="21">
        <v>45314</v>
      </c>
      <c r="C61" s="19" t="s">
        <v>6</v>
      </c>
      <c r="D61" s="3" t="str">
        <f>MID(Tabela1[[#This Row],[Estrutura]], 1, 5)</f>
        <v>SE-E5</v>
      </c>
      <c r="E61" s="3">
        <f>COUNTIFS(Tabela1[Data da Ocorrência], Tabela1[[#This Row],[Data da Ocorrência]], Tabela1[Nome Reduzido], Tabela1[[#This Row],[Nome Reduzido]])</f>
        <v>1</v>
      </c>
      <c r="F61" s="18" t="s">
        <v>16</v>
      </c>
      <c r="G61" s="22">
        <v>0.35416666666666669</v>
      </c>
      <c r="H61" s="22">
        <v>0.72916666666666663</v>
      </c>
      <c r="I61" s="28">
        <f>IF(Tabela1[[#This Row],[Tipo]] &lt;&gt; "", (Tabela1[[#This Row],[Término]] - Tabela1[[#This Row],[Início]])*24/Tabela1[[#This Row],[Contagem de Ocorrências]], "—")</f>
        <v>8.9999999999999982</v>
      </c>
      <c r="J61" s="28">
        <f>IF(Tabela1[[#This Row],[Duração da Parada (h)]] &lt;&gt; "—", (24 - Tabela1[[#This Row],[Duração da Parada (h)]]), "")</f>
        <v>15.000000000000002</v>
      </c>
      <c r="K61" s="20" t="s">
        <v>58</v>
      </c>
    </row>
    <row r="62" spans="2:11" x14ac:dyDescent="0.25">
      <c r="B62" s="21">
        <v>45316</v>
      </c>
      <c r="C62" s="19" t="s">
        <v>8</v>
      </c>
      <c r="D62" s="3" t="str">
        <f>MID(Tabela1[[#This Row],[Estrutura]], 1, 5)</f>
        <v>SE-E4</v>
      </c>
      <c r="E62" s="3">
        <f>COUNTIFS(Tabela1[Data da Ocorrência], Tabela1[[#This Row],[Data da Ocorrência]], Tabela1[Nome Reduzido], Tabela1[[#This Row],[Nome Reduzido]])</f>
        <v>1</v>
      </c>
      <c r="F62" s="18" t="s">
        <v>16</v>
      </c>
      <c r="G62" s="22">
        <v>0.30763888888888891</v>
      </c>
      <c r="H62" s="22">
        <v>0.75763888888888886</v>
      </c>
      <c r="I62" s="28">
        <f>IF(Tabela1[[#This Row],[Tipo]] &lt;&gt; "", (Tabela1[[#This Row],[Término]] - Tabela1[[#This Row],[Início]])*24/Tabela1[[#This Row],[Contagem de Ocorrências]], "—")</f>
        <v>10.799999999999999</v>
      </c>
      <c r="J62" s="28">
        <f>IF(Tabela1[[#This Row],[Duração da Parada (h)]] &lt;&gt; "—", (24 - Tabela1[[#This Row],[Duração da Parada (h)]]), "")</f>
        <v>13.200000000000001</v>
      </c>
      <c r="K62" s="20" t="s">
        <v>59</v>
      </c>
    </row>
    <row r="63" spans="2:11" x14ac:dyDescent="0.25">
      <c r="B63" s="21">
        <v>45316</v>
      </c>
      <c r="C63" s="19" t="s">
        <v>6</v>
      </c>
      <c r="D63" s="3" t="str">
        <f>MID(Tabela1[[#This Row],[Estrutura]], 1, 5)</f>
        <v>SE-E5</v>
      </c>
      <c r="E63" s="3">
        <f>COUNTIFS(Tabela1[Data da Ocorrência], Tabela1[[#This Row],[Data da Ocorrência]], Tabela1[Nome Reduzido], Tabela1[[#This Row],[Nome Reduzido]])</f>
        <v>1</v>
      </c>
      <c r="F63" s="18" t="s">
        <v>16</v>
      </c>
      <c r="G63" s="22">
        <v>0.30138888888888887</v>
      </c>
      <c r="H63" s="22">
        <v>0.76736111111111116</v>
      </c>
      <c r="I63" s="28">
        <f>IF(Tabela1[[#This Row],[Tipo]] &lt;&gt; "", (Tabela1[[#This Row],[Término]] - Tabela1[[#This Row],[Início]])*24/Tabela1[[#This Row],[Contagem de Ocorrências]], "—")</f>
        <v>11.183333333333335</v>
      </c>
      <c r="J63" s="28">
        <f>IF(Tabela1[[#This Row],[Duração da Parada (h)]] &lt;&gt; "—", (24 - Tabela1[[#This Row],[Duração da Parada (h)]]), "")</f>
        <v>12.816666666666665</v>
      </c>
      <c r="K63" s="20" t="s">
        <v>60</v>
      </c>
    </row>
    <row r="64" spans="2:11" ht="60" x14ac:dyDescent="0.25">
      <c r="B64" s="21">
        <v>45316</v>
      </c>
      <c r="C64" s="19" t="s">
        <v>11</v>
      </c>
      <c r="D64" s="3" t="str">
        <f>MID(Tabela1[[#This Row],[Estrutura]], 1, 5)</f>
        <v>SE-E6</v>
      </c>
      <c r="E64" s="3">
        <f>COUNTIFS(Tabela1[Data da Ocorrência], Tabela1[[#This Row],[Data da Ocorrência]], Tabela1[Nome Reduzido], Tabela1[[#This Row],[Nome Reduzido]])</f>
        <v>1</v>
      </c>
      <c r="F64" s="18" t="s">
        <v>16</v>
      </c>
      <c r="G64" s="22">
        <v>0.3743055555555555</v>
      </c>
      <c r="H64" s="22">
        <v>0.76111111111111107</v>
      </c>
      <c r="I64" s="28">
        <f>IF(Tabela1[[#This Row],[Tipo]] &lt;&gt; "", (Tabela1[[#This Row],[Término]] - Tabela1[[#This Row],[Início]])*24/Tabela1[[#This Row],[Contagem de Ocorrências]], "—")</f>
        <v>9.2833333333333332</v>
      </c>
      <c r="J64" s="28">
        <f>IF(Tabela1[[#This Row],[Duração da Parada (h)]] &lt;&gt; "—", (24 - Tabela1[[#This Row],[Duração da Parada (h)]]), "")</f>
        <v>14.716666666666667</v>
      </c>
      <c r="K64" s="20" t="s">
        <v>61</v>
      </c>
    </row>
    <row r="65" spans="2:11" ht="30" x14ac:dyDescent="0.25">
      <c r="B65" s="21">
        <v>45316</v>
      </c>
      <c r="C65" s="19" t="s">
        <v>7</v>
      </c>
      <c r="D65" s="3" t="str">
        <f>MID(Tabela1[[#This Row],[Estrutura]], 1, 5)</f>
        <v>SE-E2</v>
      </c>
      <c r="E65" s="3">
        <f>COUNTIFS(Tabela1[Data da Ocorrência], Tabela1[[#This Row],[Data da Ocorrência]], Tabela1[Nome Reduzido], Tabela1[[#This Row],[Nome Reduzido]])</f>
        <v>1</v>
      </c>
      <c r="F65" s="18" t="s">
        <v>16</v>
      </c>
      <c r="G65" s="22">
        <v>0.30208333333333331</v>
      </c>
      <c r="H65" s="22">
        <v>0.74791666666666667</v>
      </c>
      <c r="I65" s="28">
        <f>IF(Tabela1[[#This Row],[Tipo]] &lt;&gt; "", (Tabela1[[#This Row],[Término]] - Tabela1[[#This Row],[Início]])*24/Tabela1[[#This Row],[Contagem de Ocorrências]], "—")</f>
        <v>10.700000000000001</v>
      </c>
      <c r="J65" s="28">
        <f>IF(Tabela1[[#This Row],[Duração da Parada (h)]] &lt;&gt; "—", (24 - Tabela1[[#This Row],[Duração da Parada (h)]]), "")</f>
        <v>13.299999999999999</v>
      </c>
      <c r="K65" s="20" t="s">
        <v>62</v>
      </c>
    </row>
    <row r="66" spans="2:11" ht="30" x14ac:dyDescent="0.25">
      <c r="B66" s="21">
        <v>45317</v>
      </c>
      <c r="C66" s="19" t="s">
        <v>7</v>
      </c>
      <c r="D66" s="3" t="str">
        <f>MID(Tabela1[[#This Row],[Estrutura]], 1, 5)</f>
        <v>SE-E2</v>
      </c>
      <c r="E66" s="3">
        <f>COUNTIFS(Tabela1[Data da Ocorrência], Tabela1[[#This Row],[Data da Ocorrência]], Tabela1[Nome Reduzido], Tabela1[[#This Row],[Nome Reduzido]])</f>
        <v>1</v>
      </c>
      <c r="F66" s="18" t="s">
        <v>16</v>
      </c>
      <c r="G66" s="22">
        <v>0.33680555555555558</v>
      </c>
      <c r="H66" s="22">
        <v>0.59513888888888888</v>
      </c>
      <c r="I66" s="28">
        <f>IF(Tabela1[[#This Row],[Tipo]] &lt;&gt; "", (Tabela1[[#This Row],[Término]] - Tabela1[[#This Row],[Início]])*24/Tabela1[[#This Row],[Contagem de Ocorrências]], "—")</f>
        <v>6.1999999999999993</v>
      </c>
      <c r="J66" s="28">
        <f>IF(Tabela1[[#This Row],[Duração da Parada (h)]] &lt;&gt; "—", (24 - Tabela1[[#This Row],[Duração da Parada (h)]]), "")</f>
        <v>17.8</v>
      </c>
      <c r="K66" s="20" t="s">
        <v>63</v>
      </c>
    </row>
    <row r="67" spans="2:11" x14ac:dyDescent="0.25">
      <c r="B67" s="21">
        <v>45489</v>
      </c>
      <c r="C67" s="19" t="s">
        <v>14</v>
      </c>
      <c r="D67" s="3" t="str">
        <f>MID(Tabela1[[#This Row],[Estrutura]], 1, 5)</f>
        <v>SE-E3</v>
      </c>
      <c r="E67" s="3">
        <f>COUNTIFS(Tabela1[Data da Ocorrência], Tabela1[[#This Row],[Data da Ocorrência]], Tabela1[Nome Reduzido], Tabela1[[#This Row],[Nome Reduzido]])</f>
        <v>1</v>
      </c>
      <c r="F67" s="18" t="s">
        <v>16</v>
      </c>
      <c r="G67" s="22">
        <v>0.3263888888888889</v>
      </c>
      <c r="H67" s="22">
        <v>0.66111111111111109</v>
      </c>
      <c r="I67" s="28">
        <f>IF(Tabela1[[#This Row],[Tipo]] &lt;&gt; "", (Tabela1[[#This Row],[Término]] - Tabela1[[#This Row],[Início]])*24/Tabela1[[#This Row],[Contagem de Ocorrências]], "—")</f>
        <v>8.0333333333333332</v>
      </c>
      <c r="J67" s="28">
        <f>IF(Tabela1[[#This Row],[Duração da Parada (h)]] &lt;&gt; "—", (24 - Tabela1[[#This Row],[Duração da Parada (h)]]), "")</f>
        <v>15.966666666666667</v>
      </c>
      <c r="K67" s="20" t="s">
        <v>64</v>
      </c>
    </row>
    <row r="68" spans="2:11" ht="30" x14ac:dyDescent="0.25">
      <c r="B68" s="21">
        <v>45489</v>
      </c>
      <c r="C68" s="19" t="s">
        <v>7</v>
      </c>
      <c r="D68" s="3" t="str">
        <f>MID(Tabela1[[#This Row],[Estrutura]], 1, 5)</f>
        <v>SE-E2</v>
      </c>
      <c r="E68" s="3">
        <f>COUNTIFS(Tabela1[Data da Ocorrência], Tabela1[[#This Row],[Data da Ocorrência]], Tabela1[Nome Reduzido], Tabela1[[#This Row],[Nome Reduzido]])</f>
        <v>1</v>
      </c>
      <c r="F68" s="18" t="s">
        <v>16</v>
      </c>
      <c r="G68" s="22">
        <v>0.3979166666666667</v>
      </c>
      <c r="H68" s="22">
        <v>0.52708333333333335</v>
      </c>
      <c r="I68" s="28">
        <f>IF(Tabela1[[#This Row],[Tipo]] &lt;&gt; "", (Tabela1[[#This Row],[Término]] - Tabela1[[#This Row],[Início]])*24/Tabela1[[#This Row],[Contagem de Ocorrências]], "—")</f>
        <v>3.0999999999999996</v>
      </c>
      <c r="J68" s="28">
        <f>IF(Tabela1[[#This Row],[Duração da Parada (h)]] &lt;&gt; "—", (24 - Tabela1[[#This Row],[Duração da Parada (h)]]), "")</f>
        <v>20.9</v>
      </c>
      <c r="K68" s="20" t="s">
        <v>65</v>
      </c>
    </row>
    <row r="69" spans="2:11" ht="30" x14ac:dyDescent="0.25">
      <c r="B69" s="21">
        <v>45489</v>
      </c>
      <c r="C69" s="19" t="s">
        <v>12</v>
      </c>
      <c r="D69" s="3" t="str">
        <f>MID(Tabela1[[#This Row],[Estrutura]], 1, 5)</f>
        <v>SE-E4</v>
      </c>
      <c r="E69" s="3">
        <f>COUNTIFS(Tabela1[Data da Ocorrência], Tabela1[[#This Row],[Data da Ocorrência]], Tabela1[Nome Reduzido], Tabela1[[#This Row],[Nome Reduzido]])</f>
        <v>1</v>
      </c>
      <c r="F69" s="18" t="s">
        <v>16</v>
      </c>
      <c r="G69" s="22">
        <v>0.3215277777777778</v>
      </c>
      <c r="H69" s="22">
        <v>0.69374999999999998</v>
      </c>
      <c r="I69" s="28">
        <f>IF(Tabela1[[#This Row],[Tipo]] &lt;&gt; "", (Tabela1[[#This Row],[Término]] - Tabela1[[#This Row],[Início]])*24/Tabela1[[#This Row],[Contagem de Ocorrências]], "—")</f>
        <v>8.9333333333333318</v>
      </c>
      <c r="J69" s="28">
        <f>IF(Tabela1[[#This Row],[Duração da Parada (h)]] &lt;&gt; "—", (24 - Tabela1[[#This Row],[Duração da Parada (h)]]), "")</f>
        <v>15.066666666666668</v>
      </c>
      <c r="K69" s="20" t="s">
        <v>66</v>
      </c>
    </row>
    <row r="70" spans="2:11" ht="45" x14ac:dyDescent="0.25">
      <c r="B70" s="21">
        <v>45489</v>
      </c>
      <c r="C70" s="19" t="s">
        <v>9</v>
      </c>
      <c r="D70" s="3" t="str">
        <f>MID(Tabela1[[#This Row],[Estrutura]], 1, 5)</f>
        <v>SE-E6</v>
      </c>
      <c r="E70" s="3">
        <f>COUNTIFS(Tabela1[Data da Ocorrência], Tabela1[[#This Row],[Data da Ocorrência]], Tabela1[Nome Reduzido], Tabela1[[#This Row],[Nome Reduzido]])</f>
        <v>1</v>
      </c>
      <c r="F70" s="18" t="s">
        <v>16</v>
      </c>
      <c r="G70" s="22">
        <v>0.29375000000000001</v>
      </c>
      <c r="H70" s="22">
        <v>0.70833333333333337</v>
      </c>
      <c r="I70" s="28">
        <f>IF(Tabela1[[#This Row],[Tipo]] &lt;&gt; "", (Tabela1[[#This Row],[Término]] - Tabela1[[#This Row],[Início]])*24/Tabela1[[#This Row],[Contagem de Ocorrências]], "—")</f>
        <v>9.9500000000000011</v>
      </c>
      <c r="J70" s="28">
        <f>IF(Tabela1[[#This Row],[Duração da Parada (h)]] &lt;&gt; "—", (24 - Tabela1[[#This Row],[Duração da Parada (h)]]), "")</f>
        <v>14.049999999999999</v>
      </c>
      <c r="K70" s="20" t="s">
        <v>67</v>
      </c>
    </row>
    <row r="71" spans="2:11" ht="30" x14ac:dyDescent="0.25">
      <c r="B71" s="21">
        <v>45489</v>
      </c>
      <c r="C71" s="19" t="s">
        <v>6</v>
      </c>
      <c r="D71" s="3" t="str">
        <f>MID(Tabela1[[#This Row],[Estrutura]], 1, 5)</f>
        <v>SE-E5</v>
      </c>
      <c r="E71" s="3">
        <f>COUNTIFS(Tabela1[Data da Ocorrência], Tabela1[[#This Row],[Data da Ocorrência]], Tabela1[Nome Reduzido], Tabela1[[#This Row],[Nome Reduzido]])</f>
        <v>1</v>
      </c>
      <c r="F71" s="18" t="s">
        <v>16</v>
      </c>
      <c r="G71" s="22">
        <v>0.3125</v>
      </c>
      <c r="H71" s="22">
        <v>0.6875</v>
      </c>
      <c r="I71" s="28">
        <f>IF(Tabela1[[#This Row],[Tipo]] &lt;&gt; "", (Tabela1[[#This Row],[Término]] - Tabela1[[#This Row],[Início]])*24/Tabela1[[#This Row],[Contagem de Ocorrências]], "—")</f>
        <v>9</v>
      </c>
      <c r="J71" s="28">
        <f>IF(Tabela1[[#This Row],[Duração da Parada (h)]] &lt;&gt; "—", (24 - Tabela1[[#This Row],[Duração da Parada (h)]]), "")</f>
        <v>15</v>
      </c>
      <c r="K71" s="20" t="s">
        <v>68</v>
      </c>
    </row>
    <row r="72" spans="2:11" ht="45" x14ac:dyDescent="0.25">
      <c r="B72" s="21">
        <v>45511</v>
      </c>
      <c r="C72" s="19" t="s">
        <v>10</v>
      </c>
      <c r="D72" s="3" t="str">
        <f>MID(Tabela1[[#This Row],[Estrutura]], 1, 5)</f>
        <v>SE-E6</v>
      </c>
      <c r="E72" s="3">
        <f>COUNTIFS(Tabela1[Data da Ocorrência], Tabela1[[#This Row],[Data da Ocorrência]], Tabela1[Nome Reduzido], Tabela1[[#This Row],[Nome Reduzido]])</f>
        <v>1</v>
      </c>
      <c r="F72" s="18" t="s">
        <v>16</v>
      </c>
      <c r="G72" s="22">
        <v>0.33333333333333331</v>
      </c>
      <c r="H72" s="22">
        <v>0.69236111111111109</v>
      </c>
      <c r="I72" s="28">
        <f>IF(Tabela1[[#This Row],[Tipo]] &lt;&gt; "", (Tabela1[[#This Row],[Término]] - Tabela1[[#This Row],[Início]])*24/Tabela1[[#This Row],[Contagem de Ocorrências]], "—")</f>
        <v>8.6166666666666671</v>
      </c>
      <c r="J72" s="28">
        <f>IF(Tabela1[[#This Row],[Duração da Parada (h)]] &lt;&gt; "—", (24 - Tabela1[[#This Row],[Duração da Parada (h)]]), "")</f>
        <v>15.383333333333333</v>
      </c>
      <c r="K72" s="20" t="s">
        <v>69</v>
      </c>
    </row>
    <row r="73" spans="2:11" x14ac:dyDescent="0.25">
      <c r="B73" s="21">
        <v>45520</v>
      </c>
      <c r="C73" s="19" t="s">
        <v>4</v>
      </c>
      <c r="D73" s="3" t="str">
        <f>MID(Tabela1[[#This Row],[Estrutura]], 1, 5)</f>
        <v>SE-E1</v>
      </c>
      <c r="E73" s="3">
        <f>COUNTIFS(Tabela1[Data da Ocorrência], Tabela1[[#This Row],[Data da Ocorrência]], Tabela1[Nome Reduzido], Tabela1[[#This Row],[Nome Reduzido]])</f>
        <v>1</v>
      </c>
      <c r="F73" s="18" t="s">
        <v>17</v>
      </c>
      <c r="G73" s="22">
        <v>0.14166666666666666</v>
      </c>
      <c r="H73" s="22">
        <v>0.99998842592592585</v>
      </c>
      <c r="I73" s="28">
        <f>IF(Tabela1[[#This Row],[Tipo]] &lt;&gt; "", (Tabela1[[#This Row],[Término]] - Tabela1[[#This Row],[Início]])*24/Tabela1[[#This Row],[Contagem de Ocorrências]], "—")</f>
        <v>20.599722222222219</v>
      </c>
      <c r="J73" s="28">
        <f>IF(Tabela1[[#This Row],[Duração da Parada (h)]] &lt;&gt; "—", (24 - Tabela1[[#This Row],[Duração da Parada (h)]]), "")</f>
        <v>3.4002777777777808</v>
      </c>
      <c r="K73" s="20" t="s">
        <v>105</v>
      </c>
    </row>
    <row r="74" spans="2:11" x14ac:dyDescent="0.25">
      <c r="B74" s="21">
        <v>45520</v>
      </c>
      <c r="C74" s="19" t="s">
        <v>15</v>
      </c>
      <c r="D74" s="3" t="str">
        <f>MID(Tabela1[[#This Row],[Estrutura]], 1, 5)</f>
        <v>SE-E2</v>
      </c>
      <c r="E74" s="3">
        <f>COUNTIFS(Tabela1[Data da Ocorrência], Tabela1[[#This Row],[Data da Ocorrência]], Tabela1[Nome Reduzido], Tabela1[[#This Row],[Nome Reduzido]])</f>
        <v>2</v>
      </c>
      <c r="F74" s="18" t="s">
        <v>17</v>
      </c>
      <c r="G74" s="22">
        <v>0.14166666666666666</v>
      </c>
      <c r="H74" s="22">
        <v>0.99998842592592585</v>
      </c>
      <c r="I74" s="28">
        <f>IF(Tabela1[[#This Row],[Tipo]] &lt;&gt; "", (Tabela1[[#This Row],[Término]] - Tabela1[[#This Row],[Início]])*24/Tabela1[[#This Row],[Contagem de Ocorrências]], "—")</f>
        <v>10.29986111111111</v>
      </c>
      <c r="J74" s="28">
        <f>IF(Tabela1[[#This Row],[Duração da Parada (h)]] &lt;&gt; "—", (24 - Tabela1[[#This Row],[Duração da Parada (h)]]), "")</f>
        <v>13.70013888888889</v>
      </c>
      <c r="K74" s="20" t="s">
        <v>105</v>
      </c>
    </row>
    <row r="75" spans="2:11" x14ac:dyDescent="0.25">
      <c r="B75" s="21">
        <v>45520</v>
      </c>
      <c r="C75" s="19" t="s">
        <v>7</v>
      </c>
      <c r="D75" s="3" t="str">
        <f>MID(Tabela1[[#This Row],[Estrutura]], 1, 5)</f>
        <v>SE-E2</v>
      </c>
      <c r="E75" s="3">
        <f>COUNTIFS(Tabela1[Data da Ocorrência], Tabela1[[#This Row],[Data da Ocorrência]], Tabela1[Nome Reduzido], Tabela1[[#This Row],[Nome Reduzido]])</f>
        <v>2</v>
      </c>
      <c r="F75" s="18" t="s">
        <v>17</v>
      </c>
      <c r="G75" s="22">
        <v>0.14166666666666666</v>
      </c>
      <c r="H75" s="22">
        <v>0.99998842592592585</v>
      </c>
      <c r="I75" s="28">
        <f>IF(Tabela1[[#This Row],[Tipo]] &lt;&gt; "", (Tabela1[[#This Row],[Término]] - Tabela1[[#This Row],[Início]])*24/Tabela1[[#This Row],[Contagem de Ocorrências]], "—")</f>
        <v>10.29986111111111</v>
      </c>
      <c r="J75" s="28">
        <f>IF(Tabela1[[#This Row],[Duração da Parada (h)]] &lt;&gt; "—", (24 - Tabela1[[#This Row],[Duração da Parada (h)]]), "")</f>
        <v>13.70013888888889</v>
      </c>
      <c r="K75" s="20" t="s">
        <v>105</v>
      </c>
    </row>
    <row r="76" spans="2:11" x14ac:dyDescent="0.25">
      <c r="B76" s="21">
        <v>45520</v>
      </c>
      <c r="C76" s="19" t="s">
        <v>14</v>
      </c>
      <c r="D76" s="3" t="str">
        <f>MID(Tabela1[[#This Row],[Estrutura]], 1, 5)</f>
        <v>SE-E3</v>
      </c>
      <c r="E76" s="3">
        <f>COUNTIFS(Tabela1[Data da Ocorrência], Tabela1[[#This Row],[Data da Ocorrência]], Tabela1[Nome Reduzido], Tabela1[[#This Row],[Nome Reduzido]])</f>
        <v>3</v>
      </c>
      <c r="F76" s="18" t="s">
        <v>17</v>
      </c>
      <c r="G76" s="22">
        <v>0.14166666666666666</v>
      </c>
      <c r="H76" s="22">
        <v>0.99998842592592585</v>
      </c>
      <c r="I76" s="28">
        <f>IF(Tabela1[[#This Row],[Tipo]] &lt;&gt; "", (Tabela1[[#This Row],[Término]] - Tabela1[[#This Row],[Início]])*24/Tabela1[[#This Row],[Contagem de Ocorrências]], "—")</f>
        <v>6.8665740740740731</v>
      </c>
      <c r="J76" s="28">
        <f>IF(Tabela1[[#This Row],[Duração da Parada (h)]] &lt;&gt; "—", (24 - Tabela1[[#This Row],[Duração da Parada (h)]]), "")</f>
        <v>17.133425925925927</v>
      </c>
      <c r="K76" s="20" t="s">
        <v>105</v>
      </c>
    </row>
    <row r="77" spans="2:11" x14ac:dyDescent="0.25">
      <c r="B77" s="21">
        <v>45520</v>
      </c>
      <c r="C77" s="19" t="s">
        <v>5</v>
      </c>
      <c r="D77" s="3" t="str">
        <f>MID(Tabela1[[#This Row],[Estrutura]], 1, 5)</f>
        <v>SE-E3</v>
      </c>
      <c r="E77" s="3">
        <f>COUNTIFS(Tabela1[Data da Ocorrência], Tabela1[[#This Row],[Data da Ocorrência]], Tabela1[Nome Reduzido], Tabela1[[#This Row],[Nome Reduzido]])</f>
        <v>3</v>
      </c>
      <c r="F77" s="18" t="s">
        <v>17</v>
      </c>
      <c r="G77" s="22">
        <v>0.14166666666666666</v>
      </c>
      <c r="H77" s="22">
        <v>0.99998842592592585</v>
      </c>
      <c r="I77" s="28">
        <f>IF(Tabela1[[#This Row],[Tipo]] &lt;&gt; "", (Tabela1[[#This Row],[Término]] - Tabela1[[#This Row],[Início]])*24/Tabela1[[#This Row],[Contagem de Ocorrências]], "—")</f>
        <v>6.8665740740740731</v>
      </c>
      <c r="J77" s="28">
        <f>IF(Tabela1[[#This Row],[Duração da Parada (h)]] &lt;&gt; "—", (24 - Tabela1[[#This Row],[Duração da Parada (h)]]), "")</f>
        <v>17.133425925925927</v>
      </c>
      <c r="K77" s="20" t="s">
        <v>105</v>
      </c>
    </row>
    <row r="78" spans="2:11" x14ac:dyDescent="0.25">
      <c r="B78" s="21">
        <v>45520</v>
      </c>
      <c r="C78" s="19" t="s">
        <v>12</v>
      </c>
      <c r="D78" s="3" t="str">
        <f>MID(Tabela1[[#This Row],[Estrutura]], 1, 5)</f>
        <v>SE-E4</v>
      </c>
      <c r="E78" s="3">
        <f>COUNTIFS(Tabela1[Data da Ocorrência], Tabela1[[#This Row],[Data da Ocorrência]], Tabela1[Nome Reduzido], Tabela1[[#This Row],[Nome Reduzido]])</f>
        <v>2</v>
      </c>
      <c r="F78" s="18" t="s">
        <v>17</v>
      </c>
      <c r="G78" s="22">
        <v>0.14166666666666666</v>
      </c>
      <c r="H78" s="22">
        <v>0.99998842592592585</v>
      </c>
      <c r="I78" s="28">
        <f>IF(Tabela1[[#This Row],[Tipo]] &lt;&gt; "", (Tabela1[[#This Row],[Término]] - Tabela1[[#This Row],[Início]])*24/Tabela1[[#This Row],[Contagem de Ocorrências]], "—")</f>
        <v>10.29986111111111</v>
      </c>
      <c r="J78" s="28">
        <f>IF(Tabela1[[#This Row],[Duração da Parada (h)]] &lt;&gt; "—", (24 - Tabela1[[#This Row],[Duração da Parada (h)]]), "")</f>
        <v>13.70013888888889</v>
      </c>
      <c r="K78" s="20" t="s">
        <v>105</v>
      </c>
    </row>
    <row r="79" spans="2:11" x14ac:dyDescent="0.25">
      <c r="B79" s="21">
        <v>45520</v>
      </c>
      <c r="C79" s="19" t="s">
        <v>8</v>
      </c>
      <c r="D79" s="3" t="str">
        <f>MID(Tabela1[[#This Row],[Estrutura]], 1, 5)</f>
        <v>SE-E4</v>
      </c>
      <c r="E79" s="3">
        <f>COUNTIFS(Tabela1[Data da Ocorrência], Tabela1[[#This Row],[Data da Ocorrência]], Tabela1[Nome Reduzido], Tabela1[[#This Row],[Nome Reduzido]])</f>
        <v>2</v>
      </c>
      <c r="F79" s="18" t="s">
        <v>17</v>
      </c>
      <c r="G79" s="22">
        <v>0.14166666666666666</v>
      </c>
      <c r="H79" s="22">
        <v>0.99998842592592585</v>
      </c>
      <c r="I79" s="28">
        <f>IF(Tabela1[[#This Row],[Tipo]] &lt;&gt; "", (Tabela1[[#This Row],[Término]] - Tabela1[[#This Row],[Início]])*24/Tabela1[[#This Row],[Contagem de Ocorrências]], "—")</f>
        <v>10.29986111111111</v>
      </c>
      <c r="J79" s="28">
        <f>IF(Tabela1[[#This Row],[Duração da Parada (h)]] &lt;&gt; "—", (24 - Tabela1[[#This Row],[Duração da Parada (h)]]), "")</f>
        <v>13.70013888888889</v>
      </c>
      <c r="K79" s="20" t="s">
        <v>105</v>
      </c>
    </row>
    <row r="80" spans="2:11" x14ac:dyDescent="0.25">
      <c r="B80" s="21">
        <v>45520</v>
      </c>
      <c r="C80" s="19" t="s">
        <v>6</v>
      </c>
      <c r="D80" s="3" t="str">
        <f>MID(Tabela1[[#This Row],[Estrutura]], 1, 5)</f>
        <v>SE-E5</v>
      </c>
      <c r="E80" s="3">
        <f>COUNTIFS(Tabela1[Data da Ocorrência], Tabela1[[#This Row],[Data da Ocorrência]], Tabela1[Nome Reduzido], Tabela1[[#This Row],[Nome Reduzido]])</f>
        <v>2</v>
      </c>
      <c r="F80" s="18" t="s">
        <v>17</v>
      </c>
      <c r="G80" s="22">
        <v>0.14166666666666666</v>
      </c>
      <c r="H80" s="22">
        <v>0.99998842592592585</v>
      </c>
      <c r="I80" s="28">
        <f>IF(Tabela1[[#This Row],[Tipo]] &lt;&gt; "", (Tabela1[[#This Row],[Término]] - Tabela1[[#This Row],[Início]])*24/Tabela1[[#This Row],[Contagem de Ocorrências]], "—")</f>
        <v>10.29986111111111</v>
      </c>
      <c r="J80" s="28">
        <f>IF(Tabela1[[#This Row],[Duração da Parada (h)]] &lt;&gt; "—", (24 - Tabela1[[#This Row],[Duração da Parada (h)]]), "")</f>
        <v>13.70013888888889</v>
      </c>
      <c r="K80" s="20" t="s">
        <v>105</v>
      </c>
    </row>
    <row r="81" spans="2:11" x14ac:dyDescent="0.25">
      <c r="B81" s="21">
        <v>45520</v>
      </c>
      <c r="C81" s="19" t="s">
        <v>6</v>
      </c>
      <c r="D81" s="3" t="str">
        <f>MID(Tabela1[[#This Row],[Estrutura]], 1, 5)</f>
        <v>SE-E5</v>
      </c>
      <c r="E81" s="3">
        <f>COUNTIFS(Tabela1[Data da Ocorrência], Tabela1[[#This Row],[Data da Ocorrência]], Tabela1[Nome Reduzido], Tabela1[[#This Row],[Nome Reduzido]])</f>
        <v>2</v>
      </c>
      <c r="F81" s="18" t="s">
        <v>17</v>
      </c>
      <c r="G81" s="22">
        <v>0.14166666666666666</v>
      </c>
      <c r="H81" s="22">
        <v>0.99998842592592585</v>
      </c>
      <c r="I81" s="28">
        <f>IF(Tabela1[[#This Row],[Tipo]] &lt;&gt; "", (Tabela1[[#This Row],[Término]] - Tabela1[[#This Row],[Início]])*24/Tabela1[[#This Row],[Contagem de Ocorrências]], "—")</f>
        <v>10.29986111111111</v>
      </c>
      <c r="J81" s="28">
        <f>IF(Tabela1[[#This Row],[Duração da Parada (h)]] &lt;&gt; "—", (24 - Tabela1[[#This Row],[Duração da Parada (h)]]), "")</f>
        <v>13.70013888888889</v>
      </c>
      <c r="K81" s="20" t="s">
        <v>105</v>
      </c>
    </row>
    <row r="82" spans="2:11" x14ac:dyDescent="0.25">
      <c r="B82" s="21">
        <v>45520</v>
      </c>
      <c r="C82" s="19" t="s">
        <v>5</v>
      </c>
      <c r="D82" s="3" t="str">
        <f>MID(Tabela1[[#This Row],[Estrutura]], 1, 5)</f>
        <v>SE-E3</v>
      </c>
      <c r="E82" s="3">
        <f>COUNTIFS(Tabela1[Data da Ocorrência], Tabela1[[#This Row],[Data da Ocorrência]], Tabela1[Nome Reduzido], Tabela1[[#This Row],[Nome Reduzido]])</f>
        <v>3</v>
      </c>
      <c r="F82" s="18" t="s">
        <v>17</v>
      </c>
      <c r="G82" s="22">
        <v>0.14166666666666666</v>
      </c>
      <c r="H82" s="22">
        <v>0.99998842592592585</v>
      </c>
      <c r="I82" s="28">
        <f>IF(Tabela1[[#This Row],[Tipo]] &lt;&gt; "", (Tabela1[[#This Row],[Término]] - Tabela1[[#This Row],[Início]])*24/Tabela1[[#This Row],[Contagem de Ocorrências]], "—")</f>
        <v>6.8665740740740731</v>
      </c>
      <c r="J82" s="28">
        <f>IF(Tabela1[[#This Row],[Duração da Parada (h)]] &lt;&gt; "—", (24 - Tabela1[[#This Row],[Duração da Parada (h)]]), "")</f>
        <v>17.133425925925927</v>
      </c>
      <c r="K82" s="20" t="s">
        <v>105</v>
      </c>
    </row>
    <row r="83" spans="2:11" x14ac:dyDescent="0.25">
      <c r="B83" s="21">
        <v>45520</v>
      </c>
      <c r="C83" s="19" t="s">
        <v>11</v>
      </c>
      <c r="D83" s="3" t="str">
        <f>MID(Tabela1[[#This Row],[Estrutura]], 1, 5)</f>
        <v>SE-E6</v>
      </c>
      <c r="E83" s="3">
        <f>COUNTIFS(Tabela1[Data da Ocorrência], Tabela1[[#This Row],[Data da Ocorrência]], Tabela1[Nome Reduzido], Tabela1[[#This Row],[Nome Reduzido]])</f>
        <v>2</v>
      </c>
      <c r="F83" s="18" t="s">
        <v>17</v>
      </c>
      <c r="G83" s="22">
        <v>0.14166666666666666</v>
      </c>
      <c r="H83" s="22">
        <v>0.99998842592592585</v>
      </c>
      <c r="I83" s="28">
        <f>IF(Tabela1[[#This Row],[Tipo]] &lt;&gt; "", (Tabela1[[#This Row],[Término]] - Tabela1[[#This Row],[Início]])*24/Tabela1[[#This Row],[Contagem de Ocorrências]], "—")</f>
        <v>10.29986111111111</v>
      </c>
      <c r="J83" s="28">
        <f>IF(Tabela1[[#This Row],[Duração da Parada (h)]] &lt;&gt; "—", (24 - Tabela1[[#This Row],[Duração da Parada (h)]]), "")</f>
        <v>13.70013888888889</v>
      </c>
      <c r="K83" s="20" t="s">
        <v>105</v>
      </c>
    </row>
    <row r="84" spans="2:11" x14ac:dyDescent="0.25">
      <c r="B84" s="21">
        <v>45520</v>
      </c>
      <c r="C84" s="19" t="s">
        <v>10</v>
      </c>
      <c r="D84" s="3" t="str">
        <f>MID(Tabela1[[#This Row],[Estrutura]], 1, 5)</f>
        <v>SE-E6</v>
      </c>
      <c r="E84" s="3">
        <f>COUNTIFS(Tabela1[Data da Ocorrência], Tabela1[[#This Row],[Data da Ocorrência]], Tabela1[Nome Reduzido], Tabela1[[#This Row],[Nome Reduzido]])</f>
        <v>2</v>
      </c>
      <c r="F84" s="18" t="s">
        <v>17</v>
      </c>
      <c r="G84" s="22">
        <v>0.14166666666666666</v>
      </c>
      <c r="H84" s="22">
        <v>0.99998842592592585</v>
      </c>
      <c r="I84" s="28">
        <f>IF(Tabela1[[#This Row],[Tipo]] &lt;&gt; "", (Tabela1[[#This Row],[Término]] - Tabela1[[#This Row],[Início]])*24/Tabela1[[#This Row],[Contagem de Ocorrências]], "—")</f>
        <v>10.29986111111111</v>
      </c>
      <c r="J84" s="28">
        <f>IF(Tabela1[[#This Row],[Duração da Parada (h)]] &lt;&gt; "—", (24 - Tabela1[[#This Row],[Duração da Parada (h)]]), "")</f>
        <v>13.70013888888889</v>
      </c>
      <c r="K84" s="20" t="s">
        <v>105</v>
      </c>
    </row>
    <row r="85" spans="2:11" x14ac:dyDescent="0.25">
      <c r="B85" s="21">
        <v>45521</v>
      </c>
      <c r="C85" s="19" t="s">
        <v>4</v>
      </c>
      <c r="D85" s="3" t="str">
        <f>MID(Tabela1[[#This Row],[Estrutura]], 1, 5)</f>
        <v>SE-E1</v>
      </c>
      <c r="E85" s="3">
        <f>COUNTIFS(Tabela1[Data da Ocorrência], Tabela1[[#This Row],[Data da Ocorrência]], Tabela1[Nome Reduzido], Tabela1[[#This Row],[Nome Reduzido]])</f>
        <v>1</v>
      </c>
      <c r="F85" s="18" t="s">
        <v>17</v>
      </c>
      <c r="G85" s="22">
        <v>0</v>
      </c>
      <c r="H85" s="22">
        <v>0.99998842592592585</v>
      </c>
      <c r="I85" s="28">
        <f>IF(Tabela1[[#This Row],[Tipo]] &lt;&gt; "", (Tabela1[[#This Row],[Término]] - Tabela1[[#This Row],[Início]])*24/Tabela1[[#This Row],[Contagem de Ocorrências]], "—")</f>
        <v>23.999722222222221</v>
      </c>
      <c r="J85" s="28">
        <f>IF(Tabela1[[#This Row],[Duração da Parada (h)]] &lt;&gt; "—", (24 - Tabela1[[#This Row],[Duração da Parada (h)]]), "")</f>
        <v>2.7777777777870938E-4</v>
      </c>
      <c r="K85" s="20" t="s">
        <v>105</v>
      </c>
    </row>
    <row r="86" spans="2:11" x14ac:dyDescent="0.25">
      <c r="B86" s="21">
        <v>45521</v>
      </c>
      <c r="C86" s="19" t="s">
        <v>15</v>
      </c>
      <c r="D86" s="3" t="str">
        <f>MID(Tabela1[[#This Row],[Estrutura]], 1, 5)</f>
        <v>SE-E2</v>
      </c>
      <c r="E86" s="3">
        <f>COUNTIFS(Tabela1[Data da Ocorrência], Tabela1[[#This Row],[Data da Ocorrência]], Tabela1[Nome Reduzido], Tabela1[[#This Row],[Nome Reduzido]])</f>
        <v>2</v>
      </c>
      <c r="F86" s="18" t="s">
        <v>17</v>
      </c>
      <c r="G86" s="22">
        <v>0</v>
      </c>
      <c r="H86" s="22">
        <v>0.99998842592592585</v>
      </c>
      <c r="I86" s="28">
        <f>IF(Tabela1[[#This Row],[Tipo]] &lt;&gt; "", (Tabela1[[#This Row],[Término]] - Tabela1[[#This Row],[Início]])*24/Tabela1[[#This Row],[Contagem de Ocorrências]], "—")</f>
        <v>11.999861111111111</v>
      </c>
      <c r="J86" s="28">
        <f>IF(Tabela1[[#This Row],[Duração da Parada (h)]] &lt;&gt; "—", (24 - Tabela1[[#This Row],[Duração da Parada (h)]]), "")</f>
        <v>12.000138888888889</v>
      </c>
      <c r="K86" s="20" t="s">
        <v>105</v>
      </c>
    </row>
    <row r="87" spans="2:11" x14ac:dyDescent="0.25">
      <c r="B87" s="21">
        <v>45521</v>
      </c>
      <c r="C87" s="19" t="s">
        <v>7</v>
      </c>
      <c r="D87" s="3" t="str">
        <f>MID(Tabela1[[#This Row],[Estrutura]], 1, 5)</f>
        <v>SE-E2</v>
      </c>
      <c r="E87" s="3">
        <f>COUNTIFS(Tabela1[Data da Ocorrência], Tabela1[[#This Row],[Data da Ocorrência]], Tabela1[Nome Reduzido], Tabela1[[#This Row],[Nome Reduzido]])</f>
        <v>2</v>
      </c>
      <c r="F87" s="18" t="s">
        <v>17</v>
      </c>
      <c r="G87" s="22">
        <v>0</v>
      </c>
      <c r="H87" s="22">
        <v>0.99998842592592585</v>
      </c>
      <c r="I87" s="28">
        <f>IF(Tabela1[[#This Row],[Tipo]] &lt;&gt; "", (Tabela1[[#This Row],[Término]] - Tabela1[[#This Row],[Início]])*24/Tabela1[[#This Row],[Contagem de Ocorrências]], "—")</f>
        <v>11.999861111111111</v>
      </c>
      <c r="J87" s="28">
        <f>IF(Tabela1[[#This Row],[Duração da Parada (h)]] &lt;&gt; "—", (24 - Tabela1[[#This Row],[Duração da Parada (h)]]), "")</f>
        <v>12.000138888888889</v>
      </c>
      <c r="K87" s="20" t="s">
        <v>105</v>
      </c>
    </row>
    <row r="88" spans="2:11" x14ac:dyDescent="0.25">
      <c r="B88" s="21">
        <v>45521</v>
      </c>
      <c r="C88" s="19" t="s">
        <v>14</v>
      </c>
      <c r="D88" s="3" t="str">
        <f>MID(Tabela1[[#This Row],[Estrutura]], 1, 5)</f>
        <v>SE-E3</v>
      </c>
      <c r="E88" s="3">
        <f>COUNTIFS(Tabela1[Data da Ocorrência], Tabela1[[#This Row],[Data da Ocorrência]], Tabela1[Nome Reduzido], Tabela1[[#This Row],[Nome Reduzido]])</f>
        <v>2</v>
      </c>
      <c r="F88" s="18" t="s">
        <v>17</v>
      </c>
      <c r="G88" s="22">
        <v>0</v>
      </c>
      <c r="H88" s="22">
        <v>0.99998842592592585</v>
      </c>
      <c r="I88" s="28">
        <f>IF(Tabela1[[#This Row],[Tipo]] &lt;&gt; "", (Tabela1[[#This Row],[Término]] - Tabela1[[#This Row],[Início]])*24/Tabela1[[#This Row],[Contagem de Ocorrências]], "—")</f>
        <v>11.999861111111111</v>
      </c>
      <c r="J88" s="28">
        <f>IF(Tabela1[[#This Row],[Duração da Parada (h)]] &lt;&gt; "—", (24 - Tabela1[[#This Row],[Duração da Parada (h)]]), "")</f>
        <v>12.000138888888889</v>
      </c>
      <c r="K88" s="20" t="s">
        <v>105</v>
      </c>
    </row>
    <row r="89" spans="2:11" x14ac:dyDescent="0.25">
      <c r="B89" s="21">
        <v>45521</v>
      </c>
      <c r="C89" s="19" t="s">
        <v>5</v>
      </c>
      <c r="D89" s="3" t="str">
        <f>MID(Tabela1[[#This Row],[Estrutura]], 1, 5)</f>
        <v>SE-E3</v>
      </c>
      <c r="E89" s="3">
        <f>COUNTIFS(Tabela1[Data da Ocorrência], Tabela1[[#This Row],[Data da Ocorrência]], Tabela1[Nome Reduzido], Tabela1[[#This Row],[Nome Reduzido]])</f>
        <v>2</v>
      </c>
      <c r="F89" s="18" t="s">
        <v>17</v>
      </c>
      <c r="G89" s="22">
        <v>0</v>
      </c>
      <c r="H89" s="22">
        <v>0.99998842592592585</v>
      </c>
      <c r="I89" s="28">
        <f>IF(Tabela1[[#This Row],[Tipo]] &lt;&gt; "", (Tabela1[[#This Row],[Término]] - Tabela1[[#This Row],[Início]])*24/Tabela1[[#This Row],[Contagem de Ocorrências]], "—")</f>
        <v>11.999861111111111</v>
      </c>
      <c r="J89" s="28">
        <f>IF(Tabela1[[#This Row],[Duração da Parada (h)]] &lt;&gt; "—", (24 - Tabela1[[#This Row],[Duração da Parada (h)]]), "")</f>
        <v>12.000138888888889</v>
      </c>
      <c r="K89" s="20" t="s">
        <v>105</v>
      </c>
    </row>
    <row r="90" spans="2:11" x14ac:dyDescent="0.25">
      <c r="B90" s="21">
        <v>45521</v>
      </c>
      <c r="C90" s="19" t="s">
        <v>12</v>
      </c>
      <c r="D90" s="3" t="str">
        <f>MID(Tabela1[[#This Row],[Estrutura]], 1, 5)</f>
        <v>SE-E4</v>
      </c>
      <c r="E90" s="3">
        <f>COUNTIFS(Tabela1[Data da Ocorrência], Tabela1[[#This Row],[Data da Ocorrência]], Tabela1[Nome Reduzido], Tabela1[[#This Row],[Nome Reduzido]])</f>
        <v>2</v>
      </c>
      <c r="F90" s="18" t="s">
        <v>17</v>
      </c>
      <c r="G90" s="22">
        <v>0</v>
      </c>
      <c r="H90" s="22">
        <v>0.99998842592592585</v>
      </c>
      <c r="I90" s="28">
        <f>IF(Tabela1[[#This Row],[Tipo]] &lt;&gt; "", (Tabela1[[#This Row],[Término]] - Tabela1[[#This Row],[Início]])*24/Tabela1[[#This Row],[Contagem de Ocorrências]], "—")</f>
        <v>11.999861111111111</v>
      </c>
      <c r="J90" s="28">
        <f>IF(Tabela1[[#This Row],[Duração da Parada (h)]] &lt;&gt; "—", (24 - Tabela1[[#This Row],[Duração da Parada (h)]]), "")</f>
        <v>12.000138888888889</v>
      </c>
      <c r="K90" s="20" t="s">
        <v>105</v>
      </c>
    </row>
    <row r="91" spans="2:11" x14ac:dyDescent="0.25">
      <c r="B91" s="21">
        <v>45521</v>
      </c>
      <c r="C91" s="19" t="s">
        <v>8</v>
      </c>
      <c r="D91" s="3" t="str">
        <f>MID(Tabela1[[#This Row],[Estrutura]], 1, 5)</f>
        <v>SE-E4</v>
      </c>
      <c r="E91" s="3">
        <f>COUNTIFS(Tabela1[Data da Ocorrência], Tabela1[[#This Row],[Data da Ocorrência]], Tabela1[Nome Reduzido], Tabela1[[#This Row],[Nome Reduzido]])</f>
        <v>2</v>
      </c>
      <c r="F91" s="18" t="s">
        <v>17</v>
      </c>
      <c r="G91" s="22">
        <v>0</v>
      </c>
      <c r="H91" s="22">
        <v>0.99998842592592585</v>
      </c>
      <c r="I91" s="28">
        <f>IF(Tabela1[[#This Row],[Tipo]] &lt;&gt; "", (Tabela1[[#This Row],[Término]] - Tabela1[[#This Row],[Início]])*24/Tabela1[[#This Row],[Contagem de Ocorrências]], "—")</f>
        <v>11.999861111111111</v>
      </c>
      <c r="J91" s="28">
        <f>IF(Tabela1[[#This Row],[Duração da Parada (h)]] &lt;&gt; "—", (24 - Tabela1[[#This Row],[Duração da Parada (h)]]), "")</f>
        <v>12.000138888888889</v>
      </c>
      <c r="K91" s="20" t="s">
        <v>105</v>
      </c>
    </row>
    <row r="92" spans="2:11" x14ac:dyDescent="0.25">
      <c r="B92" s="21">
        <v>45521</v>
      </c>
      <c r="C92" s="19" t="s">
        <v>6</v>
      </c>
      <c r="D92" s="3" t="str">
        <f>MID(Tabela1[[#This Row],[Estrutura]], 1, 5)</f>
        <v>SE-E5</v>
      </c>
      <c r="E92" s="3">
        <f>COUNTIFS(Tabela1[Data da Ocorrência], Tabela1[[#This Row],[Data da Ocorrência]], Tabela1[Nome Reduzido], Tabela1[[#This Row],[Nome Reduzido]])</f>
        <v>2</v>
      </c>
      <c r="F92" s="18" t="s">
        <v>17</v>
      </c>
      <c r="G92" s="22">
        <v>0</v>
      </c>
      <c r="H92" s="22">
        <v>0.99998842592592585</v>
      </c>
      <c r="I92" s="28">
        <f>IF(Tabela1[[#This Row],[Tipo]] &lt;&gt; "", (Tabela1[[#This Row],[Término]] - Tabela1[[#This Row],[Início]])*24/Tabela1[[#This Row],[Contagem de Ocorrências]], "—")</f>
        <v>11.999861111111111</v>
      </c>
      <c r="J92" s="28">
        <f>IF(Tabela1[[#This Row],[Duração da Parada (h)]] &lt;&gt; "—", (24 - Tabela1[[#This Row],[Duração da Parada (h)]]), "")</f>
        <v>12.000138888888889</v>
      </c>
      <c r="K92" s="20" t="s">
        <v>105</v>
      </c>
    </row>
    <row r="93" spans="2:11" x14ac:dyDescent="0.25">
      <c r="B93" s="21">
        <v>45521</v>
      </c>
      <c r="C93" s="19" t="s">
        <v>6</v>
      </c>
      <c r="D93" s="3" t="str">
        <f>MID(Tabela1[[#This Row],[Estrutura]], 1, 5)</f>
        <v>SE-E5</v>
      </c>
      <c r="E93" s="3">
        <f>COUNTIFS(Tabela1[Data da Ocorrência], Tabela1[[#This Row],[Data da Ocorrência]], Tabela1[Nome Reduzido], Tabela1[[#This Row],[Nome Reduzido]])</f>
        <v>2</v>
      </c>
      <c r="F93" s="18" t="s">
        <v>17</v>
      </c>
      <c r="G93" s="22">
        <v>0</v>
      </c>
      <c r="H93" s="22">
        <v>0.99998842592592585</v>
      </c>
      <c r="I93" s="28">
        <f>IF(Tabela1[[#This Row],[Tipo]] &lt;&gt; "", (Tabela1[[#This Row],[Término]] - Tabela1[[#This Row],[Início]])*24/Tabela1[[#This Row],[Contagem de Ocorrências]], "—")</f>
        <v>11.999861111111111</v>
      </c>
      <c r="J93" s="28">
        <f>IF(Tabela1[[#This Row],[Duração da Parada (h)]] &lt;&gt; "—", (24 - Tabela1[[#This Row],[Duração da Parada (h)]]), "")</f>
        <v>12.000138888888889</v>
      </c>
      <c r="K93" s="20" t="s">
        <v>105</v>
      </c>
    </row>
    <row r="94" spans="2:11" x14ac:dyDescent="0.25">
      <c r="B94" s="21">
        <v>45521</v>
      </c>
      <c r="C94" s="19" t="s">
        <v>9</v>
      </c>
      <c r="D94" s="3" t="str">
        <f>MID(Tabela1[[#This Row],[Estrutura]], 1, 5)</f>
        <v>SE-E6</v>
      </c>
      <c r="E94" s="3">
        <f>COUNTIFS(Tabela1[Data da Ocorrência], Tabela1[[#This Row],[Data da Ocorrência]], Tabela1[Nome Reduzido], Tabela1[[#This Row],[Nome Reduzido]])</f>
        <v>3</v>
      </c>
      <c r="F94" s="18" t="s">
        <v>17</v>
      </c>
      <c r="G94" s="22">
        <v>0</v>
      </c>
      <c r="H94" s="22">
        <v>0.99998842592592585</v>
      </c>
      <c r="I94" s="28">
        <f>IF(Tabela1[[#This Row],[Tipo]] &lt;&gt; "", (Tabela1[[#This Row],[Término]] - Tabela1[[#This Row],[Início]])*24/Tabela1[[#This Row],[Contagem de Ocorrências]], "—")</f>
        <v>7.9999074074074068</v>
      </c>
      <c r="J94" s="28">
        <f>IF(Tabela1[[#This Row],[Duração da Parada (h)]] &lt;&gt; "—", (24 - Tabela1[[#This Row],[Duração da Parada (h)]]), "")</f>
        <v>16.000092592592594</v>
      </c>
      <c r="K94" s="20" t="s">
        <v>105</v>
      </c>
    </row>
    <row r="95" spans="2:11" x14ac:dyDescent="0.25">
      <c r="B95" s="21">
        <v>45521</v>
      </c>
      <c r="C95" s="19" t="s">
        <v>11</v>
      </c>
      <c r="D95" s="3" t="str">
        <f>MID(Tabela1[[#This Row],[Estrutura]], 1, 5)</f>
        <v>SE-E6</v>
      </c>
      <c r="E95" s="3">
        <f>COUNTIFS(Tabela1[Data da Ocorrência], Tabela1[[#This Row],[Data da Ocorrência]], Tabela1[Nome Reduzido], Tabela1[[#This Row],[Nome Reduzido]])</f>
        <v>3</v>
      </c>
      <c r="F95" s="18" t="s">
        <v>17</v>
      </c>
      <c r="G95" s="22">
        <v>0</v>
      </c>
      <c r="H95" s="22">
        <v>0.99998842592592585</v>
      </c>
      <c r="I95" s="28">
        <f>IF(Tabela1[[#This Row],[Tipo]] &lt;&gt; "", (Tabela1[[#This Row],[Término]] - Tabela1[[#This Row],[Início]])*24/Tabela1[[#This Row],[Contagem de Ocorrências]], "—")</f>
        <v>7.9999074074074068</v>
      </c>
      <c r="J95" s="28">
        <f>IF(Tabela1[[#This Row],[Duração da Parada (h)]] &lt;&gt; "—", (24 - Tabela1[[#This Row],[Duração da Parada (h)]]), "")</f>
        <v>16.000092592592594</v>
      </c>
      <c r="K95" s="20" t="s">
        <v>105</v>
      </c>
    </row>
    <row r="96" spans="2:11" x14ac:dyDescent="0.25">
      <c r="B96" s="21">
        <v>45521</v>
      </c>
      <c r="C96" s="19" t="s">
        <v>10</v>
      </c>
      <c r="D96" s="3" t="str">
        <f>MID(Tabela1[[#This Row],[Estrutura]], 1, 5)</f>
        <v>SE-E6</v>
      </c>
      <c r="E96" s="3">
        <f>COUNTIFS(Tabela1[Data da Ocorrência], Tabela1[[#This Row],[Data da Ocorrência]], Tabela1[Nome Reduzido], Tabela1[[#This Row],[Nome Reduzido]])</f>
        <v>3</v>
      </c>
      <c r="F96" s="18" t="s">
        <v>17</v>
      </c>
      <c r="G96" s="22">
        <v>0</v>
      </c>
      <c r="H96" s="22">
        <v>0.99998842592592585</v>
      </c>
      <c r="I96" s="28">
        <f>IF(Tabela1[[#This Row],[Tipo]] &lt;&gt; "", (Tabela1[[#This Row],[Término]] - Tabela1[[#This Row],[Início]])*24/Tabela1[[#This Row],[Contagem de Ocorrências]], "—")</f>
        <v>7.9999074074074068</v>
      </c>
      <c r="J96" s="28">
        <f>IF(Tabela1[[#This Row],[Duração da Parada (h)]] &lt;&gt; "—", (24 - Tabela1[[#This Row],[Duração da Parada (h)]]), "")</f>
        <v>16.000092592592594</v>
      </c>
      <c r="K96" s="20" t="s">
        <v>105</v>
      </c>
    </row>
    <row r="97" spans="2:11" x14ac:dyDescent="0.25">
      <c r="B97" s="21">
        <v>45522</v>
      </c>
      <c r="C97" s="19" t="s">
        <v>4</v>
      </c>
      <c r="D97" s="3" t="str">
        <f>MID(Tabela1[[#This Row],[Estrutura]], 1, 5)</f>
        <v>SE-E1</v>
      </c>
      <c r="E97" s="3">
        <f>COUNTIFS(Tabela1[Data da Ocorrência], Tabela1[[#This Row],[Data da Ocorrência]], Tabela1[Nome Reduzido], Tabela1[[#This Row],[Nome Reduzido]])</f>
        <v>1</v>
      </c>
      <c r="F97" s="18" t="s">
        <v>17</v>
      </c>
      <c r="G97" s="22">
        <v>0</v>
      </c>
      <c r="H97" s="22">
        <v>0.99998842592592585</v>
      </c>
      <c r="I97" s="28">
        <f>IF(Tabela1[[#This Row],[Tipo]] &lt;&gt; "", (Tabela1[[#This Row],[Término]] - Tabela1[[#This Row],[Início]])*24/Tabela1[[#This Row],[Contagem de Ocorrências]], "—")</f>
        <v>23.999722222222221</v>
      </c>
      <c r="J97" s="28">
        <f>IF(Tabela1[[#This Row],[Duração da Parada (h)]] &lt;&gt; "—", (24 - Tabela1[[#This Row],[Duração da Parada (h)]]), "")</f>
        <v>2.7777777777870938E-4</v>
      </c>
      <c r="K97" s="20" t="s">
        <v>105</v>
      </c>
    </row>
    <row r="98" spans="2:11" x14ac:dyDescent="0.25">
      <c r="B98" s="21">
        <v>45522</v>
      </c>
      <c r="C98" s="19" t="s">
        <v>15</v>
      </c>
      <c r="D98" s="3" t="str">
        <f>MID(Tabela1[[#This Row],[Estrutura]], 1, 5)</f>
        <v>SE-E2</v>
      </c>
      <c r="E98" s="3">
        <f>COUNTIFS(Tabela1[Data da Ocorrência], Tabela1[[#This Row],[Data da Ocorrência]], Tabela1[Nome Reduzido], Tabela1[[#This Row],[Nome Reduzido]])</f>
        <v>2</v>
      </c>
      <c r="F98" s="18" t="s">
        <v>17</v>
      </c>
      <c r="G98" s="22">
        <v>0</v>
      </c>
      <c r="H98" s="22">
        <v>0.99998842592592585</v>
      </c>
      <c r="I98" s="28">
        <f>IF(Tabela1[[#This Row],[Tipo]] &lt;&gt; "", (Tabela1[[#This Row],[Término]] - Tabela1[[#This Row],[Início]])*24/Tabela1[[#This Row],[Contagem de Ocorrências]], "—")</f>
        <v>11.999861111111111</v>
      </c>
      <c r="J98" s="28">
        <f>IF(Tabela1[[#This Row],[Duração da Parada (h)]] &lt;&gt; "—", (24 - Tabela1[[#This Row],[Duração da Parada (h)]]), "")</f>
        <v>12.000138888888889</v>
      </c>
      <c r="K98" s="20" t="s">
        <v>105</v>
      </c>
    </row>
    <row r="99" spans="2:11" x14ac:dyDescent="0.25">
      <c r="B99" s="21">
        <v>45522</v>
      </c>
      <c r="C99" s="19" t="s">
        <v>7</v>
      </c>
      <c r="D99" s="3" t="str">
        <f>MID(Tabela1[[#This Row],[Estrutura]], 1, 5)</f>
        <v>SE-E2</v>
      </c>
      <c r="E99" s="3">
        <f>COUNTIFS(Tabela1[Data da Ocorrência], Tabela1[[#This Row],[Data da Ocorrência]], Tabela1[Nome Reduzido], Tabela1[[#This Row],[Nome Reduzido]])</f>
        <v>2</v>
      </c>
      <c r="F99" s="18" t="s">
        <v>17</v>
      </c>
      <c r="G99" s="22">
        <v>0</v>
      </c>
      <c r="H99" s="22">
        <v>0.99998842592592585</v>
      </c>
      <c r="I99" s="28">
        <f>IF(Tabela1[[#This Row],[Tipo]] &lt;&gt; "", (Tabela1[[#This Row],[Término]] - Tabela1[[#This Row],[Início]])*24/Tabela1[[#This Row],[Contagem de Ocorrências]], "—")</f>
        <v>11.999861111111111</v>
      </c>
      <c r="J99" s="28">
        <f>IF(Tabela1[[#This Row],[Duração da Parada (h)]] &lt;&gt; "—", (24 - Tabela1[[#This Row],[Duração da Parada (h)]]), "")</f>
        <v>12.000138888888889</v>
      </c>
      <c r="K99" s="20" t="s">
        <v>105</v>
      </c>
    </row>
    <row r="100" spans="2:11" x14ac:dyDescent="0.25">
      <c r="B100" s="21">
        <v>45522</v>
      </c>
      <c r="C100" s="19" t="s">
        <v>14</v>
      </c>
      <c r="D100" s="3" t="str">
        <f>MID(Tabela1[[#This Row],[Estrutura]], 1, 5)</f>
        <v>SE-E3</v>
      </c>
      <c r="E100" s="3">
        <f>COUNTIFS(Tabela1[Data da Ocorrência], Tabela1[[#This Row],[Data da Ocorrência]], Tabela1[Nome Reduzido], Tabela1[[#This Row],[Nome Reduzido]])</f>
        <v>2</v>
      </c>
      <c r="F100" s="18" t="s">
        <v>17</v>
      </c>
      <c r="G100" s="22">
        <v>0</v>
      </c>
      <c r="H100" s="22">
        <v>0.99998842592592585</v>
      </c>
      <c r="I100" s="28">
        <f>IF(Tabela1[[#This Row],[Tipo]] &lt;&gt; "", (Tabela1[[#This Row],[Término]] - Tabela1[[#This Row],[Início]])*24/Tabela1[[#This Row],[Contagem de Ocorrências]], "—")</f>
        <v>11.999861111111111</v>
      </c>
      <c r="J100" s="28">
        <f>IF(Tabela1[[#This Row],[Duração da Parada (h)]] &lt;&gt; "—", (24 - Tabela1[[#This Row],[Duração da Parada (h)]]), "")</f>
        <v>12.000138888888889</v>
      </c>
      <c r="K100" s="20" t="s">
        <v>105</v>
      </c>
    </row>
    <row r="101" spans="2:11" x14ac:dyDescent="0.25">
      <c r="B101" s="21">
        <v>45522</v>
      </c>
      <c r="C101" s="19" t="s">
        <v>5</v>
      </c>
      <c r="D101" s="3" t="str">
        <f>MID(Tabela1[[#This Row],[Estrutura]], 1, 5)</f>
        <v>SE-E3</v>
      </c>
      <c r="E101" s="3">
        <f>COUNTIFS(Tabela1[Data da Ocorrência], Tabela1[[#This Row],[Data da Ocorrência]], Tabela1[Nome Reduzido], Tabela1[[#This Row],[Nome Reduzido]])</f>
        <v>2</v>
      </c>
      <c r="F101" s="18" t="s">
        <v>17</v>
      </c>
      <c r="G101" s="22">
        <v>0</v>
      </c>
      <c r="H101" s="22">
        <v>0.99998842592592585</v>
      </c>
      <c r="I101" s="28">
        <f>IF(Tabela1[[#This Row],[Tipo]] &lt;&gt; "", (Tabela1[[#This Row],[Término]] - Tabela1[[#This Row],[Início]])*24/Tabela1[[#This Row],[Contagem de Ocorrências]], "—")</f>
        <v>11.999861111111111</v>
      </c>
      <c r="J101" s="28">
        <f>IF(Tabela1[[#This Row],[Duração da Parada (h)]] &lt;&gt; "—", (24 - Tabela1[[#This Row],[Duração da Parada (h)]]), "")</f>
        <v>12.000138888888889</v>
      </c>
      <c r="K101" s="20" t="s">
        <v>105</v>
      </c>
    </row>
    <row r="102" spans="2:11" x14ac:dyDescent="0.25">
      <c r="B102" s="21">
        <v>45522</v>
      </c>
      <c r="C102" s="19" t="s">
        <v>12</v>
      </c>
      <c r="D102" s="3" t="str">
        <f>MID(Tabela1[[#This Row],[Estrutura]], 1, 5)</f>
        <v>SE-E4</v>
      </c>
      <c r="E102" s="3">
        <f>COUNTIFS(Tabela1[Data da Ocorrência], Tabela1[[#This Row],[Data da Ocorrência]], Tabela1[Nome Reduzido], Tabela1[[#This Row],[Nome Reduzido]])</f>
        <v>2</v>
      </c>
      <c r="F102" s="18" t="s">
        <v>17</v>
      </c>
      <c r="G102" s="22">
        <v>0</v>
      </c>
      <c r="H102" s="22">
        <v>0.99998842592592585</v>
      </c>
      <c r="I102" s="28">
        <f>IF(Tabela1[[#This Row],[Tipo]] &lt;&gt; "", (Tabela1[[#This Row],[Término]] - Tabela1[[#This Row],[Início]])*24/Tabela1[[#This Row],[Contagem de Ocorrências]], "—")</f>
        <v>11.999861111111111</v>
      </c>
      <c r="J102" s="28">
        <f>IF(Tabela1[[#This Row],[Duração da Parada (h)]] &lt;&gt; "—", (24 - Tabela1[[#This Row],[Duração da Parada (h)]]), "")</f>
        <v>12.000138888888889</v>
      </c>
      <c r="K102" s="20" t="s">
        <v>105</v>
      </c>
    </row>
    <row r="103" spans="2:11" x14ac:dyDescent="0.25">
      <c r="B103" s="21">
        <v>45522</v>
      </c>
      <c r="C103" s="19" t="s">
        <v>8</v>
      </c>
      <c r="D103" s="3" t="str">
        <f>MID(Tabela1[[#This Row],[Estrutura]], 1, 5)</f>
        <v>SE-E4</v>
      </c>
      <c r="E103" s="3">
        <f>COUNTIFS(Tabela1[Data da Ocorrência], Tabela1[[#This Row],[Data da Ocorrência]], Tabela1[Nome Reduzido], Tabela1[[#This Row],[Nome Reduzido]])</f>
        <v>2</v>
      </c>
      <c r="F103" s="18" t="s">
        <v>17</v>
      </c>
      <c r="G103" s="22">
        <v>0</v>
      </c>
      <c r="H103" s="22">
        <v>0.99998842592592585</v>
      </c>
      <c r="I103" s="28">
        <f>IF(Tabela1[[#This Row],[Tipo]] &lt;&gt; "", (Tabela1[[#This Row],[Término]] - Tabela1[[#This Row],[Início]])*24/Tabela1[[#This Row],[Contagem de Ocorrências]], "—")</f>
        <v>11.999861111111111</v>
      </c>
      <c r="J103" s="28">
        <f>IF(Tabela1[[#This Row],[Duração da Parada (h)]] &lt;&gt; "—", (24 - Tabela1[[#This Row],[Duração da Parada (h)]]), "")</f>
        <v>12.000138888888889</v>
      </c>
      <c r="K103" s="20" t="s">
        <v>105</v>
      </c>
    </row>
    <row r="104" spans="2:11" x14ac:dyDescent="0.25">
      <c r="B104" s="21">
        <v>45522</v>
      </c>
      <c r="C104" s="19" t="s">
        <v>6</v>
      </c>
      <c r="D104" s="3" t="str">
        <f>MID(Tabela1[[#This Row],[Estrutura]], 1, 5)</f>
        <v>SE-E5</v>
      </c>
      <c r="E104" s="3">
        <f>COUNTIFS(Tabela1[Data da Ocorrência], Tabela1[[#This Row],[Data da Ocorrência]], Tabela1[Nome Reduzido], Tabela1[[#This Row],[Nome Reduzido]])</f>
        <v>2</v>
      </c>
      <c r="F104" s="18" t="s">
        <v>17</v>
      </c>
      <c r="G104" s="22">
        <v>0</v>
      </c>
      <c r="H104" s="22">
        <v>0.99998842592592585</v>
      </c>
      <c r="I104" s="28">
        <f>IF(Tabela1[[#This Row],[Tipo]] &lt;&gt; "", (Tabela1[[#This Row],[Término]] - Tabela1[[#This Row],[Início]])*24/Tabela1[[#This Row],[Contagem de Ocorrências]], "—")</f>
        <v>11.999861111111111</v>
      </c>
      <c r="J104" s="28">
        <f>IF(Tabela1[[#This Row],[Duração da Parada (h)]] &lt;&gt; "—", (24 - Tabela1[[#This Row],[Duração da Parada (h)]]), "")</f>
        <v>12.000138888888889</v>
      </c>
      <c r="K104" s="20" t="s">
        <v>105</v>
      </c>
    </row>
    <row r="105" spans="2:11" x14ac:dyDescent="0.25">
      <c r="B105" s="21">
        <v>45522</v>
      </c>
      <c r="C105" s="19" t="s">
        <v>6</v>
      </c>
      <c r="D105" s="3" t="str">
        <f>MID(Tabela1[[#This Row],[Estrutura]], 1, 5)</f>
        <v>SE-E5</v>
      </c>
      <c r="E105" s="3">
        <f>COUNTIFS(Tabela1[Data da Ocorrência], Tabela1[[#This Row],[Data da Ocorrência]], Tabela1[Nome Reduzido], Tabela1[[#This Row],[Nome Reduzido]])</f>
        <v>2</v>
      </c>
      <c r="F105" s="18" t="s">
        <v>17</v>
      </c>
      <c r="G105" s="22">
        <v>0</v>
      </c>
      <c r="H105" s="22">
        <v>0.99998842592592585</v>
      </c>
      <c r="I105" s="28">
        <f>IF(Tabela1[[#This Row],[Tipo]] &lt;&gt; "", (Tabela1[[#This Row],[Término]] - Tabela1[[#This Row],[Início]])*24/Tabela1[[#This Row],[Contagem de Ocorrências]], "—")</f>
        <v>11.999861111111111</v>
      </c>
      <c r="J105" s="28">
        <f>IF(Tabela1[[#This Row],[Duração da Parada (h)]] &lt;&gt; "—", (24 - Tabela1[[#This Row],[Duração da Parada (h)]]), "")</f>
        <v>12.000138888888889</v>
      </c>
      <c r="K105" s="20" t="s">
        <v>105</v>
      </c>
    </row>
    <row r="106" spans="2:11" x14ac:dyDescent="0.25">
      <c r="B106" s="21">
        <v>45522</v>
      </c>
      <c r="C106" s="19" t="s">
        <v>9</v>
      </c>
      <c r="D106" s="3" t="str">
        <f>MID(Tabela1[[#This Row],[Estrutura]], 1, 5)</f>
        <v>SE-E6</v>
      </c>
      <c r="E106" s="3">
        <f>COUNTIFS(Tabela1[Data da Ocorrência], Tabela1[[#This Row],[Data da Ocorrência]], Tabela1[Nome Reduzido], Tabela1[[#This Row],[Nome Reduzido]])</f>
        <v>3</v>
      </c>
      <c r="F106" s="18" t="s">
        <v>17</v>
      </c>
      <c r="G106" s="22">
        <v>0</v>
      </c>
      <c r="H106" s="22">
        <v>0.99998842592592585</v>
      </c>
      <c r="I106" s="28">
        <f>IF(Tabela1[[#This Row],[Tipo]] &lt;&gt; "", (Tabela1[[#This Row],[Término]] - Tabela1[[#This Row],[Início]])*24/Tabela1[[#This Row],[Contagem de Ocorrências]], "—")</f>
        <v>7.9999074074074068</v>
      </c>
      <c r="J106" s="28">
        <f>IF(Tabela1[[#This Row],[Duração da Parada (h)]] &lt;&gt; "—", (24 - Tabela1[[#This Row],[Duração da Parada (h)]]), "")</f>
        <v>16.000092592592594</v>
      </c>
      <c r="K106" s="20" t="s">
        <v>105</v>
      </c>
    </row>
    <row r="107" spans="2:11" x14ac:dyDescent="0.25">
      <c r="B107" s="21">
        <v>45522</v>
      </c>
      <c r="C107" s="19" t="s">
        <v>11</v>
      </c>
      <c r="D107" s="3" t="str">
        <f>MID(Tabela1[[#This Row],[Estrutura]], 1, 5)</f>
        <v>SE-E6</v>
      </c>
      <c r="E107" s="3">
        <f>COUNTIFS(Tabela1[Data da Ocorrência], Tabela1[[#This Row],[Data da Ocorrência]], Tabela1[Nome Reduzido], Tabela1[[#This Row],[Nome Reduzido]])</f>
        <v>3</v>
      </c>
      <c r="F107" s="18" t="s">
        <v>17</v>
      </c>
      <c r="G107" s="22">
        <v>0</v>
      </c>
      <c r="H107" s="22">
        <v>0.99998842592592585</v>
      </c>
      <c r="I107" s="28">
        <f>IF(Tabela1[[#This Row],[Tipo]] &lt;&gt; "", (Tabela1[[#This Row],[Término]] - Tabela1[[#This Row],[Início]])*24/Tabela1[[#This Row],[Contagem de Ocorrências]], "—")</f>
        <v>7.9999074074074068</v>
      </c>
      <c r="J107" s="28">
        <f>IF(Tabela1[[#This Row],[Duração da Parada (h)]] &lt;&gt; "—", (24 - Tabela1[[#This Row],[Duração da Parada (h)]]), "")</f>
        <v>16.000092592592594</v>
      </c>
      <c r="K107" s="20" t="s">
        <v>105</v>
      </c>
    </row>
    <row r="108" spans="2:11" x14ac:dyDescent="0.25">
      <c r="B108" s="21">
        <v>45522</v>
      </c>
      <c r="C108" s="19" t="s">
        <v>10</v>
      </c>
      <c r="D108" s="3" t="str">
        <f>MID(Tabela1[[#This Row],[Estrutura]], 1, 5)</f>
        <v>SE-E6</v>
      </c>
      <c r="E108" s="3">
        <f>COUNTIFS(Tabela1[Data da Ocorrência], Tabela1[[#This Row],[Data da Ocorrência]], Tabela1[Nome Reduzido], Tabela1[[#This Row],[Nome Reduzido]])</f>
        <v>3</v>
      </c>
      <c r="F108" s="18" t="s">
        <v>17</v>
      </c>
      <c r="G108" s="22">
        <v>0</v>
      </c>
      <c r="H108" s="22">
        <v>0.99998842592592585</v>
      </c>
      <c r="I108" s="28">
        <f>IF(Tabela1[[#This Row],[Tipo]] &lt;&gt; "", (Tabela1[[#This Row],[Término]] - Tabela1[[#This Row],[Início]])*24/Tabela1[[#This Row],[Contagem de Ocorrências]], "—")</f>
        <v>7.9999074074074068</v>
      </c>
      <c r="J108" s="28">
        <f>IF(Tabela1[[#This Row],[Duração da Parada (h)]] &lt;&gt; "—", (24 - Tabela1[[#This Row],[Duração da Parada (h)]]), "")</f>
        <v>16.000092592592594</v>
      </c>
      <c r="K108" s="20" t="s">
        <v>105</v>
      </c>
    </row>
    <row r="109" spans="2:11" x14ac:dyDescent="0.25">
      <c r="B109" s="21">
        <v>45523</v>
      </c>
      <c r="C109" s="19" t="s">
        <v>4</v>
      </c>
      <c r="D109" s="3" t="str">
        <f>MID(Tabela1[[#This Row],[Estrutura]], 1, 5)</f>
        <v>SE-E1</v>
      </c>
      <c r="E109" s="3">
        <f>COUNTIFS(Tabela1[Data da Ocorrência], Tabela1[[#This Row],[Data da Ocorrência]], Tabela1[Nome Reduzido], Tabela1[[#This Row],[Nome Reduzido]])</f>
        <v>1</v>
      </c>
      <c r="F109" s="18" t="s">
        <v>17</v>
      </c>
      <c r="G109" s="22">
        <v>0</v>
      </c>
      <c r="H109" s="22">
        <v>0.67361111111111116</v>
      </c>
      <c r="I109" s="28">
        <f>IF(Tabela1[[#This Row],[Tipo]] &lt;&gt; "", (Tabela1[[#This Row],[Término]] - Tabela1[[#This Row],[Início]])*24/Tabela1[[#This Row],[Contagem de Ocorrências]], "—")</f>
        <v>16.166666666666668</v>
      </c>
      <c r="J109" s="28">
        <f>IF(Tabela1[[#This Row],[Duração da Parada (h)]] &lt;&gt; "—", (24 - Tabela1[[#This Row],[Duração da Parada (h)]]), "")</f>
        <v>7.8333333333333321</v>
      </c>
      <c r="K109" s="20" t="s">
        <v>105</v>
      </c>
    </row>
    <row r="110" spans="2:11" x14ac:dyDescent="0.25">
      <c r="B110" s="21">
        <v>45523</v>
      </c>
      <c r="C110" s="19" t="s">
        <v>15</v>
      </c>
      <c r="D110" s="3" t="str">
        <f>MID(Tabela1[[#This Row],[Estrutura]], 1, 5)</f>
        <v>SE-E2</v>
      </c>
      <c r="E110" s="3">
        <f>COUNTIFS(Tabela1[Data da Ocorrência], Tabela1[[#This Row],[Data da Ocorrência]], Tabela1[Nome Reduzido], Tabela1[[#This Row],[Nome Reduzido]])</f>
        <v>2</v>
      </c>
      <c r="F110" s="18" t="s">
        <v>17</v>
      </c>
      <c r="G110" s="22">
        <v>0</v>
      </c>
      <c r="H110" s="22">
        <v>0.67361111111111116</v>
      </c>
      <c r="I110" s="28">
        <f>IF(Tabela1[[#This Row],[Tipo]] &lt;&gt; "", (Tabela1[[#This Row],[Término]] - Tabela1[[#This Row],[Início]])*24/Tabela1[[#This Row],[Contagem de Ocorrências]], "—")</f>
        <v>8.0833333333333339</v>
      </c>
      <c r="J110" s="28">
        <f>IF(Tabela1[[#This Row],[Duração da Parada (h)]] &lt;&gt; "—", (24 - Tabela1[[#This Row],[Duração da Parada (h)]]), "")</f>
        <v>15.916666666666666</v>
      </c>
      <c r="K110" s="20" t="s">
        <v>105</v>
      </c>
    </row>
    <row r="111" spans="2:11" x14ac:dyDescent="0.25">
      <c r="B111" s="21">
        <v>45523</v>
      </c>
      <c r="C111" s="19" t="s">
        <v>7</v>
      </c>
      <c r="D111" s="3" t="str">
        <f>MID(Tabela1[[#This Row],[Estrutura]], 1, 5)</f>
        <v>SE-E2</v>
      </c>
      <c r="E111" s="3">
        <f>COUNTIFS(Tabela1[Data da Ocorrência], Tabela1[[#This Row],[Data da Ocorrência]], Tabela1[Nome Reduzido], Tabela1[[#This Row],[Nome Reduzido]])</f>
        <v>2</v>
      </c>
      <c r="F111" s="18" t="s">
        <v>17</v>
      </c>
      <c r="G111" s="22">
        <v>0</v>
      </c>
      <c r="H111" s="22">
        <v>0.67361111111111116</v>
      </c>
      <c r="I111" s="28">
        <f>IF(Tabela1[[#This Row],[Tipo]] &lt;&gt; "", (Tabela1[[#This Row],[Término]] - Tabela1[[#This Row],[Início]])*24/Tabela1[[#This Row],[Contagem de Ocorrências]], "—")</f>
        <v>8.0833333333333339</v>
      </c>
      <c r="J111" s="28">
        <f>IF(Tabela1[[#This Row],[Duração da Parada (h)]] &lt;&gt; "—", (24 - Tabela1[[#This Row],[Duração da Parada (h)]]), "")</f>
        <v>15.916666666666666</v>
      </c>
      <c r="K111" s="20" t="s">
        <v>105</v>
      </c>
    </row>
    <row r="112" spans="2:11" x14ac:dyDescent="0.25">
      <c r="B112" s="21">
        <v>45523</v>
      </c>
      <c r="C112" s="19" t="s">
        <v>14</v>
      </c>
      <c r="D112" s="3" t="str">
        <f>MID(Tabela1[[#This Row],[Estrutura]], 1, 5)</f>
        <v>SE-E3</v>
      </c>
      <c r="E112" s="3">
        <f>COUNTIFS(Tabela1[Data da Ocorrência], Tabela1[[#This Row],[Data da Ocorrência]], Tabela1[Nome Reduzido], Tabela1[[#This Row],[Nome Reduzido]])</f>
        <v>2</v>
      </c>
      <c r="F112" s="18" t="s">
        <v>17</v>
      </c>
      <c r="G112" s="22">
        <v>0</v>
      </c>
      <c r="H112" s="22">
        <v>0.67361111111111116</v>
      </c>
      <c r="I112" s="28">
        <f>IF(Tabela1[[#This Row],[Tipo]] &lt;&gt; "", (Tabela1[[#This Row],[Término]] - Tabela1[[#This Row],[Início]])*24/Tabela1[[#This Row],[Contagem de Ocorrências]], "—")</f>
        <v>8.0833333333333339</v>
      </c>
      <c r="J112" s="28">
        <f>IF(Tabela1[[#This Row],[Duração da Parada (h)]] &lt;&gt; "—", (24 - Tabela1[[#This Row],[Duração da Parada (h)]]), "")</f>
        <v>15.916666666666666</v>
      </c>
      <c r="K112" s="20" t="s">
        <v>105</v>
      </c>
    </row>
    <row r="113" spans="2:11" x14ac:dyDescent="0.25">
      <c r="B113" s="21">
        <v>45523</v>
      </c>
      <c r="C113" s="19" t="s">
        <v>5</v>
      </c>
      <c r="D113" s="3" t="str">
        <f>MID(Tabela1[[#This Row],[Estrutura]], 1, 5)</f>
        <v>SE-E3</v>
      </c>
      <c r="E113" s="3">
        <f>COUNTIFS(Tabela1[Data da Ocorrência], Tabela1[[#This Row],[Data da Ocorrência]], Tabela1[Nome Reduzido], Tabela1[[#This Row],[Nome Reduzido]])</f>
        <v>2</v>
      </c>
      <c r="F113" s="18" t="s">
        <v>17</v>
      </c>
      <c r="G113" s="22">
        <v>0</v>
      </c>
      <c r="H113" s="22">
        <v>0.67361111111111116</v>
      </c>
      <c r="I113" s="28">
        <f>IF(Tabela1[[#This Row],[Tipo]] &lt;&gt; "", (Tabela1[[#This Row],[Término]] - Tabela1[[#This Row],[Início]])*24/Tabela1[[#This Row],[Contagem de Ocorrências]], "—")</f>
        <v>8.0833333333333339</v>
      </c>
      <c r="J113" s="28">
        <f>IF(Tabela1[[#This Row],[Duração da Parada (h)]] &lt;&gt; "—", (24 - Tabela1[[#This Row],[Duração da Parada (h)]]), "")</f>
        <v>15.916666666666666</v>
      </c>
      <c r="K113" s="20" t="s">
        <v>105</v>
      </c>
    </row>
    <row r="114" spans="2:11" x14ac:dyDescent="0.25">
      <c r="B114" s="21">
        <v>45523</v>
      </c>
      <c r="C114" s="19" t="s">
        <v>12</v>
      </c>
      <c r="D114" s="3" t="str">
        <f>MID(Tabela1[[#This Row],[Estrutura]], 1, 5)</f>
        <v>SE-E4</v>
      </c>
      <c r="E114" s="3">
        <f>COUNTIFS(Tabela1[Data da Ocorrência], Tabela1[[#This Row],[Data da Ocorrência]], Tabela1[Nome Reduzido], Tabela1[[#This Row],[Nome Reduzido]])</f>
        <v>2</v>
      </c>
      <c r="F114" s="18" t="s">
        <v>17</v>
      </c>
      <c r="G114" s="22">
        <v>0</v>
      </c>
      <c r="H114" s="22">
        <v>0.67361111111111116</v>
      </c>
      <c r="I114" s="28">
        <f>IF(Tabela1[[#This Row],[Tipo]] &lt;&gt; "", (Tabela1[[#This Row],[Término]] - Tabela1[[#This Row],[Início]])*24/Tabela1[[#This Row],[Contagem de Ocorrências]], "—")</f>
        <v>8.0833333333333339</v>
      </c>
      <c r="J114" s="28">
        <f>IF(Tabela1[[#This Row],[Duração da Parada (h)]] &lt;&gt; "—", (24 - Tabela1[[#This Row],[Duração da Parada (h)]]), "")</f>
        <v>15.916666666666666</v>
      </c>
      <c r="K114" s="20" t="s">
        <v>105</v>
      </c>
    </row>
    <row r="115" spans="2:11" x14ac:dyDescent="0.25">
      <c r="B115" s="21">
        <v>45523</v>
      </c>
      <c r="C115" s="19" t="s">
        <v>8</v>
      </c>
      <c r="D115" s="3" t="str">
        <f>MID(Tabela1[[#This Row],[Estrutura]], 1, 5)</f>
        <v>SE-E4</v>
      </c>
      <c r="E115" s="3">
        <f>COUNTIFS(Tabela1[Data da Ocorrência], Tabela1[[#This Row],[Data da Ocorrência]], Tabela1[Nome Reduzido], Tabela1[[#This Row],[Nome Reduzido]])</f>
        <v>2</v>
      </c>
      <c r="F115" s="18" t="s">
        <v>17</v>
      </c>
      <c r="G115" s="22">
        <v>0</v>
      </c>
      <c r="H115" s="22">
        <v>0.67361111111111116</v>
      </c>
      <c r="I115" s="28">
        <f>IF(Tabela1[[#This Row],[Tipo]] &lt;&gt; "", (Tabela1[[#This Row],[Término]] - Tabela1[[#This Row],[Início]])*24/Tabela1[[#This Row],[Contagem de Ocorrências]], "—")</f>
        <v>8.0833333333333339</v>
      </c>
      <c r="J115" s="28">
        <f>IF(Tabela1[[#This Row],[Duração da Parada (h)]] &lt;&gt; "—", (24 - Tabela1[[#This Row],[Duração da Parada (h)]]), "")</f>
        <v>15.916666666666666</v>
      </c>
      <c r="K115" s="20" t="s">
        <v>105</v>
      </c>
    </row>
    <row r="116" spans="2:11" x14ac:dyDescent="0.25">
      <c r="B116" s="21">
        <v>45523</v>
      </c>
      <c r="C116" s="19" t="s">
        <v>6</v>
      </c>
      <c r="D116" s="3" t="str">
        <f>MID(Tabela1[[#This Row],[Estrutura]], 1, 5)</f>
        <v>SE-E5</v>
      </c>
      <c r="E116" s="3">
        <f>COUNTIFS(Tabela1[Data da Ocorrência], Tabela1[[#This Row],[Data da Ocorrência]], Tabela1[Nome Reduzido], Tabela1[[#This Row],[Nome Reduzido]])</f>
        <v>2</v>
      </c>
      <c r="F116" s="18" t="s">
        <v>17</v>
      </c>
      <c r="G116" s="22">
        <v>0</v>
      </c>
      <c r="H116" s="22">
        <v>0.67361111111111116</v>
      </c>
      <c r="I116" s="28">
        <f>IF(Tabela1[[#This Row],[Tipo]] &lt;&gt; "", (Tabela1[[#This Row],[Término]] - Tabela1[[#This Row],[Início]])*24/Tabela1[[#This Row],[Contagem de Ocorrências]], "—")</f>
        <v>8.0833333333333339</v>
      </c>
      <c r="J116" s="28">
        <f>IF(Tabela1[[#This Row],[Duração da Parada (h)]] &lt;&gt; "—", (24 - Tabela1[[#This Row],[Duração da Parada (h)]]), "")</f>
        <v>15.916666666666666</v>
      </c>
      <c r="K116" s="20" t="s">
        <v>105</v>
      </c>
    </row>
    <row r="117" spans="2:11" x14ac:dyDescent="0.25">
      <c r="B117" s="21">
        <v>45523</v>
      </c>
      <c r="C117" s="19" t="s">
        <v>6</v>
      </c>
      <c r="D117" s="3" t="str">
        <f>MID(Tabela1[[#This Row],[Estrutura]], 1, 5)</f>
        <v>SE-E5</v>
      </c>
      <c r="E117" s="3">
        <f>COUNTIFS(Tabela1[Data da Ocorrência], Tabela1[[#This Row],[Data da Ocorrência]], Tabela1[Nome Reduzido], Tabela1[[#This Row],[Nome Reduzido]])</f>
        <v>2</v>
      </c>
      <c r="F117" s="18" t="s">
        <v>17</v>
      </c>
      <c r="G117" s="22">
        <v>0</v>
      </c>
      <c r="H117" s="22">
        <v>0.67361111111111116</v>
      </c>
      <c r="I117" s="28">
        <f>IF(Tabela1[[#This Row],[Tipo]] &lt;&gt; "", (Tabela1[[#This Row],[Término]] - Tabela1[[#This Row],[Início]])*24/Tabela1[[#This Row],[Contagem de Ocorrências]], "—")</f>
        <v>8.0833333333333339</v>
      </c>
      <c r="J117" s="28">
        <f>IF(Tabela1[[#This Row],[Duração da Parada (h)]] &lt;&gt; "—", (24 - Tabela1[[#This Row],[Duração da Parada (h)]]), "")</f>
        <v>15.916666666666666</v>
      </c>
      <c r="K117" s="20" t="s">
        <v>105</v>
      </c>
    </row>
    <row r="118" spans="2:11" x14ac:dyDescent="0.25">
      <c r="B118" s="21">
        <v>45523</v>
      </c>
      <c r="C118" s="19" t="s">
        <v>9</v>
      </c>
      <c r="D118" s="3" t="str">
        <f>MID(Tabela1[[#This Row],[Estrutura]], 1, 5)</f>
        <v>SE-E6</v>
      </c>
      <c r="E118" s="3">
        <f>COUNTIFS(Tabela1[Data da Ocorrência], Tabela1[[#This Row],[Data da Ocorrência]], Tabela1[Nome Reduzido], Tabela1[[#This Row],[Nome Reduzido]])</f>
        <v>3</v>
      </c>
      <c r="F118" s="18" t="s">
        <v>17</v>
      </c>
      <c r="G118" s="22">
        <v>0</v>
      </c>
      <c r="H118" s="22">
        <v>0.67361111111111116</v>
      </c>
      <c r="I118" s="28">
        <f>IF(Tabela1[[#This Row],[Tipo]] &lt;&gt; "", (Tabela1[[#This Row],[Término]] - Tabela1[[#This Row],[Início]])*24/Tabela1[[#This Row],[Contagem de Ocorrências]], "—")</f>
        <v>5.3888888888888893</v>
      </c>
      <c r="J118" s="28">
        <f>IF(Tabela1[[#This Row],[Duração da Parada (h)]] &lt;&gt; "—", (24 - Tabela1[[#This Row],[Duração da Parada (h)]]), "")</f>
        <v>18.611111111111111</v>
      </c>
      <c r="K118" s="20" t="s">
        <v>105</v>
      </c>
    </row>
    <row r="119" spans="2:11" x14ac:dyDescent="0.25">
      <c r="B119" s="21">
        <v>45523</v>
      </c>
      <c r="C119" s="19" t="s">
        <v>11</v>
      </c>
      <c r="D119" s="3" t="str">
        <f>MID(Tabela1[[#This Row],[Estrutura]], 1, 5)</f>
        <v>SE-E6</v>
      </c>
      <c r="E119" s="3">
        <f>COUNTIFS(Tabela1[Data da Ocorrência], Tabela1[[#This Row],[Data da Ocorrência]], Tabela1[Nome Reduzido], Tabela1[[#This Row],[Nome Reduzido]])</f>
        <v>3</v>
      </c>
      <c r="F119" s="18" t="s">
        <v>17</v>
      </c>
      <c r="G119" s="22">
        <v>0</v>
      </c>
      <c r="H119" s="22">
        <v>0.67361111111111116</v>
      </c>
      <c r="I119" s="28">
        <f>IF(Tabela1[[#This Row],[Tipo]] &lt;&gt; "", (Tabela1[[#This Row],[Término]] - Tabela1[[#This Row],[Início]])*24/Tabela1[[#This Row],[Contagem de Ocorrências]], "—")</f>
        <v>5.3888888888888893</v>
      </c>
      <c r="J119" s="28">
        <f>IF(Tabela1[[#This Row],[Duração da Parada (h)]] &lt;&gt; "—", (24 - Tabela1[[#This Row],[Duração da Parada (h)]]), "")</f>
        <v>18.611111111111111</v>
      </c>
      <c r="K119" s="20" t="s">
        <v>105</v>
      </c>
    </row>
    <row r="120" spans="2:11" x14ac:dyDescent="0.25">
      <c r="B120" s="21">
        <v>45523</v>
      </c>
      <c r="C120" s="19" t="s">
        <v>10</v>
      </c>
      <c r="D120" s="3" t="str">
        <f>MID(Tabela1[[#This Row],[Estrutura]], 1, 5)</f>
        <v>SE-E6</v>
      </c>
      <c r="E120" s="3">
        <f>COUNTIFS(Tabela1[Data da Ocorrência], Tabela1[[#This Row],[Data da Ocorrência]], Tabela1[Nome Reduzido], Tabela1[[#This Row],[Nome Reduzido]])</f>
        <v>3</v>
      </c>
      <c r="F120" s="18" t="s">
        <v>17</v>
      </c>
      <c r="G120" s="22">
        <v>0</v>
      </c>
      <c r="H120" s="22">
        <v>0.67361111111111116</v>
      </c>
      <c r="I120" s="28">
        <f>IF(Tabela1[[#This Row],[Tipo]] &lt;&gt; "", (Tabela1[[#This Row],[Término]] - Tabela1[[#This Row],[Início]])*24/Tabela1[[#This Row],[Contagem de Ocorrências]], "—")</f>
        <v>5.3888888888888893</v>
      </c>
      <c r="J120" s="28">
        <f>IF(Tabela1[[#This Row],[Duração da Parada (h)]] &lt;&gt; "—", (24 - Tabela1[[#This Row],[Duração da Parada (h)]]), "")</f>
        <v>18.611111111111111</v>
      </c>
      <c r="K120" s="20" t="s">
        <v>105</v>
      </c>
    </row>
    <row r="121" spans="2:11" ht="45" x14ac:dyDescent="0.25">
      <c r="B121" s="21">
        <v>45587</v>
      </c>
      <c r="C121" s="19" t="s">
        <v>5</v>
      </c>
      <c r="D121" s="3" t="str">
        <f>MID(Tabela1[[#This Row],[Estrutura]], 1, 5)</f>
        <v>SE-E3</v>
      </c>
      <c r="E121" s="3">
        <f>COUNTIFS(Tabela1[Data da Ocorrência], Tabela1[[#This Row],[Data da Ocorrência]], Tabela1[Nome Reduzido], Tabela1[[#This Row],[Nome Reduzido]])</f>
        <v>1</v>
      </c>
      <c r="F121" s="18" t="s">
        <v>16</v>
      </c>
      <c r="G121" s="22">
        <v>0.3347222222222222</v>
      </c>
      <c r="H121" s="22">
        <v>0.75347222222222221</v>
      </c>
      <c r="I121" s="28">
        <f>IF(Tabela1[[#This Row],[Tipo]] &lt;&gt; "", (Tabela1[[#This Row],[Término]] - Tabela1[[#This Row],[Início]])*24/Tabela1[[#This Row],[Contagem de Ocorrências]], "—")</f>
        <v>10.050000000000001</v>
      </c>
      <c r="J121" s="28">
        <f>IF(Tabela1[[#This Row],[Duração da Parada (h)]] &lt;&gt; "—", (24 - Tabela1[[#This Row],[Duração da Parada (h)]]), "")</f>
        <v>13.95</v>
      </c>
      <c r="K121" s="20" t="s">
        <v>70</v>
      </c>
    </row>
    <row r="122" spans="2:11" ht="45" x14ac:dyDescent="0.25">
      <c r="B122" s="21">
        <v>45588</v>
      </c>
      <c r="C122" s="19" t="s">
        <v>4</v>
      </c>
      <c r="D122" s="3" t="str">
        <f>MID(Tabela1[[#This Row],[Estrutura]], 1, 5)</f>
        <v>SE-E1</v>
      </c>
      <c r="E122" s="3">
        <f>COUNTIFS(Tabela1[Data da Ocorrência], Tabela1[[#This Row],[Data da Ocorrência]], Tabela1[Nome Reduzido], Tabela1[[#This Row],[Nome Reduzido]])</f>
        <v>1</v>
      </c>
      <c r="F122" s="18" t="s">
        <v>16</v>
      </c>
      <c r="G122" s="22">
        <v>0.3263888888888889</v>
      </c>
      <c r="H122" s="22">
        <v>0.7319444444444444</v>
      </c>
      <c r="I122" s="28">
        <f>IF(Tabela1[[#This Row],[Tipo]] &lt;&gt; "", (Tabela1[[#This Row],[Término]] - Tabela1[[#This Row],[Início]])*24/Tabela1[[#This Row],[Contagem de Ocorrências]], "—")</f>
        <v>9.7333333333333325</v>
      </c>
      <c r="J122" s="28">
        <f>IF(Tabela1[[#This Row],[Duração da Parada (h)]] &lt;&gt; "—", (24 - Tabela1[[#This Row],[Duração da Parada (h)]]), "")</f>
        <v>14.266666666666667</v>
      </c>
      <c r="K122" s="20" t="s">
        <v>71</v>
      </c>
    </row>
    <row r="123" spans="2:11" ht="60" x14ac:dyDescent="0.25">
      <c r="B123" s="21">
        <v>45590</v>
      </c>
      <c r="C123" s="19" t="s">
        <v>7</v>
      </c>
      <c r="D123" s="3" t="str">
        <f>MID(Tabela1[[#This Row],[Estrutura]], 1, 5)</f>
        <v>SE-E2</v>
      </c>
      <c r="E123" s="3">
        <f>COUNTIFS(Tabela1[Data da Ocorrência], Tabela1[[#This Row],[Data da Ocorrência]], Tabela1[Nome Reduzido], Tabela1[[#This Row],[Nome Reduzido]])</f>
        <v>1</v>
      </c>
      <c r="F123" s="18" t="s">
        <v>16</v>
      </c>
      <c r="G123" s="22">
        <v>0.3263888888888889</v>
      </c>
      <c r="H123" s="22">
        <v>0.65069444444444446</v>
      </c>
      <c r="I123" s="28">
        <f>IF(Tabela1[[#This Row],[Tipo]] &lt;&gt; "", (Tabela1[[#This Row],[Término]] - Tabela1[[#This Row],[Início]])*24/Tabela1[[#This Row],[Contagem de Ocorrências]], "—")</f>
        <v>7.7833333333333332</v>
      </c>
      <c r="J123" s="28">
        <f>IF(Tabela1[[#This Row],[Duração da Parada (h)]] &lt;&gt; "—", (24 - Tabela1[[#This Row],[Duração da Parada (h)]]), "")</f>
        <v>16.216666666666669</v>
      </c>
      <c r="K123" s="20" t="s">
        <v>72</v>
      </c>
    </row>
    <row r="124" spans="2:11" x14ac:dyDescent="0.25">
      <c r="B124" s="21">
        <v>45594</v>
      </c>
      <c r="C124" s="19" t="s">
        <v>8</v>
      </c>
      <c r="D124" s="3" t="str">
        <f>MID(Tabela1[[#This Row],[Estrutura]], 1, 5)</f>
        <v>SE-E4</v>
      </c>
      <c r="E124" s="3">
        <f>COUNTIFS(Tabela1[Data da Ocorrência], Tabela1[[#This Row],[Data da Ocorrência]], Tabela1[Nome Reduzido], Tabela1[[#This Row],[Nome Reduzido]])</f>
        <v>1</v>
      </c>
      <c r="F124" s="18" t="s">
        <v>16</v>
      </c>
      <c r="G124" s="22">
        <v>0.34722222222222227</v>
      </c>
      <c r="H124" s="22">
        <v>0.73541666666666661</v>
      </c>
      <c r="I124" s="28">
        <f>IF(Tabela1[[#This Row],[Tipo]] &lt;&gt; "", (Tabela1[[#This Row],[Término]] - Tabela1[[#This Row],[Início]])*24/Tabela1[[#This Row],[Contagem de Ocorrências]], "—")</f>
        <v>9.3166666666666647</v>
      </c>
      <c r="J124" s="28">
        <f>IF(Tabela1[[#This Row],[Duração da Parada (h)]] &lt;&gt; "—", (24 - Tabela1[[#This Row],[Duração da Parada (h)]]), "")</f>
        <v>14.683333333333335</v>
      </c>
      <c r="K124" s="20" t="s">
        <v>73</v>
      </c>
    </row>
    <row r="125" spans="2:11" x14ac:dyDescent="0.25">
      <c r="B125" s="21">
        <v>45600</v>
      </c>
      <c r="C125" s="19" t="s">
        <v>6</v>
      </c>
      <c r="D125" s="3" t="str">
        <f>MID(Tabela1[[#This Row],[Estrutura]], 1, 5)</f>
        <v>SE-E5</v>
      </c>
      <c r="E125" s="3">
        <f>COUNTIFS(Tabela1[Data da Ocorrência], Tabela1[[#This Row],[Data da Ocorrência]], Tabela1[Nome Reduzido], Tabela1[[#This Row],[Nome Reduzido]])</f>
        <v>1</v>
      </c>
      <c r="F125" s="18" t="s">
        <v>16</v>
      </c>
      <c r="G125" s="22">
        <v>0.3611111111111111</v>
      </c>
      <c r="H125" s="22">
        <v>0.6743055555555556</v>
      </c>
      <c r="I125" s="28">
        <f>IF(Tabela1[[#This Row],[Tipo]] &lt;&gt; "", (Tabela1[[#This Row],[Término]] - Tabela1[[#This Row],[Início]])*24/Tabela1[[#This Row],[Contagem de Ocorrências]], "—")</f>
        <v>7.5166666666666675</v>
      </c>
      <c r="J125" s="28">
        <f>IF(Tabela1[[#This Row],[Duração da Parada (h)]] &lt;&gt; "—", (24 - Tabela1[[#This Row],[Duração da Parada (h)]]), "")</f>
        <v>16.483333333333334</v>
      </c>
      <c r="K125" s="20" t="s">
        <v>73</v>
      </c>
    </row>
    <row r="126" spans="2:11" x14ac:dyDescent="0.25">
      <c r="B126" s="21">
        <v>45603</v>
      </c>
      <c r="C126" s="19" t="s">
        <v>9</v>
      </c>
      <c r="D126" s="3" t="str">
        <f>MID(Tabela1[[#This Row],[Estrutura]], 1, 5)</f>
        <v>SE-E6</v>
      </c>
      <c r="E126" s="3">
        <f>COUNTIFS(Tabela1[Data da Ocorrência], Tabela1[[#This Row],[Data da Ocorrência]], Tabela1[Nome Reduzido], Tabela1[[#This Row],[Nome Reduzido]])</f>
        <v>1</v>
      </c>
      <c r="F126" s="18" t="s">
        <v>16</v>
      </c>
      <c r="G126" s="22">
        <v>0.34861111111111115</v>
      </c>
      <c r="H126" s="22">
        <v>0.64930555555555558</v>
      </c>
      <c r="I126" s="28">
        <f>IF(Tabela1[[#This Row],[Tipo]] &lt;&gt; "", (Tabela1[[#This Row],[Término]] - Tabela1[[#This Row],[Início]])*24/Tabela1[[#This Row],[Contagem de Ocorrências]], "—")</f>
        <v>7.2166666666666668</v>
      </c>
      <c r="J126" s="28">
        <f>IF(Tabela1[[#This Row],[Duração da Parada (h)]] &lt;&gt; "—", (24 - Tabela1[[#This Row],[Duração da Parada (h)]]), "")</f>
        <v>16.783333333333331</v>
      </c>
      <c r="K126" s="20" t="s">
        <v>73</v>
      </c>
    </row>
    <row r="127" spans="2:11" x14ac:dyDescent="0.25">
      <c r="B127" s="21">
        <v>45692</v>
      </c>
      <c r="C127" s="19" t="s">
        <v>10</v>
      </c>
      <c r="D127" s="3" t="str">
        <f>MID(Tabela1[[#This Row],[Estrutura]], 1, 5)</f>
        <v>SE-E6</v>
      </c>
      <c r="E127" s="3">
        <f>COUNTIFS(Tabela1[Data da Ocorrência], Tabela1[[#This Row],[Data da Ocorrência]], Tabela1[Nome Reduzido], Tabela1[[#This Row],[Nome Reduzido]])</f>
        <v>1</v>
      </c>
      <c r="F127" s="18" t="s">
        <v>16</v>
      </c>
      <c r="G127" s="22">
        <v>0.34791666666666665</v>
      </c>
      <c r="H127" s="22">
        <v>0.62986111111111109</v>
      </c>
      <c r="I127" s="28">
        <f>IF(Tabela1[[#This Row],[Tipo]] &lt;&gt; "", (Tabela1[[#This Row],[Término]] - Tabela1[[#This Row],[Início]])*24/Tabela1[[#This Row],[Contagem de Ocorrências]], "—")</f>
        <v>6.7666666666666666</v>
      </c>
      <c r="J127" s="28">
        <f>IF(Tabela1[[#This Row],[Duração da Parada (h)]] &lt;&gt; "—", (24 - Tabela1[[#This Row],[Duração da Parada (h)]]), "")</f>
        <v>17.233333333333334</v>
      </c>
      <c r="K127" s="20" t="s">
        <v>110</v>
      </c>
    </row>
    <row r="128" spans="2:11" x14ac:dyDescent="0.25">
      <c r="B128" s="21">
        <v>45693</v>
      </c>
      <c r="C128" s="19" t="s">
        <v>10</v>
      </c>
      <c r="D128" s="3" t="str">
        <f>MID(Tabela1[[#This Row],[Estrutura]], 1, 5)</f>
        <v>SE-E6</v>
      </c>
      <c r="E128" s="3">
        <f>COUNTIFS(Tabela1[Data da Ocorrência], Tabela1[[#This Row],[Data da Ocorrência]], Tabela1[Nome Reduzido], Tabela1[[#This Row],[Nome Reduzido]])</f>
        <v>1</v>
      </c>
      <c r="F128" s="18" t="s">
        <v>16</v>
      </c>
      <c r="G128" s="22">
        <v>0.37361111111111112</v>
      </c>
      <c r="H128" s="22">
        <v>0.5180555555555556</v>
      </c>
      <c r="I128" s="28">
        <f>IF(Tabela1[[#This Row],[Tipo]] &lt;&gt; "", (Tabela1[[#This Row],[Término]] - Tabela1[[#This Row],[Início]])*24/Tabela1[[#This Row],[Contagem de Ocorrências]], "—")</f>
        <v>3.4666666666666677</v>
      </c>
      <c r="J128" s="28">
        <f>IF(Tabela1[[#This Row],[Duração da Parada (h)]] &lt;&gt; "—", (24 - Tabela1[[#This Row],[Duração da Parada (h)]]), "")</f>
        <v>20.533333333333331</v>
      </c>
      <c r="K128" s="20" t="s">
        <v>110</v>
      </c>
    </row>
    <row r="129" spans="2:11" x14ac:dyDescent="0.25">
      <c r="B129" s="21">
        <v>45734</v>
      </c>
      <c r="C129" s="19" t="s">
        <v>10</v>
      </c>
      <c r="D129" s="3" t="str">
        <f>MID(Tabela1[[#This Row],[Estrutura]], 1, 5)</f>
        <v>SE-E6</v>
      </c>
      <c r="E129" s="3">
        <f>COUNTIFS(Tabela1[Data da Ocorrência], Tabela1[[#This Row],[Data da Ocorrência]], Tabela1[Nome Reduzido], Tabela1[[#This Row],[Nome Reduzido]])</f>
        <v>1</v>
      </c>
      <c r="F129" s="18" t="s">
        <v>16</v>
      </c>
      <c r="G129" s="22">
        <v>0.33333333333333331</v>
      </c>
      <c r="H129" s="22">
        <v>0.66666666666666663</v>
      </c>
      <c r="I129" s="28">
        <f>IF(Tabela1[[#This Row],[Tipo]] &lt;&gt; "", (Tabela1[[#This Row],[Término]] - Tabela1[[#This Row],[Início]])*24/Tabela1[[#This Row],[Contagem de Ocorrências]], "—")</f>
        <v>8</v>
      </c>
      <c r="J129" s="28">
        <f>IF(Tabela1[[#This Row],[Duração da Parada (h)]] &lt;&gt; "—", (24 - Tabela1[[#This Row],[Duração da Parada (h)]]), "")</f>
        <v>16</v>
      </c>
      <c r="K129" s="20" t="s">
        <v>156</v>
      </c>
    </row>
    <row r="130" spans="2:11" x14ac:dyDescent="0.25">
      <c r="B130" s="21">
        <v>45755</v>
      </c>
      <c r="C130" s="19" t="s">
        <v>11</v>
      </c>
      <c r="D130" s="3" t="str">
        <f>MID(Tabela1[[#This Row],[Estrutura]], 1, 5)</f>
        <v>SE-E6</v>
      </c>
      <c r="E130" s="3">
        <f>COUNTIFS(Tabela1[Data da Ocorrência], Tabela1[[#This Row],[Data da Ocorrência]], Tabela1[Nome Reduzido], Tabela1[[#This Row],[Nome Reduzido]])</f>
        <v>4</v>
      </c>
      <c r="F130" s="18" t="s">
        <v>16</v>
      </c>
      <c r="G130" s="22">
        <v>0.29930555555555555</v>
      </c>
      <c r="H130" s="22">
        <v>0.63194444444444442</v>
      </c>
      <c r="I130" s="28">
        <f>IF(Tabela1[[#This Row],[Tipo]] &lt;&gt; "", (Tabela1[[#This Row],[Término]] - Tabela1[[#This Row],[Início]])*24/Tabela1[[#This Row],[Contagem de Ocorrências]], "—")</f>
        <v>1.9958333333333331</v>
      </c>
      <c r="J130" s="28">
        <f>IF(Tabela1[[#This Row],[Duração da Parada (h)]] &lt;&gt; "—", (24 - Tabela1[[#This Row],[Duração da Parada (h)]]), "")</f>
        <v>22.004166666666666</v>
      </c>
      <c r="K130" s="20" t="s">
        <v>157</v>
      </c>
    </row>
    <row r="131" spans="2:11" x14ac:dyDescent="0.25">
      <c r="B131" s="21">
        <v>45755</v>
      </c>
      <c r="C131" s="19" t="s">
        <v>10</v>
      </c>
      <c r="D131" s="3" t="str">
        <f>MID(Tabela1[[#This Row],[Estrutura]], 1, 5)</f>
        <v>SE-E6</v>
      </c>
      <c r="E131" s="3">
        <f>COUNTIFS(Tabela1[Data da Ocorrência], Tabela1[[#This Row],[Data da Ocorrência]], Tabela1[Nome Reduzido], Tabela1[[#This Row],[Nome Reduzido]])</f>
        <v>4</v>
      </c>
      <c r="F131" s="18" t="s">
        <v>16</v>
      </c>
      <c r="G131" s="22">
        <v>0.30138888888888887</v>
      </c>
      <c r="H131" s="22">
        <v>0.63124999999999998</v>
      </c>
      <c r="I131" s="28">
        <f>IF(Tabela1[[#This Row],[Tipo]] &lt;&gt; "", (Tabela1[[#This Row],[Término]] - Tabela1[[#This Row],[Início]])*24/Tabela1[[#This Row],[Contagem de Ocorrências]], "—")</f>
        <v>1.9791666666666665</v>
      </c>
      <c r="J131" s="28">
        <f>IF(Tabela1[[#This Row],[Duração da Parada (h)]] &lt;&gt; "—", (24 - Tabela1[[#This Row],[Duração da Parada (h)]]), "")</f>
        <v>22.020833333333332</v>
      </c>
      <c r="K131" s="20" t="s">
        <v>157</v>
      </c>
    </row>
    <row r="132" spans="2:11" x14ac:dyDescent="0.25">
      <c r="B132" s="21">
        <v>45755</v>
      </c>
      <c r="C132" s="19" t="s">
        <v>9</v>
      </c>
      <c r="D132" s="3" t="str">
        <f>MID(Tabela1[[#This Row],[Estrutura]], 1, 5)</f>
        <v>SE-E6</v>
      </c>
      <c r="E132" s="3">
        <f>COUNTIFS(Tabela1[Data da Ocorrência], Tabela1[[#This Row],[Data da Ocorrência]], Tabela1[Nome Reduzido], Tabela1[[#This Row],[Nome Reduzido]])</f>
        <v>4</v>
      </c>
      <c r="F132" s="18" t="s">
        <v>16</v>
      </c>
      <c r="G132" s="22">
        <v>0.30902777777777779</v>
      </c>
      <c r="H132" s="22">
        <v>0.62986111111111109</v>
      </c>
      <c r="I132" s="28">
        <f>IF(Tabela1[[#This Row],[Tipo]] &lt;&gt; "", (Tabela1[[#This Row],[Término]] - Tabela1[[#This Row],[Início]])*24/Tabela1[[#This Row],[Contagem de Ocorrências]], "—")</f>
        <v>1.9249999999999998</v>
      </c>
      <c r="J132" s="28">
        <f>IF(Tabela1[[#This Row],[Duração da Parada (h)]] &lt;&gt; "—", (24 - Tabela1[[#This Row],[Duração da Parada (h)]]), "")</f>
        <v>22.074999999999999</v>
      </c>
      <c r="K132" s="20" t="s">
        <v>157</v>
      </c>
    </row>
    <row r="133" spans="2:11" x14ac:dyDescent="0.25">
      <c r="B133" s="21">
        <v>45755</v>
      </c>
      <c r="C133" s="19" t="s">
        <v>158</v>
      </c>
      <c r="D133" s="3" t="str">
        <f>MID(Tabela1[[#This Row],[Estrutura]], 1, 5)</f>
        <v>SE-E6</v>
      </c>
      <c r="E133" s="3">
        <f>COUNTIFS(Tabela1[Data da Ocorrência], Tabela1[[#This Row],[Data da Ocorrência]], Tabela1[Nome Reduzido], Tabela1[[#This Row],[Nome Reduzido]])</f>
        <v>4</v>
      </c>
      <c r="F133" s="18" t="s">
        <v>16</v>
      </c>
      <c r="G133" s="22">
        <v>0.31041666666666667</v>
      </c>
      <c r="H133" s="22">
        <v>0.62847222222222221</v>
      </c>
      <c r="I133" s="28">
        <f>IF(Tabela1[[#This Row],[Tipo]] &lt;&gt; "", (Tabela1[[#This Row],[Término]] - Tabela1[[#This Row],[Início]])*24/Tabela1[[#This Row],[Contagem de Ocorrências]], "—")</f>
        <v>1.9083333333333332</v>
      </c>
      <c r="J133" s="28">
        <f>IF(Tabela1[[#This Row],[Duração da Parada (h)]] &lt;&gt; "—", (24 - Tabela1[[#This Row],[Duração da Parada (h)]]), "")</f>
        <v>22.091666666666669</v>
      </c>
      <c r="K133" s="20" t="s">
        <v>157</v>
      </c>
    </row>
    <row r="134" spans="2:11" x14ac:dyDescent="0.25">
      <c r="B134" s="21">
        <v>45755</v>
      </c>
      <c r="C134" s="19" t="s">
        <v>159</v>
      </c>
      <c r="D134" s="3" t="str">
        <f>MID(Tabela1[[#This Row],[Estrutura]], 1, 5)</f>
        <v>SE-E4</v>
      </c>
      <c r="E134" s="3">
        <f>COUNTIFS(Tabela1[Data da Ocorrência], Tabela1[[#This Row],[Data da Ocorrência]], Tabela1[Nome Reduzido], Tabela1[[#This Row],[Nome Reduzido]])</f>
        <v>4</v>
      </c>
      <c r="F134" s="18" t="s">
        <v>16</v>
      </c>
      <c r="G134" s="22">
        <v>0.30763888888888891</v>
      </c>
      <c r="H134" s="22">
        <v>0.61944444444444446</v>
      </c>
      <c r="I134" s="28">
        <f>IF(Tabela1[[#This Row],[Tipo]] &lt;&gt; "", (Tabela1[[#This Row],[Término]] - Tabela1[[#This Row],[Início]])*24/Tabela1[[#This Row],[Contagem de Ocorrências]], "—")</f>
        <v>1.8708333333333333</v>
      </c>
      <c r="J134" s="28">
        <f>IF(Tabela1[[#This Row],[Duração da Parada (h)]] &lt;&gt; "—", (24 - Tabela1[[#This Row],[Duração da Parada (h)]]), "")</f>
        <v>22.129166666666666</v>
      </c>
      <c r="K134" s="20" t="s">
        <v>160</v>
      </c>
    </row>
    <row r="135" spans="2:11" x14ac:dyDescent="0.25">
      <c r="B135" s="21">
        <v>45755</v>
      </c>
      <c r="C135" s="19" t="s">
        <v>12</v>
      </c>
      <c r="D135" s="3" t="str">
        <f>MID(Tabela1[[#This Row],[Estrutura]], 1, 5)</f>
        <v>SE-E4</v>
      </c>
      <c r="E135" s="3">
        <f>COUNTIFS(Tabela1[Data da Ocorrência], Tabela1[[#This Row],[Data da Ocorrência]], Tabela1[Nome Reduzido], Tabela1[[#This Row],[Nome Reduzido]])</f>
        <v>4</v>
      </c>
      <c r="F135" s="18" t="s">
        <v>16</v>
      </c>
      <c r="G135" s="22">
        <v>0.30821759259259257</v>
      </c>
      <c r="H135" s="22">
        <v>0.62013888888888891</v>
      </c>
      <c r="I135" s="28">
        <f>IF(Tabela1[[#This Row],[Tipo]] &lt;&gt; "", (Tabela1[[#This Row],[Término]] - Tabela1[[#This Row],[Início]])*24/Tabela1[[#This Row],[Contagem de Ocorrências]], "—")</f>
        <v>1.8715277777777781</v>
      </c>
      <c r="J135" s="28">
        <f>IF(Tabela1[[#This Row],[Duração da Parada (h)]] &lt;&gt; "—", (24 - Tabela1[[#This Row],[Duração da Parada (h)]]), "")</f>
        <v>22.128472222222221</v>
      </c>
      <c r="K135" s="20" t="s">
        <v>161</v>
      </c>
    </row>
    <row r="136" spans="2:11" x14ac:dyDescent="0.25">
      <c r="B136" s="21">
        <v>45755</v>
      </c>
      <c r="C136" s="19" t="s">
        <v>162</v>
      </c>
      <c r="D136" s="3" t="str">
        <f>MID(Tabela1[[#This Row],[Estrutura]], 1, 5)</f>
        <v>SE-E4</v>
      </c>
      <c r="E136" s="3">
        <f>COUNTIFS(Tabela1[Data da Ocorrência], Tabela1[[#This Row],[Data da Ocorrência]], Tabela1[Nome Reduzido], Tabela1[[#This Row],[Nome Reduzido]])</f>
        <v>4</v>
      </c>
      <c r="F136" s="18" t="s">
        <v>16</v>
      </c>
      <c r="G136" s="22">
        <v>0.3125</v>
      </c>
      <c r="H136" s="22">
        <v>0.61875000000000002</v>
      </c>
      <c r="I136" s="28">
        <f>IF(Tabela1[[#This Row],[Tipo]] &lt;&gt; "", (Tabela1[[#This Row],[Término]] - Tabela1[[#This Row],[Início]])*24/Tabela1[[#This Row],[Contagem de Ocorrências]], "—")</f>
        <v>1.8375000000000001</v>
      </c>
      <c r="J136" s="28">
        <f>IF(Tabela1[[#This Row],[Duração da Parada (h)]] &lt;&gt; "—", (24 - Tabela1[[#This Row],[Duração da Parada (h)]]), "")</f>
        <v>22.162500000000001</v>
      </c>
      <c r="K136" s="20" t="s">
        <v>163</v>
      </c>
    </row>
    <row r="137" spans="2:11" x14ac:dyDescent="0.25">
      <c r="B137" s="21">
        <v>45755</v>
      </c>
      <c r="C137" s="19" t="s">
        <v>8</v>
      </c>
      <c r="D137" s="3" t="str">
        <f>MID(Tabela1[[#This Row],[Estrutura]], 1, 5)</f>
        <v>SE-E4</v>
      </c>
      <c r="E137" s="3">
        <f>COUNTIFS(Tabela1[Data da Ocorrência], Tabela1[[#This Row],[Data da Ocorrência]], Tabela1[Nome Reduzido], Tabela1[[#This Row],[Nome Reduzido]])</f>
        <v>4</v>
      </c>
      <c r="F137" s="18" t="s">
        <v>16</v>
      </c>
      <c r="G137" s="22">
        <v>0.19444444444444445</v>
      </c>
      <c r="H137" s="22">
        <v>0.66249999999999998</v>
      </c>
      <c r="I137" s="28">
        <f>IF(Tabela1[[#This Row],[Tipo]] &lt;&gt; "", (Tabela1[[#This Row],[Término]] - Tabela1[[#This Row],[Início]])*24/Tabela1[[#This Row],[Contagem de Ocorrências]], "—")</f>
        <v>2.8083333333333336</v>
      </c>
      <c r="J137" s="28">
        <f>IF(Tabela1[[#This Row],[Duração da Parada (h)]] &lt;&gt; "—", (24 - Tabela1[[#This Row],[Duração da Parada (h)]]), "")</f>
        <v>21.191666666666666</v>
      </c>
      <c r="K137" s="20" t="s">
        <v>164</v>
      </c>
    </row>
    <row r="138" spans="2:11" ht="30" x14ac:dyDescent="0.25">
      <c r="B138" s="21">
        <v>45789</v>
      </c>
      <c r="C138" s="19" t="s">
        <v>4</v>
      </c>
      <c r="D138" s="3" t="str">
        <f>MID(Tabela1[[#This Row],[Estrutura]], 1, 5)</f>
        <v>SE-E1</v>
      </c>
      <c r="E138" s="3">
        <f>COUNTIFS(Tabela1[Data da Ocorrência], Tabela1[[#This Row],[Data da Ocorrência]], Tabela1[Nome Reduzido], Tabela1[[#This Row],[Nome Reduzido]])</f>
        <v>1</v>
      </c>
      <c r="F138" s="18" t="s">
        <v>16</v>
      </c>
      <c r="G138" s="22">
        <v>0.15277777777777779</v>
      </c>
      <c r="H138" s="22">
        <v>0.7895833333333333</v>
      </c>
      <c r="I138" s="28">
        <f>IF(Tabela1[[#This Row],[Tipo]] &lt;&gt; "", (Tabela1[[#This Row],[Término]] - Tabela1[[#This Row],[Início]])*24/Tabela1[[#This Row],[Contagem de Ocorrências]], "—")</f>
        <v>15.283333333333331</v>
      </c>
      <c r="J138" s="28">
        <f>IF(Tabela1[[#This Row],[Duração da Parada (h)]] &lt;&gt; "—", (24 - Tabela1[[#This Row],[Duração da Parada (h)]]), "")</f>
        <v>8.7166666666666686</v>
      </c>
      <c r="K138" s="20" t="s">
        <v>165</v>
      </c>
    </row>
    <row r="139" spans="2:11" ht="30" x14ac:dyDescent="0.25">
      <c r="B139" s="21">
        <v>45790</v>
      </c>
      <c r="C139" s="19" t="s">
        <v>15</v>
      </c>
      <c r="D139" s="3" t="str">
        <f>MID(Tabela1[[#This Row],[Estrutura]], 1, 5)</f>
        <v>SE-E2</v>
      </c>
      <c r="E139" s="3">
        <f>COUNTIFS(Tabela1[Data da Ocorrência], Tabela1[[#This Row],[Data da Ocorrência]], Tabela1[Nome Reduzido], Tabela1[[#This Row],[Nome Reduzido]])</f>
        <v>1</v>
      </c>
      <c r="F139" s="18" t="s">
        <v>16</v>
      </c>
      <c r="G139" s="22">
        <v>0.16666666666666666</v>
      </c>
      <c r="H139" s="22">
        <v>0.71319444444444446</v>
      </c>
      <c r="I139" s="28">
        <f>IF(Tabela1[[#This Row],[Tipo]] &lt;&gt; "", (Tabela1[[#This Row],[Término]] - Tabela1[[#This Row],[Início]])*24/Tabela1[[#This Row],[Contagem de Ocorrências]], "—")</f>
        <v>13.116666666666667</v>
      </c>
      <c r="J139" s="28">
        <f>IF(Tabela1[[#This Row],[Duração da Parada (h)]] &lt;&gt; "—", (24 - Tabela1[[#This Row],[Duração da Parada (h)]]), "")</f>
        <v>10.883333333333333</v>
      </c>
      <c r="K139" s="20" t="s">
        <v>165</v>
      </c>
    </row>
    <row r="140" spans="2:11" ht="30" x14ac:dyDescent="0.25">
      <c r="B140" s="21">
        <v>45791</v>
      </c>
      <c r="C140" s="19" t="s">
        <v>14</v>
      </c>
      <c r="D140" s="3" t="str">
        <f>MID(Tabela1[[#This Row],[Estrutura]], 1, 5)</f>
        <v>SE-E3</v>
      </c>
      <c r="E140" s="3">
        <f>COUNTIFS(Tabela1[Data da Ocorrência], Tabela1[[#This Row],[Data da Ocorrência]], Tabela1[Nome Reduzido], Tabela1[[#This Row],[Nome Reduzido]])</f>
        <v>1</v>
      </c>
      <c r="F140" s="18" t="s">
        <v>16</v>
      </c>
      <c r="G140" s="22">
        <v>0.16458333333333333</v>
      </c>
      <c r="H140" s="22">
        <v>0.73055555555555551</v>
      </c>
      <c r="I140" s="28">
        <f>IF(Tabela1[[#This Row],[Tipo]] &lt;&gt; "", (Tabela1[[#This Row],[Término]] - Tabela1[[#This Row],[Início]])*24/Tabela1[[#This Row],[Contagem de Ocorrências]], "—")</f>
        <v>13.583333333333332</v>
      </c>
      <c r="J140" s="28">
        <f>IF(Tabela1[[#This Row],[Duração da Parada (h)]] &lt;&gt; "—", (24 - Tabela1[[#This Row],[Duração da Parada (h)]]), "")</f>
        <v>10.416666666666668</v>
      </c>
      <c r="K140" s="20" t="s">
        <v>165</v>
      </c>
    </row>
    <row r="141" spans="2:11" ht="30" x14ac:dyDescent="0.25">
      <c r="B141" s="21">
        <v>45804</v>
      </c>
      <c r="C141" s="19" t="s">
        <v>8</v>
      </c>
      <c r="D141" s="3" t="str">
        <f>MID(Tabela1[[#This Row],[Estrutura]], 1, 5)</f>
        <v>SE-E4</v>
      </c>
      <c r="E141" s="3">
        <f>COUNTIFS(Tabela1[Data da Ocorrência], Tabela1[[#This Row],[Data da Ocorrência]], Tabela1[Nome Reduzido], Tabela1[[#This Row],[Nome Reduzido]])</f>
        <v>1</v>
      </c>
      <c r="F141" s="18" t="s">
        <v>16</v>
      </c>
      <c r="G141" s="22">
        <v>0.18124999999999999</v>
      </c>
      <c r="H141" s="22">
        <v>0.6166666666666667</v>
      </c>
      <c r="I141" s="28">
        <f>IF(Tabela1[[#This Row],[Tipo]] &lt;&gt; "", (Tabela1[[#This Row],[Término]] - Tabela1[[#This Row],[Início]])*24/Tabela1[[#This Row],[Contagem de Ocorrências]], "—")</f>
        <v>10.45</v>
      </c>
      <c r="J141" s="28">
        <f>IF(Tabela1[[#This Row],[Duração da Parada (h)]] &lt;&gt; "—", (24 - Tabela1[[#This Row],[Duração da Parada (h)]]), "")</f>
        <v>13.55</v>
      </c>
      <c r="K141" s="20" t="s">
        <v>165</v>
      </c>
    </row>
    <row r="142" spans="2:11" ht="30" x14ac:dyDescent="0.25">
      <c r="B142" s="21">
        <v>45811</v>
      </c>
      <c r="C142" s="19" t="s">
        <v>6</v>
      </c>
      <c r="D142" s="3" t="str">
        <f>MID(Tabela1[[#This Row],[Estrutura]], 1, 5)</f>
        <v>SE-E5</v>
      </c>
      <c r="E142" s="3">
        <f>COUNTIFS(Tabela1[Data da Ocorrência], Tabela1[[#This Row],[Data da Ocorrência]], Tabela1[Nome Reduzido], Tabela1[[#This Row],[Nome Reduzido]])</f>
        <v>1</v>
      </c>
      <c r="F142" s="18" t="s">
        <v>16</v>
      </c>
      <c r="G142" s="22">
        <v>0.17777777777777778</v>
      </c>
      <c r="H142" s="22">
        <v>0.99998842592592596</v>
      </c>
      <c r="I142" s="28">
        <f>IF(Tabela1[[#This Row],[Tipo]] &lt;&gt; "", (Tabela1[[#This Row],[Término]] - Tabela1[[#This Row],[Início]])*24/Tabela1[[#This Row],[Contagem de Ocorrências]], "—")</f>
        <v>19.733055555555556</v>
      </c>
      <c r="J142" s="28">
        <f>IF(Tabela1[[#This Row],[Duração da Parada (h)]] &lt;&gt; "—", (24 - Tabela1[[#This Row],[Duração da Parada (h)]]), "")</f>
        <v>4.2669444444444444</v>
      </c>
      <c r="K142" s="20" t="s">
        <v>165</v>
      </c>
    </row>
    <row r="143" spans="2:11" ht="30" x14ac:dyDescent="0.25">
      <c r="B143" s="21">
        <v>45812</v>
      </c>
      <c r="C143" s="19" t="s">
        <v>6</v>
      </c>
      <c r="D143" s="3" t="str">
        <f>MID(Tabela1[[#This Row],[Estrutura]], 1, 5)</f>
        <v>SE-E5</v>
      </c>
      <c r="E143" s="3">
        <f>COUNTIFS(Tabela1[Data da Ocorrência], Tabela1[[#This Row],[Data da Ocorrência]], Tabela1[Nome Reduzido], Tabela1[[#This Row],[Nome Reduzido]])</f>
        <v>1</v>
      </c>
      <c r="F143" s="18" t="s">
        <v>16</v>
      </c>
      <c r="G143" s="22">
        <v>0</v>
      </c>
      <c r="H143" s="22">
        <v>0.70833333333333337</v>
      </c>
      <c r="I143" s="28">
        <f>IF(Tabela1[[#This Row],[Tipo]] &lt;&gt; "", (Tabela1[[#This Row],[Término]] - Tabela1[[#This Row],[Início]])*24/Tabela1[[#This Row],[Contagem de Ocorrências]], "—")</f>
        <v>17</v>
      </c>
      <c r="J143" s="28">
        <f>IF(Tabela1[[#This Row],[Duração da Parada (h)]] &lt;&gt; "—", (24 - Tabela1[[#This Row],[Duração da Parada (h)]]), "")</f>
        <v>7</v>
      </c>
      <c r="K143" s="20" t="s">
        <v>165</v>
      </c>
    </row>
    <row r="144" spans="2:11" ht="30" x14ac:dyDescent="0.25">
      <c r="B144" s="21">
        <v>45811</v>
      </c>
      <c r="C144" s="19" t="s">
        <v>9</v>
      </c>
      <c r="D144" s="3" t="str">
        <f>MID(Tabela1[[#This Row],[Estrutura]], 1, 5)</f>
        <v>SE-E6</v>
      </c>
      <c r="E144" s="3">
        <f>COUNTIFS(Tabela1[Data da Ocorrência], Tabela1[[#This Row],[Data da Ocorrência]], Tabela1[Nome Reduzido], Tabela1[[#This Row],[Nome Reduzido]])</f>
        <v>1</v>
      </c>
      <c r="F144" s="18" t="s">
        <v>16</v>
      </c>
      <c r="G144" s="22">
        <v>0.31666666666666665</v>
      </c>
      <c r="H144" s="22">
        <v>0.99998842592592596</v>
      </c>
      <c r="I144" s="28">
        <f>IF(Tabela1[[#This Row],[Tipo]] &lt;&gt; "", (Tabela1[[#This Row],[Término]] - Tabela1[[#This Row],[Início]])*24/Tabela1[[#This Row],[Contagem de Ocorrências]], "—")</f>
        <v>16.399722222222223</v>
      </c>
      <c r="J144" s="28">
        <f>IF(Tabela1[[#This Row],[Duração da Parada (h)]] &lt;&gt; "—", (24 - Tabela1[[#This Row],[Duração da Parada (h)]]), "")</f>
        <v>7.6002777777777766</v>
      </c>
      <c r="K144" s="20" t="s">
        <v>165</v>
      </c>
    </row>
    <row r="145" spans="2:11" ht="30" x14ac:dyDescent="0.25">
      <c r="B145" s="21">
        <v>45812</v>
      </c>
      <c r="C145" s="19" t="s">
        <v>9</v>
      </c>
      <c r="D145" s="3" t="str">
        <f>MID(Tabela1[[#This Row],[Estrutura]], 1, 5)</f>
        <v>SE-E6</v>
      </c>
      <c r="E145" s="3">
        <f>COUNTIFS(Tabela1[Data da Ocorrência], Tabela1[[#This Row],[Data da Ocorrência]], Tabela1[Nome Reduzido], Tabela1[[#This Row],[Nome Reduzido]])</f>
        <v>1</v>
      </c>
      <c r="F145" s="18" t="s">
        <v>16</v>
      </c>
      <c r="G145" s="22">
        <v>0</v>
      </c>
      <c r="H145" s="22">
        <v>0.67361111111111116</v>
      </c>
      <c r="I145" s="28">
        <f>IF(Tabela1[[#This Row],[Tipo]] &lt;&gt; "", (Tabela1[[#This Row],[Término]] - Tabela1[[#This Row],[Início]])*24/Tabela1[[#This Row],[Contagem de Ocorrências]], "—")</f>
        <v>16.166666666666668</v>
      </c>
      <c r="J145" s="28">
        <f>IF(Tabela1[[#This Row],[Duração da Parada (h)]] &lt;&gt; "—", (24 - Tabela1[[#This Row],[Duração da Parada (h)]]), "")</f>
        <v>7.8333333333333321</v>
      </c>
      <c r="K145" s="20" t="s">
        <v>165</v>
      </c>
    </row>
    <row r="146" spans="2:11" ht="30" x14ac:dyDescent="0.25">
      <c r="B146" s="21">
        <v>45811</v>
      </c>
      <c r="C146" s="19" t="s">
        <v>5</v>
      </c>
      <c r="D146" s="3" t="str">
        <f>MID(Tabela1[[#This Row],[Estrutura]], 1, 5)</f>
        <v>SE-E3</v>
      </c>
      <c r="E146" s="3">
        <f>COUNTIFS(Tabela1[Data da Ocorrência], Tabela1[[#This Row],[Data da Ocorrência]], Tabela1[Nome Reduzido], Tabela1[[#This Row],[Nome Reduzido]])</f>
        <v>1</v>
      </c>
      <c r="F146" s="18" t="s">
        <v>16</v>
      </c>
      <c r="G146" s="22">
        <v>0.32847222222222222</v>
      </c>
      <c r="H146" s="22">
        <v>0.99998842592592596</v>
      </c>
      <c r="I146" s="28">
        <f>IF(Tabela1[[#This Row],[Tipo]] &lt;&gt; "", (Tabela1[[#This Row],[Término]] - Tabela1[[#This Row],[Início]])*24/Tabela1[[#This Row],[Contagem de Ocorrências]], "—")</f>
        <v>16.116388888888888</v>
      </c>
      <c r="J146" s="28">
        <f>IF(Tabela1[[#This Row],[Duração da Parada (h)]] &lt;&gt; "—", (24 - Tabela1[[#This Row],[Duração da Parada (h)]]), "")</f>
        <v>7.8836111111111116</v>
      </c>
      <c r="K146" s="20" t="s">
        <v>166</v>
      </c>
    </row>
    <row r="147" spans="2:11" ht="30" x14ac:dyDescent="0.25">
      <c r="B147" s="21">
        <v>45812</v>
      </c>
      <c r="C147" s="19" t="s">
        <v>5</v>
      </c>
      <c r="D147" s="3" t="str">
        <f>MID(Tabela1[[#This Row],[Estrutura]], 1, 5)</f>
        <v>SE-E3</v>
      </c>
      <c r="E147" s="3">
        <f>COUNTIFS(Tabela1[Data da Ocorrência], Tabela1[[#This Row],[Data da Ocorrência]], Tabela1[Nome Reduzido], Tabela1[[#This Row],[Nome Reduzido]])</f>
        <v>1</v>
      </c>
      <c r="F147" s="18" t="s">
        <v>16</v>
      </c>
      <c r="G147" s="22">
        <v>0</v>
      </c>
      <c r="H147" s="22">
        <v>0.41875000000000001</v>
      </c>
      <c r="I147" s="28">
        <f>IF(Tabela1[[#This Row],[Tipo]] &lt;&gt; "", (Tabela1[[#This Row],[Término]] - Tabela1[[#This Row],[Início]])*24/Tabela1[[#This Row],[Contagem de Ocorrências]], "—")</f>
        <v>10.050000000000001</v>
      </c>
      <c r="J147" s="28">
        <f>IF(Tabela1[[#This Row],[Duração da Parada (h)]] &lt;&gt; "—", (24 - Tabela1[[#This Row],[Duração da Parada (h)]]), "")</f>
        <v>13.95</v>
      </c>
      <c r="K147" s="20" t="s">
        <v>166</v>
      </c>
    </row>
    <row r="148" spans="2:11" x14ac:dyDescent="0.25">
      <c r="B148" s="21">
        <v>45874</v>
      </c>
      <c r="C148" s="19" t="s">
        <v>4</v>
      </c>
      <c r="D148" s="3" t="str">
        <f>MID(Tabela1[[#This Row],[Estrutura]], 1, 5)</f>
        <v>SE-E1</v>
      </c>
      <c r="E148" s="3">
        <f>COUNTIFS(Tabela1[Data da Ocorrência], Tabela1[[#This Row],[Data da Ocorrência]], Tabela1[Nome Reduzido], Tabela1[[#This Row],[Nome Reduzido]])</f>
        <v>1</v>
      </c>
      <c r="F148" s="18" t="s">
        <v>16</v>
      </c>
      <c r="G148" s="22">
        <v>0.28819444444444442</v>
      </c>
      <c r="H148" s="22">
        <v>0.54236111111111107</v>
      </c>
      <c r="I148" s="28">
        <f>IF(Tabela1[[#This Row],[Tipo]] &lt;&gt; "", (Tabela1[[#This Row],[Término]] - Tabela1[[#This Row],[Início]])*24/Tabela1[[#This Row],[Contagem de Ocorrências]], "—")</f>
        <v>6.1</v>
      </c>
      <c r="J148" s="28">
        <f>IF(Tabela1[[#This Row],[Duração da Parada (h)]] &lt;&gt; "—", (24 - Tabela1[[#This Row],[Duração da Parada (h)]]), "")</f>
        <v>17.899999999999999</v>
      </c>
      <c r="K148" s="20" t="s">
        <v>167</v>
      </c>
    </row>
    <row r="149" spans="2:11" x14ac:dyDescent="0.25">
      <c r="B149" s="21">
        <v>45874</v>
      </c>
      <c r="C149" s="19" t="s">
        <v>15</v>
      </c>
      <c r="D149" s="3" t="str">
        <f>MID(Tabela1[[#This Row],[Estrutura]], 1, 5)</f>
        <v>SE-E2</v>
      </c>
      <c r="E149" s="3">
        <f>COUNTIFS(Tabela1[Data da Ocorrência], Tabela1[[#This Row],[Data da Ocorrência]], Tabela1[Nome Reduzido], Tabela1[[#This Row],[Nome Reduzido]])</f>
        <v>1</v>
      </c>
      <c r="F149" s="18" t="s">
        <v>16</v>
      </c>
      <c r="G149" s="22">
        <v>0.33194444444444443</v>
      </c>
      <c r="H149" s="22">
        <v>0.50694444444444442</v>
      </c>
      <c r="I149" s="28">
        <f>IF(Tabela1[[#This Row],[Tipo]] &lt;&gt; "", (Tabela1[[#This Row],[Término]] - Tabela1[[#This Row],[Início]])*24/Tabela1[[#This Row],[Contagem de Ocorrências]], "—")</f>
        <v>4.1999999999999993</v>
      </c>
      <c r="J149" s="28">
        <f>IF(Tabela1[[#This Row],[Duração da Parada (h)]] &lt;&gt; "—", (24 - Tabela1[[#This Row],[Duração da Parada (h)]]), "")</f>
        <v>19.8</v>
      </c>
      <c r="K149" s="20" t="s">
        <v>167</v>
      </c>
    </row>
    <row r="150" spans="2:11" x14ac:dyDescent="0.25">
      <c r="B150" s="21">
        <v>45875</v>
      </c>
      <c r="C150" s="19" t="s">
        <v>4</v>
      </c>
      <c r="D150" s="3" t="str">
        <f>MID(Tabela1[[#This Row],[Estrutura]], 1, 5)</f>
        <v>SE-E1</v>
      </c>
      <c r="E150" s="3">
        <f>COUNTIFS(Tabela1[Data da Ocorrência], Tabela1[[#This Row],[Data da Ocorrência]], Tabela1[Nome Reduzido], Tabela1[[#This Row],[Nome Reduzido]])</f>
        <v>1</v>
      </c>
      <c r="F150" s="18" t="s">
        <v>16</v>
      </c>
      <c r="G150" s="22">
        <v>0.56180555555555556</v>
      </c>
      <c r="H150" s="22">
        <v>0.74027777777777781</v>
      </c>
      <c r="I150" s="28">
        <f>IF(Tabela1[[#This Row],[Tipo]] &lt;&gt; "", (Tabela1[[#This Row],[Término]] - Tabela1[[#This Row],[Início]])*24/Tabela1[[#This Row],[Contagem de Ocorrências]], "—")</f>
        <v>4.2833333333333341</v>
      </c>
      <c r="J150" s="28">
        <f>IF(Tabela1[[#This Row],[Duração da Parada (h)]] &lt;&gt; "—", (24 - Tabela1[[#This Row],[Duração da Parada (h)]]), "")</f>
        <v>19.716666666666665</v>
      </c>
      <c r="K150" s="20" t="s">
        <v>167</v>
      </c>
    </row>
    <row r="151" spans="2:11" x14ac:dyDescent="0.25">
      <c r="B151" s="21">
        <v>45875</v>
      </c>
      <c r="C151" s="19" t="s">
        <v>15</v>
      </c>
      <c r="D151" s="3" t="str">
        <f>MID(Tabela1[[#This Row],[Estrutura]], 1, 5)</f>
        <v>SE-E2</v>
      </c>
      <c r="E151" s="3">
        <f>COUNTIFS(Tabela1[Data da Ocorrência], Tabela1[[#This Row],[Data da Ocorrência]], Tabela1[Nome Reduzido], Tabela1[[#This Row],[Nome Reduzido]])</f>
        <v>1</v>
      </c>
      <c r="F151" s="18" t="s">
        <v>16</v>
      </c>
      <c r="G151" s="22">
        <v>0.61805555555555558</v>
      </c>
      <c r="H151" s="22">
        <v>0.72430555555555554</v>
      </c>
      <c r="I151" s="28">
        <f>IF(Tabela1[[#This Row],[Tipo]] &lt;&gt; "", (Tabela1[[#This Row],[Término]] - Tabela1[[#This Row],[Início]])*24/Tabela1[[#This Row],[Contagem de Ocorrências]], "—")</f>
        <v>2.5499999999999989</v>
      </c>
      <c r="J151" s="28">
        <f>IF(Tabela1[[#This Row],[Duração da Parada (h)]] &lt;&gt; "—", (24 - Tabela1[[#This Row],[Duração da Parada (h)]]), "")</f>
        <v>21.450000000000003</v>
      </c>
      <c r="K151" s="20" t="s">
        <v>167</v>
      </c>
    </row>
    <row r="152" spans="2:11" x14ac:dyDescent="0.25">
      <c r="B152" s="21">
        <v>45884</v>
      </c>
      <c r="C152" s="19" t="s">
        <v>5</v>
      </c>
      <c r="D152" s="3" t="str">
        <f>MID(Tabela1[[#This Row],[Estrutura]], 1, 5)</f>
        <v>SE-E3</v>
      </c>
      <c r="E152" s="3">
        <f>COUNTIFS(Tabela1[Data da Ocorrência], Tabela1[[#This Row],[Data da Ocorrência]], Tabela1[Nome Reduzido], Tabela1[[#This Row],[Nome Reduzido]])</f>
        <v>1</v>
      </c>
      <c r="F152" s="18" t="s">
        <v>16</v>
      </c>
      <c r="G152" s="22">
        <v>0.18124999999999999</v>
      </c>
      <c r="H152" s="22">
        <v>0.67777777777777781</v>
      </c>
      <c r="I152" s="28">
        <f>IF(Tabela1[[#This Row],[Tipo]] &lt;&gt; "", (Tabela1[[#This Row],[Término]] - Tabela1[[#This Row],[Início]])*24/Tabela1[[#This Row],[Contagem de Ocorrências]], "—")</f>
        <v>11.916666666666668</v>
      </c>
      <c r="J152" s="28">
        <f>IF(Tabela1[[#This Row],[Duração da Parada (h)]] &lt;&gt; "—", (24 - Tabela1[[#This Row],[Duração da Parada (h)]]), "")</f>
        <v>12.083333333333332</v>
      </c>
      <c r="K152" s="20" t="s">
        <v>168</v>
      </c>
    </row>
    <row r="153" spans="2:11" x14ac:dyDescent="0.25">
      <c r="B153" s="21">
        <v>45911</v>
      </c>
      <c r="C153" s="19" t="s">
        <v>7</v>
      </c>
      <c r="D153" s="3" t="str">
        <f>MID(Tabela1[[#This Row],[Estrutura]], 1, 5)</f>
        <v>SE-E2</v>
      </c>
      <c r="E153" s="3">
        <f>COUNTIFS(Tabela1[Data da Ocorrência], Tabela1[[#This Row],[Data da Ocorrência]], Tabela1[Nome Reduzido], Tabela1[[#This Row],[Nome Reduzido]])</f>
        <v>2</v>
      </c>
      <c r="F153" s="18" t="s">
        <v>16</v>
      </c>
      <c r="G153" s="22">
        <v>0.37986111111111109</v>
      </c>
      <c r="H153" s="22">
        <v>0.78402777777777777</v>
      </c>
      <c r="I153" s="28">
        <f>IF(Tabela1[[#This Row],[Tipo]] &lt;&gt; "", (Tabela1[[#This Row],[Término]] - Tabela1[[#This Row],[Início]])*24/Tabela1[[#This Row],[Contagem de Ocorrências]], "—")</f>
        <v>4.8499999999999996</v>
      </c>
      <c r="J153" s="28">
        <f>IF(Tabela1[[#This Row],[Duração da Parada (h)]] &lt;&gt; "—", (24 - Tabela1[[#This Row],[Duração da Parada (h)]]), "")</f>
        <v>19.149999999999999</v>
      </c>
      <c r="K153" s="20" t="s">
        <v>169</v>
      </c>
    </row>
    <row r="154" spans="2:11" x14ac:dyDescent="0.25">
      <c r="B154" s="21">
        <v>45911</v>
      </c>
      <c r="C154" s="19" t="s">
        <v>15</v>
      </c>
      <c r="D154" s="3" t="str">
        <f>MID(Tabela1[[#This Row],[Estrutura]], 1, 5)</f>
        <v>SE-E2</v>
      </c>
      <c r="E154" s="3">
        <f>COUNTIFS(Tabela1[Data da Ocorrência], Tabela1[[#This Row],[Data da Ocorrência]], Tabela1[Nome Reduzido], Tabela1[[#This Row],[Nome Reduzido]])</f>
        <v>2</v>
      </c>
      <c r="F154" s="18" t="s">
        <v>16</v>
      </c>
      <c r="G154" s="22">
        <v>0.37986111111111109</v>
      </c>
      <c r="H154" s="22">
        <v>0.78402777777777777</v>
      </c>
      <c r="I154" s="28">
        <f>IF(Tabela1[[#This Row],[Tipo]] &lt;&gt; "", (Tabela1[[#This Row],[Término]] - Tabela1[[#This Row],[Início]])*24/Tabela1[[#This Row],[Contagem de Ocorrências]], "—")</f>
        <v>4.8499999999999996</v>
      </c>
      <c r="J154" s="28">
        <f>IF(Tabela1[[#This Row],[Duração da Parada (h)]] &lt;&gt; "—", (24 - Tabela1[[#This Row],[Duração da Parada (h)]]), "")</f>
        <v>19.149999999999999</v>
      </c>
      <c r="K154" s="20" t="s">
        <v>169</v>
      </c>
    </row>
    <row r="155" spans="2:11" ht="30" x14ac:dyDescent="0.25">
      <c r="B155" s="21">
        <v>45911</v>
      </c>
      <c r="C155" s="19" t="s">
        <v>5</v>
      </c>
      <c r="D155" s="3" t="str">
        <f>MID(Tabela1[[#This Row],[Estrutura]], 1, 5)</f>
        <v>SE-E3</v>
      </c>
      <c r="E155" s="3">
        <f>COUNTIFS(Tabela1[Data da Ocorrência], Tabela1[[#This Row],[Data da Ocorrência]], Tabela1[Nome Reduzido], Tabela1[[#This Row],[Nome Reduzido]])</f>
        <v>2</v>
      </c>
      <c r="F155" s="18" t="s">
        <v>16</v>
      </c>
      <c r="G155" s="22">
        <v>0.33541666666666664</v>
      </c>
      <c r="H155" s="22">
        <v>0.78402777777777777</v>
      </c>
      <c r="I155" s="28">
        <f>IF(Tabela1[[#This Row],[Tipo]] &lt;&gt; "", (Tabela1[[#This Row],[Término]] - Tabela1[[#This Row],[Início]])*24/Tabela1[[#This Row],[Contagem de Ocorrências]], "—")</f>
        <v>5.3833333333333337</v>
      </c>
      <c r="J155" s="28">
        <f>IF(Tabela1[[#This Row],[Duração da Parada (h)]] &lt;&gt; "—", (24 - Tabela1[[#This Row],[Duração da Parada (h)]]), "")</f>
        <v>18.616666666666667</v>
      </c>
      <c r="K155" s="20" t="s">
        <v>170</v>
      </c>
    </row>
    <row r="156" spans="2:11" ht="45" x14ac:dyDescent="0.25">
      <c r="B156" s="21">
        <v>45911</v>
      </c>
      <c r="C156" s="19" t="s">
        <v>14</v>
      </c>
      <c r="D156" s="3" t="str">
        <f>MID(Tabela1[[#This Row],[Estrutura]], 1, 5)</f>
        <v>SE-E3</v>
      </c>
      <c r="E156" s="3">
        <f>COUNTIFS(Tabela1[Data da Ocorrência], Tabela1[[#This Row],[Data da Ocorrência]], Tabela1[Nome Reduzido], Tabela1[[#This Row],[Nome Reduzido]])</f>
        <v>2</v>
      </c>
      <c r="F156" s="18" t="s">
        <v>16</v>
      </c>
      <c r="G156" s="22">
        <v>0.33541666666666664</v>
      </c>
      <c r="H156" s="22">
        <v>0.78402777777777777</v>
      </c>
      <c r="I156" s="28">
        <f>IF(Tabela1[[#This Row],[Tipo]] &lt;&gt; "", (Tabela1[[#This Row],[Término]] - Tabela1[[#This Row],[Início]])*24/Tabela1[[#This Row],[Contagem de Ocorrências]], "—")</f>
        <v>5.3833333333333337</v>
      </c>
      <c r="J156" s="28">
        <f>IF(Tabela1[[#This Row],[Duração da Parada (h)]] &lt;&gt; "—", (24 - Tabela1[[#This Row],[Duração da Parada (h)]]), "")</f>
        <v>18.616666666666667</v>
      </c>
      <c r="K156" s="20" t="s">
        <v>171</v>
      </c>
    </row>
    <row r="157" spans="2:11" ht="30" x14ac:dyDescent="0.25">
      <c r="B157" s="21">
        <v>45911</v>
      </c>
      <c r="C157" s="19" t="s">
        <v>9</v>
      </c>
      <c r="D157" s="3" t="str">
        <f>MID(Tabela1[[#This Row],[Estrutura]], 1, 5)</f>
        <v>SE-E6</v>
      </c>
      <c r="E157" s="3">
        <f>COUNTIFS(Tabela1[Data da Ocorrência], Tabela1[[#This Row],[Data da Ocorrência]], Tabela1[Nome Reduzido], Tabela1[[#This Row],[Nome Reduzido]])</f>
        <v>3</v>
      </c>
      <c r="F157" s="18" t="s">
        <v>16</v>
      </c>
      <c r="G157" s="22">
        <v>0.3263888888888889</v>
      </c>
      <c r="H157" s="22">
        <v>0.78333333333333333</v>
      </c>
      <c r="I157" s="28">
        <f>IF(Tabela1[[#This Row],[Tipo]] &lt;&gt; "", (Tabela1[[#This Row],[Término]] - Tabela1[[#This Row],[Início]])*24/Tabela1[[#This Row],[Contagem de Ocorrências]], "—")</f>
        <v>3.6555555555555554</v>
      </c>
      <c r="J157" s="28">
        <f>IF(Tabela1[[#This Row],[Duração da Parada (h)]] &lt;&gt; "—", (24 - Tabela1[[#This Row],[Duração da Parada (h)]]), "")</f>
        <v>20.344444444444445</v>
      </c>
      <c r="K157" s="20" t="s">
        <v>172</v>
      </c>
    </row>
    <row r="158" spans="2:11" ht="30" x14ac:dyDescent="0.25">
      <c r="B158" s="21">
        <v>45911</v>
      </c>
      <c r="C158" s="19" t="s">
        <v>11</v>
      </c>
      <c r="D158" s="3" t="str">
        <f>MID(Tabela1[[#This Row],[Estrutura]], 1, 5)</f>
        <v>SE-E6</v>
      </c>
      <c r="E158" s="3">
        <f>COUNTIFS(Tabela1[Data da Ocorrência], Tabela1[[#This Row],[Data da Ocorrência]], Tabela1[Nome Reduzido], Tabela1[[#This Row],[Nome Reduzido]])</f>
        <v>3</v>
      </c>
      <c r="F158" s="18" t="s">
        <v>16</v>
      </c>
      <c r="G158" s="22">
        <v>0.3263888888888889</v>
      </c>
      <c r="H158" s="22">
        <v>0.78333333333333333</v>
      </c>
      <c r="I158" s="28">
        <f>IF(Tabela1[[#This Row],[Tipo]] &lt;&gt; "", (Tabela1[[#This Row],[Término]] - Tabela1[[#This Row],[Início]])*24/Tabela1[[#This Row],[Contagem de Ocorrências]], "—")</f>
        <v>3.6555555555555554</v>
      </c>
      <c r="J158" s="28">
        <f>IF(Tabela1[[#This Row],[Duração da Parada (h)]] &lt;&gt; "—", (24 - Tabela1[[#This Row],[Duração da Parada (h)]]), "")</f>
        <v>20.344444444444445</v>
      </c>
      <c r="K158" s="20" t="s">
        <v>172</v>
      </c>
    </row>
    <row r="159" spans="2:11" ht="30" x14ac:dyDescent="0.25">
      <c r="B159" s="21">
        <v>45911</v>
      </c>
      <c r="C159" s="19" t="s">
        <v>10</v>
      </c>
      <c r="D159" s="3" t="str">
        <f>MID(Tabela1[[#This Row],[Estrutura]], 1, 5)</f>
        <v>SE-E6</v>
      </c>
      <c r="E159" s="3">
        <f>COUNTIFS(Tabela1[Data da Ocorrência], Tabela1[[#This Row],[Data da Ocorrência]], Tabela1[Nome Reduzido], Tabela1[[#This Row],[Nome Reduzido]])</f>
        <v>3</v>
      </c>
      <c r="F159" s="18" t="s">
        <v>16</v>
      </c>
      <c r="G159" s="22">
        <v>0.3263888888888889</v>
      </c>
      <c r="H159" s="22">
        <v>0.78333333333333333</v>
      </c>
      <c r="I159" s="28">
        <f>IF(Tabela1[[#This Row],[Tipo]] &lt;&gt; "", (Tabela1[[#This Row],[Término]] - Tabela1[[#This Row],[Início]])*24/Tabela1[[#This Row],[Contagem de Ocorrências]], "—")</f>
        <v>3.6555555555555554</v>
      </c>
      <c r="J159" s="28">
        <f>IF(Tabela1[[#This Row],[Duração da Parada (h)]] &lt;&gt; "—", (24 - Tabela1[[#This Row],[Duração da Parada (h)]]), "")</f>
        <v>20.344444444444445</v>
      </c>
      <c r="K159" s="20" t="s">
        <v>172</v>
      </c>
    </row>
    <row r="160" spans="2:11" x14ac:dyDescent="0.25">
      <c r="B160" s="21">
        <v>45911</v>
      </c>
      <c r="C160" s="19" t="s">
        <v>8</v>
      </c>
      <c r="D160" s="3" t="str">
        <f>MID(Tabela1[[#This Row],[Estrutura]], 1, 5)</f>
        <v>SE-E4</v>
      </c>
      <c r="E160" s="3">
        <f>COUNTIFS(Tabela1[Data da Ocorrência], Tabela1[[#This Row],[Data da Ocorrência]], Tabela1[Nome Reduzido], Tabela1[[#This Row],[Nome Reduzido]])</f>
        <v>2</v>
      </c>
      <c r="F160" s="18" t="s">
        <v>16</v>
      </c>
      <c r="G160" s="22">
        <v>0.36736111111111114</v>
      </c>
      <c r="H160" s="22">
        <v>0.78402777777777777</v>
      </c>
      <c r="I160" s="28">
        <f>IF(Tabela1[[#This Row],[Tipo]] &lt;&gt; "", (Tabela1[[#This Row],[Término]] - Tabela1[[#This Row],[Início]])*24/Tabela1[[#This Row],[Contagem de Ocorrências]], "—")</f>
        <v>5</v>
      </c>
      <c r="J160" s="28">
        <f>IF(Tabela1[[#This Row],[Duração da Parada (h)]] &lt;&gt; "—", (24 - Tabela1[[#This Row],[Duração da Parada (h)]]), "")</f>
        <v>19</v>
      </c>
      <c r="K160" s="20" t="s">
        <v>173</v>
      </c>
    </row>
    <row r="161" spans="2:11" x14ac:dyDescent="0.25">
      <c r="B161" s="21">
        <v>45911</v>
      </c>
      <c r="C161" s="19" t="s">
        <v>12</v>
      </c>
      <c r="D161" s="3" t="str">
        <f>MID(Tabela1[[#This Row],[Estrutura]], 1, 5)</f>
        <v>SE-E4</v>
      </c>
      <c r="E161" s="3">
        <f>COUNTIFS(Tabela1[Data da Ocorrência], Tabela1[[#This Row],[Data da Ocorrência]], Tabela1[Nome Reduzido], Tabela1[[#This Row],[Nome Reduzido]])</f>
        <v>2</v>
      </c>
      <c r="F161" s="18" t="s">
        <v>16</v>
      </c>
      <c r="G161" s="22">
        <v>0.36736111111111114</v>
      </c>
      <c r="H161" s="22">
        <v>0.78402777777777777</v>
      </c>
      <c r="I161" s="28">
        <f>IF(Tabela1[[#This Row],[Tipo]] &lt;&gt; "", (Tabela1[[#This Row],[Término]] - Tabela1[[#This Row],[Início]])*24/Tabela1[[#This Row],[Contagem de Ocorrências]], "—")</f>
        <v>5</v>
      </c>
      <c r="J161" s="28">
        <f>IF(Tabela1[[#This Row],[Duração da Parada (h)]] &lt;&gt; "—", (24 - Tabela1[[#This Row],[Duração da Parada (h)]]), "")</f>
        <v>19</v>
      </c>
      <c r="K161" s="20" t="s">
        <v>173</v>
      </c>
    </row>
    <row r="162" spans="2:11" x14ac:dyDescent="0.25">
      <c r="B162" s="21">
        <v>45911</v>
      </c>
      <c r="C162" s="19" t="s">
        <v>6</v>
      </c>
      <c r="D162" s="3" t="str">
        <f>MID(Tabela1[[#This Row],[Estrutura]], 1, 5)</f>
        <v>SE-E5</v>
      </c>
      <c r="E162" s="3">
        <f>COUNTIFS(Tabela1[Data da Ocorrência], Tabela1[[#This Row],[Data da Ocorrência]], Tabela1[Nome Reduzido], Tabela1[[#This Row],[Nome Reduzido]])</f>
        <v>1</v>
      </c>
      <c r="F162" s="18" t="s">
        <v>16</v>
      </c>
      <c r="G162" s="22">
        <v>0.3263888888888889</v>
      </c>
      <c r="H162" s="22">
        <v>0.78333333333333333</v>
      </c>
      <c r="I162" s="28">
        <f>IF(Tabela1[[#This Row],[Tipo]] &lt;&gt; "", (Tabela1[[#This Row],[Término]] - Tabela1[[#This Row],[Início]])*24/Tabela1[[#This Row],[Contagem de Ocorrências]], "—")</f>
        <v>10.966666666666667</v>
      </c>
      <c r="J162" s="28">
        <f>IF(Tabela1[[#This Row],[Duração da Parada (h)]] &lt;&gt; "—", (24 - Tabela1[[#This Row],[Duração da Parada (h)]]), "")</f>
        <v>13.033333333333333</v>
      </c>
      <c r="K162" s="20" t="s">
        <v>173</v>
      </c>
    </row>
    <row r="163" spans="2:11" x14ac:dyDescent="0.25">
      <c r="B163" s="21">
        <v>45944</v>
      </c>
      <c r="C163" s="19" t="s">
        <v>15</v>
      </c>
      <c r="D163" s="3" t="str">
        <f>MID(Tabela1[[#This Row],[Estrutura]], 1, 5)</f>
        <v>SE-E2</v>
      </c>
      <c r="E163" s="3">
        <f>COUNTIFS(Tabela1[Data da Ocorrência], Tabela1[[#This Row],[Data da Ocorrência]], Tabela1[Nome Reduzido], Tabela1[[#This Row],[Nome Reduzido]])</f>
        <v>2</v>
      </c>
      <c r="F163" s="18" t="s">
        <v>16</v>
      </c>
      <c r="G163" s="22">
        <v>0.34375</v>
      </c>
      <c r="H163" s="22">
        <v>0.73819444444444449</v>
      </c>
      <c r="I163" s="28">
        <f>IF(Tabela1[[#This Row],[Tipo]] &lt;&gt; "", (Tabela1[[#This Row],[Término]] - Tabela1[[#This Row],[Início]])*24/Tabela1[[#This Row],[Contagem de Ocorrências]], "—")</f>
        <v>4.7333333333333343</v>
      </c>
      <c r="J163" s="28">
        <f>IF(Tabela1[[#This Row],[Duração da Parada (h)]] &lt;&gt; "—", (24 - Tabela1[[#This Row],[Duração da Parada (h)]]), "")</f>
        <v>19.266666666666666</v>
      </c>
      <c r="K163" s="20" t="s">
        <v>174</v>
      </c>
    </row>
    <row r="164" spans="2:11" x14ac:dyDescent="0.25">
      <c r="B164" s="21">
        <v>45944</v>
      </c>
      <c r="C164" s="19" t="s">
        <v>7</v>
      </c>
      <c r="D164" s="3" t="str">
        <f>MID(Tabela1[[#This Row],[Estrutura]], 1, 5)</f>
        <v>SE-E2</v>
      </c>
      <c r="E164" s="3">
        <f>COUNTIFS(Tabela1[Data da Ocorrência], Tabela1[[#This Row],[Data da Ocorrência]], Tabela1[Nome Reduzido], Tabela1[[#This Row],[Nome Reduzido]])</f>
        <v>2</v>
      </c>
      <c r="F164" s="18" t="s">
        <v>16</v>
      </c>
      <c r="G164" s="22">
        <v>0.34375</v>
      </c>
      <c r="H164" s="22">
        <v>0.73819444444444449</v>
      </c>
      <c r="I164" s="28">
        <f>IF(Tabela1[[#This Row],[Tipo]] &lt;&gt; "", (Tabela1[[#This Row],[Término]] - Tabela1[[#This Row],[Início]])*24/Tabela1[[#This Row],[Contagem de Ocorrências]], "—")</f>
        <v>4.7333333333333343</v>
      </c>
      <c r="J164" s="28">
        <f>IF(Tabela1[[#This Row],[Duração da Parada (h)]] &lt;&gt; "—", (24 - Tabela1[[#This Row],[Duração da Parada (h)]]), "")</f>
        <v>19.266666666666666</v>
      </c>
      <c r="K164" s="20" t="s">
        <v>174</v>
      </c>
    </row>
    <row r="165" spans="2:11" x14ac:dyDescent="0.25">
      <c r="B165" s="21">
        <v>45944</v>
      </c>
      <c r="C165" s="19" t="s">
        <v>14</v>
      </c>
      <c r="D165" s="3" t="str">
        <f>MID(Tabela1[[#This Row],[Estrutura]], 1, 5)</f>
        <v>SE-E3</v>
      </c>
      <c r="E165" s="3">
        <f>COUNTIFS(Tabela1[Data da Ocorrência], Tabela1[[#This Row],[Data da Ocorrência]], Tabela1[Nome Reduzido], Tabela1[[#This Row],[Nome Reduzido]])</f>
        <v>2</v>
      </c>
      <c r="F165" s="18" t="s">
        <v>16</v>
      </c>
      <c r="G165" s="22">
        <v>0.36666666666666664</v>
      </c>
      <c r="H165" s="22">
        <v>0.74305555555555558</v>
      </c>
      <c r="I165" s="28">
        <f>IF(Tabela1[[#This Row],[Tipo]] &lt;&gt; "", (Tabela1[[#This Row],[Término]] - Tabela1[[#This Row],[Início]])*24/Tabela1[[#This Row],[Contagem de Ocorrências]], "—")</f>
        <v>4.5166666666666675</v>
      </c>
      <c r="J165" s="28">
        <f>IF(Tabela1[[#This Row],[Duração da Parada (h)]] &lt;&gt; "—", (24 - Tabela1[[#This Row],[Duração da Parada (h)]]), "")</f>
        <v>19.483333333333334</v>
      </c>
      <c r="K165" s="20" t="s">
        <v>174</v>
      </c>
    </row>
    <row r="166" spans="2:11" x14ac:dyDescent="0.25">
      <c r="B166" s="21">
        <v>45944</v>
      </c>
      <c r="C166" s="19" t="s">
        <v>5</v>
      </c>
      <c r="D166" s="3" t="str">
        <f>MID(Tabela1[[#This Row],[Estrutura]], 1, 5)</f>
        <v>SE-E3</v>
      </c>
      <c r="E166" s="3">
        <f>COUNTIFS(Tabela1[Data da Ocorrência], Tabela1[[#This Row],[Data da Ocorrência]], Tabela1[Nome Reduzido], Tabela1[[#This Row],[Nome Reduzido]])</f>
        <v>2</v>
      </c>
      <c r="F166" s="18" t="s">
        <v>16</v>
      </c>
      <c r="G166" s="22">
        <v>0.36666666666666664</v>
      </c>
      <c r="H166" s="22">
        <v>0.74305555555555558</v>
      </c>
      <c r="I166" s="28">
        <f>IF(Tabela1[[#This Row],[Tipo]] &lt;&gt; "", (Tabela1[[#This Row],[Término]] - Tabela1[[#This Row],[Início]])*24/Tabela1[[#This Row],[Contagem de Ocorrências]], "—")</f>
        <v>4.5166666666666675</v>
      </c>
      <c r="J166" s="28">
        <f>IF(Tabela1[[#This Row],[Duração da Parada (h)]] &lt;&gt; "—", (24 - Tabela1[[#This Row],[Duração da Parada (h)]]), "")</f>
        <v>19.483333333333334</v>
      </c>
      <c r="K166" s="20" t="s">
        <v>174</v>
      </c>
    </row>
    <row r="167" spans="2:11" x14ac:dyDescent="0.25">
      <c r="B167" s="21">
        <v>45944</v>
      </c>
      <c r="C167" s="19" t="s">
        <v>12</v>
      </c>
      <c r="D167" s="3" t="str">
        <f>MID(Tabela1[[#This Row],[Estrutura]], 1, 5)</f>
        <v>SE-E4</v>
      </c>
      <c r="E167" s="3">
        <f>COUNTIFS(Tabela1[Data da Ocorrência], Tabela1[[#This Row],[Data da Ocorrência]], Tabela1[Nome Reduzido], Tabela1[[#This Row],[Nome Reduzido]])</f>
        <v>2</v>
      </c>
      <c r="F167" s="18" t="s">
        <v>16</v>
      </c>
      <c r="G167" s="22">
        <v>0.3263888888888889</v>
      </c>
      <c r="H167" s="22">
        <v>0.73888888888888893</v>
      </c>
      <c r="I167" s="28">
        <f>IF(Tabela1[[#This Row],[Tipo]] &lt;&gt; "", (Tabela1[[#This Row],[Término]] - Tabela1[[#This Row],[Início]])*24/Tabela1[[#This Row],[Contagem de Ocorrências]], "—")</f>
        <v>4.95</v>
      </c>
      <c r="J167" s="28">
        <f>IF(Tabela1[[#This Row],[Duração da Parada (h)]] &lt;&gt; "—", (24 - Tabela1[[#This Row],[Duração da Parada (h)]]), "")</f>
        <v>19.05</v>
      </c>
      <c r="K167" s="20" t="s">
        <v>174</v>
      </c>
    </row>
    <row r="168" spans="2:11" x14ac:dyDescent="0.25">
      <c r="B168" s="21">
        <v>45944</v>
      </c>
      <c r="C168" s="19" t="s">
        <v>8</v>
      </c>
      <c r="D168" s="3" t="str">
        <f>MID(Tabela1[[#This Row],[Estrutura]], 1, 5)</f>
        <v>SE-E4</v>
      </c>
      <c r="E168" s="3">
        <f>COUNTIFS(Tabela1[Data da Ocorrência], Tabela1[[#This Row],[Data da Ocorrência]], Tabela1[Nome Reduzido], Tabela1[[#This Row],[Nome Reduzido]])</f>
        <v>2</v>
      </c>
      <c r="F168" s="18" t="s">
        <v>16</v>
      </c>
      <c r="G168" s="22">
        <v>0.3263888888888889</v>
      </c>
      <c r="H168" s="22">
        <v>0.73888888888888893</v>
      </c>
      <c r="I168" s="28">
        <f>IF(Tabela1[[#This Row],[Tipo]] &lt;&gt; "", (Tabela1[[#This Row],[Término]] - Tabela1[[#This Row],[Início]])*24/Tabela1[[#This Row],[Contagem de Ocorrências]], "—")</f>
        <v>4.95</v>
      </c>
      <c r="J168" s="28">
        <f>IF(Tabela1[[#This Row],[Duração da Parada (h)]] &lt;&gt; "—", (24 - Tabela1[[#This Row],[Duração da Parada (h)]]), "")</f>
        <v>19.05</v>
      </c>
      <c r="K168" s="20" t="s">
        <v>174</v>
      </c>
    </row>
    <row r="169" spans="2:11" x14ac:dyDescent="0.25">
      <c r="B169" s="21">
        <v>45944</v>
      </c>
      <c r="C169" s="19" t="s">
        <v>6</v>
      </c>
      <c r="D169" s="3" t="str">
        <f>MID(Tabela1[[#This Row],[Estrutura]], 1, 5)</f>
        <v>SE-E5</v>
      </c>
      <c r="E169" s="3">
        <f>COUNTIFS(Tabela1[Data da Ocorrência], Tabela1[[#This Row],[Data da Ocorrência]], Tabela1[Nome Reduzido], Tabela1[[#This Row],[Nome Reduzido]])</f>
        <v>1</v>
      </c>
      <c r="F169" s="18" t="s">
        <v>16</v>
      </c>
      <c r="G169" s="22">
        <v>0.32777777777777778</v>
      </c>
      <c r="H169" s="22">
        <v>0.73958333333333337</v>
      </c>
      <c r="I169" s="28">
        <f>IF(Tabela1[[#This Row],[Tipo]] &lt;&gt; "", (Tabela1[[#This Row],[Término]] - Tabela1[[#This Row],[Início]])*24/Tabela1[[#This Row],[Contagem de Ocorrências]], "—")</f>
        <v>9.8833333333333346</v>
      </c>
      <c r="J169" s="28">
        <f>IF(Tabela1[[#This Row],[Duração da Parada (h)]] &lt;&gt; "—", (24 - Tabela1[[#This Row],[Duração da Parada (h)]]), "")</f>
        <v>14.116666666666665</v>
      </c>
      <c r="K169" s="20" t="s">
        <v>174</v>
      </c>
    </row>
    <row r="170" spans="2:11" x14ac:dyDescent="0.25">
      <c r="B170" s="21">
        <v>45944</v>
      </c>
      <c r="C170" s="19" t="s">
        <v>10</v>
      </c>
      <c r="D170" s="3" t="str">
        <f>MID(Tabela1[[#This Row],[Estrutura]], 1, 5)</f>
        <v>SE-E6</v>
      </c>
      <c r="E170" s="3">
        <f>COUNTIFS(Tabela1[Data da Ocorrência], Tabela1[[#This Row],[Data da Ocorrência]], Tabela1[Nome Reduzido], Tabela1[[#This Row],[Nome Reduzido]])</f>
        <v>3</v>
      </c>
      <c r="F170" s="18" t="s">
        <v>16</v>
      </c>
      <c r="G170" s="22">
        <v>0.33124999999999999</v>
      </c>
      <c r="H170" s="22">
        <v>0.73888888888888893</v>
      </c>
      <c r="I170" s="28">
        <f>IF(Tabela1[[#This Row],[Tipo]] &lt;&gt; "", (Tabela1[[#This Row],[Término]] - Tabela1[[#This Row],[Início]])*24/Tabela1[[#This Row],[Contagem de Ocorrências]], "—")</f>
        <v>3.2611111111111115</v>
      </c>
      <c r="J170" s="28">
        <f>IF(Tabela1[[#This Row],[Duração da Parada (h)]] &lt;&gt; "—", (24 - Tabela1[[#This Row],[Duração da Parada (h)]]), "")</f>
        <v>20.738888888888887</v>
      </c>
      <c r="K170" s="20" t="s">
        <v>174</v>
      </c>
    </row>
    <row r="171" spans="2:11" x14ac:dyDescent="0.25">
      <c r="B171" s="21">
        <v>45944</v>
      </c>
      <c r="C171" s="19" t="s">
        <v>11</v>
      </c>
      <c r="D171" s="3" t="str">
        <f>MID(Tabela1[[#This Row],[Estrutura]], 1, 5)</f>
        <v>SE-E6</v>
      </c>
      <c r="E171" s="3">
        <f>COUNTIFS(Tabela1[Data da Ocorrência], Tabela1[[#This Row],[Data da Ocorrência]], Tabela1[Nome Reduzido], Tabela1[[#This Row],[Nome Reduzido]])</f>
        <v>3</v>
      </c>
      <c r="F171" s="18" t="s">
        <v>16</v>
      </c>
      <c r="G171" s="22">
        <v>0.33124999999999999</v>
      </c>
      <c r="H171" s="22">
        <v>0.73888888888888893</v>
      </c>
      <c r="I171" s="28">
        <f>IF(Tabela1[[#This Row],[Tipo]] &lt;&gt; "", (Tabela1[[#This Row],[Término]] - Tabela1[[#This Row],[Início]])*24/Tabela1[[#This Row],[Contagem de Ocorrências]], "—")</f>
        <v>3.2611111111111115</v>
      </c>
      <c r="J171" s="28">
        <f>IF(Tabela1[[#This Row],[Duração da Parada (h)]] &lt;&gt; "—", (24 - Tabela1[[#This Row],[Duração da Parada (h)]]), "")</f>
        <v>20.738888888888887</v>
      </c>
      <c r="K171" s="20" t="s">
        <v>174</v>
      </c>
    </row>
    <row r="172" spans="2:11" x14ac:dyDescent="0.25">
      <c r="B172" s="21">
        <v>45944</v>
      </c>
      <c r="C172" s="19" t="s">
        <v>9</v>
      </c>
      <c r="D172" s="3" t="str">
        <f>MID(Tabela1[[#This Row],[Estrutura]], 1, 5)</f>
        <v>SE-E6</v>
      </c>
      <c r="E172" s="3">
        <f>COUNTIFS(Tabela1[Data da Ocorrência], Tabela1[[#This Row],[Data da Ocorrência]], Tabela1[Nome Reduzido], Tabela1[[#This Row],[Nome Reduzido]])</f>
        <v>3</v>
      </c>
      <c r="F172" s="18" t="s">
        <v>16</v>
      </c>
      <c r="G172" s="22">
        <v>0.33124999999999999</v>
      </c>
      <c r="H172" s="22">
        <v>0.73888888888888893</v>
      </c>
      <c r="I172" s="28">
        <f>IF(Tabela1[[#This Row],[Tipo]] &lt;&gt; "", (Tabela1[[#This Row],[Término]] - Tabela1[[#This Row],[Início]])*24/Tabela1[[#This Row],[Contagem de Ocorrências]], "—")</f>
        <v>3.2611111111111115</v>
      </c>
      <c r="J172" s="28">
        <f>IF(Tabela1[[#This Row],[Duração da Parada (h)]] &lt;&gt; "—", (24 - Tabela1[[#This Row],[Duração da Parada (h)]]), "")</f>
        <v>20.738888888888887</v>
      </c>
      <c r="K172" s="20" t="s">
        <v>174</v>
      </c>
    </row>
    <row r="173" spans="2:11" x14ac:dyDescent="0.25">
      <c r="B173" s="21">
        <v>45945</v>
      </c>
      <c r="C173" s="19" t="s">
        <v>4</v>
      </c>
      <c r="D173" s="3" t="str">
        <f>MID(Tabela1[[#This Row],[Estrutura]], 1, 5)</f>
        <v>SE-E1</v>
      </c>
      <c r="E173" s="3">
        <f>COUNTIFS(Tabela1[Data da Ocorrência], Tabela1[[#This Row],[Data da Ocorrência]], Tabela1[Nome Reduzido], Tabela1[[#This Row],[Nome Reduzido]])</f>
        <v>1</v>
      </c>
      <c r="F173" s="18" t="s">
        <v>16</v>
      </c>
      <c r="G173" s="22">
        <v>0.29722222222222222</v>
      </c>
      <c r="H173" s="22">
        <v>0.79861111111111116</v>
      </c>
      <c r="I173" s="28">
        <f>IF(Tabela1[[#This Row],[Tipo]] &lt;&gt; "", (Tabela1[[#This Row],[Término]] - Tabela1[[#This Row],[Início]])*24/Tabela1[[#This Row],[Contagem de Ocorrências]], "—")</f>
        <v>12.033333333333333</v>
      </c>
      <c r="J173" s="28">
        <f>IF(Tabela1[[#This Row],[Duração da Parada (h)]] &lt;&gt; "—", (24 - Tabela1[[#This Row],[Duração da Parada (h)]]), "")</f>
        <v>11.966666666666667</v>
      </c>
      <c r="K173" s="20" t="s">
        <v>175</v>
      </c>
    </row>
    <row r="174" spans="2:11" x14ac:dyDescent="0.25">
      <c r="B174" s="21">
        <v>45945</v>
      </c>
      <c r="C174" s="19" t="s">
        <v>15</v>
      </c>
      <c r="D174" s="3" t="str">
        <f>MID(Tabela1[[#This Row],[Estrutura]], 1, 5)</f>
        <v>SE-E2</v>
      </c>
      <c r="E174" s="3">
        <f>COUNTIFS(Tabela1[Data da Ocorrência], Tabela1[[#This Row],[Data da Ocorrência]], Tabela1[Nome Reduzido], Tabela1[[#This Row],[Nome Reduzido]])</f>
        <v>2</v>
      </c>
      <c r="F174" s="18" t="s">
        <v>16</v>
      </c>
      <c r="G174" s="22">
        <v>0.3576388888888889</v>
      </c>
      <c r="H174" s="22">
        <v>0.77986111111111112</v>
      </c>
      <c r="I174" s="28">
        <f>IF(Tabela1[[#This Row],[Tipo]] &lt;&gt; "", (Tabela1[[#This Row],[Término]] - Tabela1[[#This Row],[Início]])*24/Tabela1[[#This Row],[Contagem de Ocorrências]], "—")</f>
        <v>5.0666666666666664</v>
      </c>
      <c r="J174" s="28">
        <f>IF(Tabela1[[#This Row],[Duração da Parada (h)]] &lt;&gt; "—", (24 - Tabela1[[#This Row],[Duração da Parada (h)]]), "")</f>
        <v>18.933333333333334</v>
      </c>
      <c r="K174" s="20" t="s">
        <v>174</v>
      </c>
    </row>
    <row r="175" spans="2:11" x14ac:dyDescent="0.25">
      <c r="B175" s="21">
        <v>45945</v>
      </c>
      <c r="C175" s="19" t="s">
        <v>7</v>
      </c>
      <c r="D175" s="3" t="str">
        <f>MID(Tabela1[[#This Row],[Estrutura]], 1, 5)</f>
        <v>SE-E2</v>
      </c>
      <c r="E175" s="3">
        <f>COUNTIFS(Tabela1[Data da Ocorrência], Tabela1[[#This Row],[Data da Ocorrência]], Tabela1[Nome Reduzido], Tabela1[[#This Row],[Nome Reduzido]])</f>
        <v>2</v>
      </c>
      <c r="F175" s="18" t="s">
        <v>16</v>
      </c>
      <c r="G175" s="22">
        <v>0.3576388888888889</v>
      </c>
      <c r="H175" s="22">
        <v>0.77986111111111112</v>
      </c>
      <c r="I175" s="28">
        <f>IF(Tabela1[[#This Row],[Tipo]] &lt;&gt; "", (Tabela1[[#This Row],[Término]] - Tabela1[[#This Row],[Início]])*24/Tabela1[[#This Row],[Contagem de Ocorrências]], "—")</f>
        <v>5.0666666666666664</v>
      </c>
      <c r="J175" s="28">
        <f>IF(Tabela1[[#This Row],[Duração da Parada (h)]] &lt;&gt; "—", (24 - Tabela1[[#This Row],[Duração da Parada (h)]]), "")</f>
        <v>18.933333333333334</v>
      </c>
      <c r="K175" s="20" t="s">
        <v>174</v>
      </c>
    </row>
    <row r="176" spans="2:11" x14ac:dyDescent="0.25">
      <c r="B176" s="21">
        <v>45945</v>
      </c>
      <c r="C176" s="19" t="s">
        <v>14</v>
      </c>
      <c r="D176" s="3" t="str">
        <f>MID(Tabela1[[#This Row],[Estrutura]], 1, 5)</f>
        <v>SE-E3</v>
      </c>
      <c r="E176" s="3">
        <f>COUNTIFS(Tabela1[Data da Ocorrência], Tabela1[[#This Row],[Data da Ocorrência]], Tabela1[Nome Reduzido], Tabela1[[#This Row],[Nome Reduzido]])</f>
        <v>2</v>
      </c>
      <c r="F176" s="18" t="s">
        <v>16</v>
      </c>
      <c r="G176" s="22">
        <v>0.39930555555555558</v>
      </c>
      <c r="H176" s="22">
        <v>0.77083333333333337</v>
      </c>
      <c r="I176" s="28">
        <f>IF(Tabela1[[#This Row],[Tipo]] &lt;&gt; "", (Tabela1[[#This Row],[Término]] - Tabela1[[#This Row],[Início]])*24/Tabela1[[#This Row],[Contagem de Ocorrências]], "—")</f>
        <v>4.4583333333333339</v>
      </c>
      <c r="J176" s="28">
        <f>IF(Tabela1[[#This Row],[Duração da Parada (h)]] &lt;&gt; "—", (24 - Tabela1[[#This Row],[Duração da Parada (h)]]), "")</f>
        <v>19.541666666666664</v>
      </c>
      <c r="K176" s="20" t="s">
        <v>174</v>
      </c>
    </row>
    <row r="177" spans="2:11" x14ac:dyDescent="0.25">
      <c r="B177" s="21">
        <v>45945</v>
      </c>
      <c r="C177" s="19" t="s">
        <v>5</v>
      </c>
      <c r="D177" s="3" t="str">
        <f>MID(Tabela1[[#This Row],[Estrutura]], 1, 5)</f>
        <v>SE-E3</v>
      </c>
      <c r="E177" s="3">
        <f>COUNTIFS(Tabela1[Data da Ocorrência], Tabela1[[#This Row],[Data da Ocorrência]], Tabela1[Nome Reduzido], Tabela1[[#This Row],[Nome Reduzido]])</f>
        <v>2</v>
      </c>
      <c r="F177" s="18" t="s">
        <v>16</v>
      </c>
      <c r="G177" s="22">
        <v>0.39930555555555558</v>
      </c>
      <c r="H177" s="22">
        <v>0.77083333333333337</v>
      </c>
      <c r="I177" s="28">
        <f>IF(Tabela1[[#This Row],[Tipo]] &lt;&gt; "", (Tabela1[[#This Row],[Término]] - Tabela1[[#This Row],[Início]])*24/Tabela1[[#This Row],[Contagem de Ocorrências]], "—")</f>
        <v>4.4583333333333339</v>
      </c>
      <c r="J177" s="28">
        <f>IF(Tabela1[[#This Row],[Duração da Parada (h)]] &lt;&gt; "—", (24 - Tabela1[[#This Row],[Duração da Parada (h)]]), "")</f>
        <v>19.541666666666664</v>
      </c>
      <c r="K177" s="20" t="s">
        <v>174</v>
      </c>
    </row>
    <row r="178" spans="2:11" x14ac:dyDescent="0.25">
      <c r="B178" s="21">
        <v>45945</v>
      </c>
      <c r="C178" s="19" t="s">
        <v>12</v>
      </c>
      <c r="D178" s="3" t="str">
        <f>MID(Tabela1[[#This Row],[Estrutura]], 1, 5)</f>
        <v>SE-E4</v>
      </c>
      <c r="E178" s="3">
        <f>COUNTIFS(Tabela1[Data da Ocorrência], Tabela1[[#This Row],[Data da Ocorrência]], Tabela1[Nome Reduzido], Tabela1[[#This Row],[Nome Reduzido]])</f>
        <v>2</v>
      </c>
      <c r="F178" s="18" t="s">
        <v>16</v>
      </c>
      <c r="G178" s="22">
        <v>0.32083333333333336</v>
      </c>
      <c r="H178" s="22">
        <v>0.77152777777777781</v>
      </c>
      <c r="I178" s="28">
        <f>IF(Tabela1[[#This Row],[Tipo]] &lt;&gt; "", (Tabela1[[#This Row],[Término]] - Tabela1[[#This Row],[Início]])*24/Tabela1[[#This Row],[Contagem de Ocorrências]], "—")</f>
        <v>5.4083333333333332</v>
      </c>
      <c r="J178" s="28">
        <f>IF(Tabela1[[#This Row],[Duração da Parada (h)]] &lt;&gt; "—", (24 - Tabela1[[#This Row],[Duração da Parada (h)]]), "")</f>
        <v>18.591666666666669</v>
      </c>
      <c r="K178" s="20" t="s">
        <v>174</v>
      </c>
    </row>
    <row r="179" spans="2:11" x14ac:dyDescent="0.25">
      <c r="B179" s="21">
        <v>45945</v>
      </c>
      <c r="C179" s="19" t="s">
        <v>8</v>
      </c>
      <c r="D179" s="3" t="str">
        <f>MID(Tabela1[[#This Row],[Estrutura]], 1, 5)</f>
        <v>SE-E4</v>
      </c>
      <c r="E179" s="3">
        <f>COUNTIFS(Tabela1[Data da Ocorrência], Tabela1[[#This Row],[Data da Ocorrência]], Tabela1[Nome Reduzido], Tabela1[[#This Row],[Nome Reduzido]])</f>
        <v>2</v>
      </c>
      <c r="F179" s="18" t="s">
        <v>16</v>
      </c>
      <c r="G179" s="22">
        <v>0.32083333333333336</v>
      </c>
      <c r="H179" s="22">
        <v>0.77152777777777781</v>
      </c>
      <c r="I179" s="28">
        <f>IF(Tabela1[[#This Row],[Tipo]] &lt;&gt; "", (Tabela1[[#This Row],[Término]] - Tabela1[[#This Row],[Início]])*24/Tabela1[[#This Row],[Contagem de Ocorrências]], "—")</f>
        <v>5.4083333333333332</v>
      </c>
      <c r="J179" s="28">
        <f>IF(Tabela1[[#This Row],[Duração da Parada (h)]] &lt;&gt; "—", (24 - Tabela1[[#This Row],[Duração da Parada (h)]]), "")</f>
        <v>18.591666666666669</v>
      </c>
      <c r="K179" s="20" t="s">
        <v>174</v>
      </c>
    </row>
    <row r="180" spans="2:11" x14ac:dyDescent="0.25">
      <c r="B180" s="21">
        <v>45945</v>
      </c>
      <c r="C180" s="19" t="s">
        <v>6</v>
      </c>
      <c r="D180" s="3" t="str">
        <f>MID(Tabela1[[#This Row],[Estrutura]], 1, 5)</f>
        <v>SE-E5</v>
      </c>
      <c r="E180" s="3">
        <f>COUNTIFS(Tabela1[Data da Ocorrência], Tabela1[[#This Row],[Data da Ocorrência]], Tabela1[Nome Reduzido], Tabela1[[#This Row],[Nome Reduzido]])</f>
        <v>1</v>
      </c>
      <c r="F180" s="18" t="s">
        <v>16</v>
      </c>
      <c r="G180" s="22">
        <v>0.32291666666666669</v>
      </c>
      <c r="H180" s="22">
        <v>0.77708333333333335</v>
      </c>
      <c r="I180" s="28">
        <f>IF(Tabela1[[#This Row],[Tipo]] &lt;&gt; "", (Tabela1[[#This Row],[Término]] - Tabela1[[#This Row],[Início]])*24/Tabela1[[#This Row],[Contagem de Ocorrências]], "—")</f>
        <v>10.9</v>
      </c>
      <c r="J180" s="28">
        <f>IF(Tabela1[[#This Row],[Duração da Parada (h)]] &lt;&gt; "—", (24 - Tabela1[[#This Row],[Duração da Parada (h)]]), "")</f>
        <v>13.1</v>
      </c>
      <c r="K180" s="20" t="s">
        <v>174</v>
      </c>
    </row>
    <row r="181" spans="2:11" x14ac:dyDescent="0.25">
      <c r="B181" s="21">
        <v>45945</v>
      </c>
      <c r="C181" s="19" t="s">
        <v>10</v>
      </c>
      <c r="D181" s="3" t="str">
        <f>MID(Tabela1[[#This Row],[Estrutura]], 1, 5)</f>
        <v>SE-E6</v>
      </c>
      <c r="E181" s="3">
        <f>COUNTIFS(Tabela1[Data da Ocorrência], Tabela1[[#This Row],[Data da Ocorrência]], Tabela1[Nome Reduzido], Tabela1[[#This Row],[Nome Reduzido]])</f>
        <v>3</v>
      </c>
      <c r="F181" s="18" t="s">
        <v>16</v>
      </c>
      <c r="G181" s="22">
        <v>0.32847222222222222</v>
      </c>
      <c r="H181" s="22">
        <v>0.77708333333333335</v>
      </c>
      <c r="I181" s="28">
        <f>IF(Tabela1[[#This Row],[Tipo]] &lt;&gt; "", (Tabela1[[#This Row],[Término]] - Tabela1[[#This Row],[Início]])*24/Tabela1[[#This Row],[Contagem de Ocorrências]], "—")</f>
        <v>3.588888888888889</v>
      </c>
      <c r="J181" s="28">
        <f>IF(Tabela1[[#This Row],[Duração da Parada (h)]] &lt;&gt; "—", (24 - Tabela1[[#This Row],[Duração da Parada (h)]]), "")</f>
        <v>20.411111111111111</v>
      </c>
      <c r="K181" s="20" t="s">
        <v>174</v>
      </c>
    </row>
    <row r="182" spans="2:11" x14ac:dyDescent="0.25">
      <c r="B182" s="21">
        <v>45945</v>
      </c>
      <c r="C182" s="19" t="s">
        <v>11</v>
      </c>
      <c r="D182" s="3" t="str">
        <f>MID(Tabela1[[#This Row],[Estrutura]], 1, 5)</f>
        <v>SE-E6</v>
      </c>
      <c r="E182" s="3">
        <f>COUNTIFS(Tabela1[Data da Ocorrência], Tabela1[[#This Row],[Data da Ocorrência]], Tabela1[Nome Reduzido], Tabela1[[#This Row],[Nome Reduzido]])</f>
        <v>3</v>
      </c>
      <c r="F182" s="18" t="s">
        <v>16</v>
      </c>
      <c r="G182" s="22">
        <v>0.32847222222222222</v>
      </c>
      <c r="H182" s="22">
        <v>0.77708333333333335</v>
      </c>
      <c r="I182" s="28">
        <f>IF(Tabela1[[#This Row],[Tipo]] &lt;&gt; "", (Tabela1[[#This Row],[Término]] - Tabela1[[#This Row],[Início]])*24/Tabela1[[#This Row],[Contagem de Ocorrências]], "—")</f>
        <v>3.588888888888889</v>
      </c>
      <c r="J182" s="28">
        <f>IF(Tabela1[[#This Row],[Duração da Parada (h)]] &lt;&gt; "—", (24 - Tabela1[[#This Row],[Duração da Parada (h)]]), "")</f>
        <v>20.411111111111111</v>
      </c>
      <c r="K182" s="20" t="s">
        <v>174</v>
      </c>
    </row>
    <row r="183" spans="2:11" x14ac:dyDescent="0.25">
      <c r="B183" s="21">
        <v>45945</v>
      </c>
      <c r="C183" s="19" t="s">
        <v>9</v>
      </c>
      <c r="D183" s="3" t="str">
        <f>MID(Tabela1[[#This Row],[Estrutura]], 1, 5)</f>
        <v>SE-E6</v>
      </c>
      <c r="E183" s="3">
        <f>COUNTIFS(Tabela1[Data da Ocorrência], Tabela1[[#This Row],[Data da Ocorrência]], Tabela1[Nome Reduzido], Tabela1[[#This Row],[Nome Reduzido]])</f>
        <v>3</v>
      </c>
      <c r="F183" s="18" t="s">
        <v>16</v>
      </c>
      <c r="G183" s="22">
        <v>0.32847222222222222</v>
      </c>
      <c r="H183" s="22">
        <v>0.77708333333333335</v>
      </c>
      <c r="I183" s="28">
        <f>IF(Tabela1[[#This Row],[Tipo]] &lt;&gt; "", (Tabela1[[#This Row],[Término]] - Tabela1[[#This Row],[Início]])*24/Tabela1[[#This Row],[Contagem de Ocorrências]], "—")</f>
        <v>3.588888888888889</v>
      </c>
      <c r="J183" s="28">
        <f>IF(Tabela1[[#This Row],[Duração da Parada (h)]] &lt;&gt; "—", (24 - Tabela1[[#This Row],[Duração da Parada (h)]]), "")</f>
        <v>20.411111111111111</v>
      </c>
      <c r="K183" s="20" t="s">
        <v>174</v>
      </c>
    </row>
    <row r="184" spans="2:11" ht="75" x14ac:dyDescent="0.25">
      <c r="B184" s="21">
        <v>45979</v>
      </c>
      <c r="C184" s="19" t="s">
        <v>15</v>
      </c>
      <c r="D184" s="3" t="str">
        <f>MID(Tabela1[[#This Row],[Estrutura]], 1, 5)</f>
        <v>SE-E2</v>
      </c>
      <c r="E184" s="3">
        <f>COUNTIFS(Tabela1[Data da Ocorrência], Tabela1[[#This Row],[Data da Ocorrência]], Tabela1[Nome Reduzido], Tabela1[[#This Row],[Nome Reduzido]])</f>
        <v>2</v>
      </c>
      <c r="F184" s="18" t="s">
        <v>16</v>
      </c>
      <c r="G184" s="22">
        <v>0.3347222222222222</v>
      </c>
      <c r="H184" s="22">
        <v>0.72222222222222221</v>
      </c>
      <c r="I184" s="28">
        <f>IF(Tabela1[[#This Row],[Tipo]] &lt;&gt; "", (Tabela1[[#This Row],[Término]] - Tabela1[[#This Row],[Início]])*24/Tabela1[[#This Row],[Contagem de Ocorrências]], "—")</f>
        <v>4.6500000000000004</v>
      </c>
      <c r="J184" s="28">
        <f>IF(Tabela1[[#This Row],[Duração da Parada (h)]] &lt;&gt; "—", (24 - Tabela1[[#This Row],[Duração da Parada (h)]]), "")</f>
        <v>19.350000000000001</v>
      </c>
      <c r="K184" s="20" t="s">
        <v>176</v>
      </c>
    </row>
    <row r="185" spans="2:11" ht="75" x14ac:dyDescent="0.25">
      <c r="B185" s="21">
        <v>45979</v>
      </c>
      <c r="C185" s="19" t="s">
        <v>7</v>
      </c>
      <c r="D185" s="3" t="str">
        <f>MID(Tabela1[[#This Row],[Estrutura]], 1, 5)</f>
        <v>SE-E2</v>
      </c>
      <c r="E185" s="3">
        <f>COUNTIFS(Tabela1[Data da Ocorrência], Tabela1[[#This Row],[Data da Ocorrência]], Tabela1[Nome Reduzido], Tabela1[[#This Row],[Nome Reduzido]])</f>
        <v>2</v>
      </c>
      <c r="F185" s="18" t="s">
        <v>16</v>
      </c>
      <c r="G185" s="22">
        <v>0.3347222222222222</v>
      </c>
      <c r="H185" s="22">
        <v>0.72222222222222221</v>
      </c>
      <c r="I185" s="28">
        <f>IF(Tabela1[[#This Row],[Tipo]] &lt;&gt; "", (Tabela1[[#This Row],[Término]] - Tabela1[[#This Row],[Início]])*24/Tabela1[[#This Row],[Contagem de Ocorrências]], "—")</f>
        <v>4.6500000000000004</v>
      </c>
      <c r="J185" s="28">
        <f>IF(Tabela1[[#This Row],[Duração da Parada (h)]] &lt;&gt; "—", (24 - Tabela1[[#This Row],[Duração da Parada (h)]]), "")</f>
        <v>19.350000000000001</v>
      </c>
      <c r="K185" s="20" t="s">
        <v>177</v>
      </c>
    </row>
    <row r="186" spans="2:11" ht="75" x14ac:dyDescent="0.25">
      <c r="B186" s="21">
        <v>45979</v>
      </c>
      <c r="C186" s="19" t="s">
        <v>14</v>
      </c>
      <c r="D186" s="3" t="str">
        <f>MID(Tabela1[[#This Row],[Estrutura]], 1, 5)</f>
        <v>SE-E3</v>
      </c>
      <c r="E186" s="3">
        <f>COUNTIFS(Tabela1[Data da Ocorrência], Tabela1[[#This Row],[Data da Ocorrência]], Tabela1[Nome Reduzido], Tabela1[[#This Row],[Nome Reduzido]])</f>
        <v>2</v>
      </c>
      <c r="F186" s="18" t="s">
        <v>16</v>
      </c>
      <c r="G186" s="22">
        <v>0.33680555555555558</v>
      </c>
      <c r="H186" s="22">
        <v>0.82777777777777772</v>
      </c>
      <c r="I186" s="28">
        <f>IF(Tabela1[[#This Row],[Tipo]] &lt;&gt; "", (Tabela1[[#This Row],[Término]] - Tabela1[[#This Row],[Início]])*24/Tabela1[[#This Row],[Contagem de Ocorrências]], "—")</f>
        <v>5.8916666666666657</v>
      </c>
      <c r="J186" s="28">
        <f>IF(Tabela1[[#This Row],[Duração da Parada (h)]] &lt;&gt; "—", (24 - Tabela1[[#This Row],[Duração da Parada (h)]]), "")</f>
        <v>18.108333333333334</v>
      </c>
      <c r="K186" s="20" t="s">
        <v>177</v>
      </c>
    </row>
    <row r="187" spans="2:11" ht="75" x14ac:dyDescent="0.25">
      <c r="B187" s="21">
        <v>45979</v>
      </c>
      <c r="C187" s="19" t="s">
        <v>5</v>
      </c>
      <c r="D187" s="3" t="str">
        <f>MID(Tabela1[[#This Row],[Estrutura]], 1, 5)</f>
        <v>SE-E3</v>
      </c>
      <c r="E187" s="3">
        <f>COUNTIFS(Tabela1[Data da Ocorrência], Tabela1[[#This Row],[Data da Ocorrência]], Tabela1[Nome Reduzido], Tabela1[[#This Row],[Nome Reduzido]])</f>
        <v>2</v>
      </c>
      <c r="F187" s="18" t="s">
        <v>16</v>
      </c>
      <c r="G187" s="22">
        <v>0.33680555555555558</v>
      </c>
      <c r="H187" s="22">
        <v>0.82777777777777772</v>
      </c>
      <c r="I187" s="28">
        <f>IF(Tabela1[[#This Row],[Tipo]] &lt;&gt; "", (Tabela1[[#This Row],[Término]] - Tabela1[[#This Row],[Início]])*24/Tabela1[[#This Row],[Contagem de Ocorrências]], "—")</f>
        <v>5.8916666666666657</v>
      </c>
      <c r="J187" s="28">
        <f>IF(Tabela1[[#This Row],[Duração da Parada (h)]] &lt;&gt; "—", (24 - Tabela1[[#This Row],[Duração da Parada (h)]]), "")</f>
        <v>18.108333333333334</v>
      </c>
      <c r="K187" s="20" t="s">
        <v>177</v>
      </c>
    </row>
    <row r="188" spans="2:11" ht="75" x14ac:dyDescent="0.25">
      <c r="B188" s="21">
        <v>45979</v>
      </c>
      <c r="C188" s="19" t="s">
        <v>12</v>
      </c>
      <c r="D188" s="3" t="str">
        <f>MID(Tabela1[[#This Row],[Estrutura]], 1, 5)</f>
        <v>SE-E4</v>
      </c>
      <c r="E188" s="3">
        <f>COUNTIFS(Tabela1[Data da Ocorrência], Tabela1[[#This Row],[Data da Ocorrência]], Tabela1[Nome Reduzido], Tabela1[[#This Row],[Nome Reduzido]])</f>
        <v>2</v>
      </c>
      <c r="F188" s="18" t="s">
        <v>16</v>
      </c>
      <c r="G188" s="22">
        <v>0.33541666666666664</v>
      </c>
      <c r="H188" s="22">
        <v>0.8125</v>
      </c>
      <c r="I188" s="28">
        <f>IF(Tabela1[[#This Row],[Tipo]] &lt;&gt; "", (Tabela1[[#This Row],[Término]] - Tabela1[[#This Row],[Início]])*24/Tabela1[[#This Row],[Contagem de Ocorrências]], "—")</f>
        <v>5.7250000000000005</v>
      </c>
      <c r="J188" s="28">
        <f>IF(Tabela1[[#This Row],[Duração da Parada (h)]] &lt;&gt; "—", (24 - Tabela1[[#This Row],[Duração da Parada (h)]]), "")</f>
        <v>18.274999999999999</v>
      </c>
      <c r="K188" s="20" t="s">
        <v>177</v>
      </c>
    </row>
    <row r="189" spans="2:11" ht="75" x14ac:dyDescent="0.25">
      <c r="B189" s="21">
        <v>45979</v>
      </c>
      <c r="C189" s="19" t="s">
        <v>8</v>
      </c>
      <c r="D189" s="3" t="str">
        <f>MID(Tabela1[[#This Row],[Estrutura]], 1, 5)</f>
        <v>SE-E4</v>
      </c>
      <c r="E189" s="3">
        <f>COUNTIFS(Tabela1[Data da Ocorrência], Tabela1[[#This Row],[Data da Ocorrência]], Tabela1[Nome Reduzido], Tabela1[[#This Row],[Nome Reduzido]])</f>
        <v>2</v>
      </c>
      <c r="F189" s="18" t="s">
        <v>16</v>
      </c>
      <c r="G189" s="22">
        <v>0.33541666666666664</v>
      </c>
      <c r="H189" s="22">
        <v>0.8125</v>
      </c>
      <c r="I189" s="28">
        <f>IF(Tabela1[[#This Row],[Tipo]] &lt;&gt; "", (Tabela1[[#This Row],[Término]] - Tabela1[[#This Row],[Início]])*24/Tabela1[[#This Row],[Contagem de Ocorrências]], "—")</f>
        <v>5.7250000000000005</v>
      </c>
      <c r="J189" s="28">
        <f>IF(Tabela1[[#This Row],[Duração da Parada (h)]] &lt;&gt; "—", (24 - Tabela1[[#This Row],[Duração da Parada (h)]]), "")</f>
        <v>18.274999999999999</v>
      </c>
      <c r="K189" s="20" t="s">
        <v>177</v>
      </c>
    </row>
    <row r="190" spans="2:11" ht="75" x14ac:dyDescent="0.25">
      <c r="B190" s="21">
        <v>45979</v>
      </c>
      <c r="C190" s="19" t="s">
        <v>6</v>
      </c>
      <c r="D190" s="3" t="str">
        <f>MID(Tabela1[[#This Row],[Estrutura]], 1, 5)</f>
        <v>SE-E5</v>
      </c>
      <c r="E190" s="3">
        <f>COUNTIFS(Tabela1[Data da Ocorrência], Tabela1[[#This Row],[Data da Ocorrência]], Tabela1[Nome Reduzido], Tabela1[[#This Row],[Nome Reduzido]])</f>
        <v>1</v>
      </c>
      <c r="F190" s="18" t="s">
        <v>16</v>
      </c>
      <c r="G190" s="22">
        <v>0.33333333333333331</v>
      </c>
      <c r="H190" s="22">
        <v>0.81041666666666667</v>
      </c>
      <c r="I190" s="28">
        <f>IF(Tabela1[[#This Row],[Tipo]] &lt;&gt; "", (Tabela1[[#This Row],[Término]] - Tabela1[[#This Row],[Início]])*24/Tabela1[[#This Row],[Contagem de Ocorrências]], "—")</f>
        <v>11.450000000000001</v>
      </c>
      <c r="J190" s="28">
        <f>IF(Tabela1[[#This Row],[Duração da Parada (h)]] &lt;&gt; "—", (24 - Tabela1[[#This Row],[Duração da Parada (h)]]), "")</f>
        <v>12.549999999999999</v>
      </c>
      <c r="K190" s="20" t="s">
        <v>177</v>
      </c>
    </row>
    <row r="191" spans="2:11" ht="75" x14ac:dyDescent="0.25">
      <c r="B191" s="21">
        <v>45979</v>
      </c>
      <c r="C191" s="19" t="s">
        <v>10</v>
      </c>
      <c r="D191" s="3" t="str">
        <f>MID(Tabela1[[#This Row],[Estrutura]], 1, 5)</f>
        <v>SE-E6</v>
      </c>
      <c r="E191" s="3">
        <f>COUNTIFS(Tabela1[Data da Ocorrência], Tabela1[[#This Row],[Data da Ocorrência]], Tabela1[Nome Reduzido], Tabela1[[#This Row],[Nome Reduzido]])</f>
        <v>3</v>
      </c>
      <c r="F191" s="18" t="s">
        <v>16</v>
      </c>
      <c r="G191" s="22">
        <v>0.35833333333333334</v>
      </c>
      <c r="H191" s="22">
        <v>0.8125</v>
      </c>
      <c r="I191" s="28">
        <f>IF(Tabela1[[#This Row],[Tipo]] &lt;&gt; "", (Tabela1[[#This Row],[Término]] - Tabela1[[#This Row],[Início]])*24/Tabela1[[#This Row],[Contagem de Ocorrências]], "—")</f>
        <v>3.6333333333333333</v>
      </c>
      <c r="J191" s="28">
        <f>IF(Tabela1[[#This Row],[Duração da Parada (h)]] &lt;&gt; "—", (24 - Tabela1[[#This Row],[Duração da Parada (h)]]), "")</f>
        <v>20.366666666666667</v>
      </c>
      <c r="K191" s="20" t="s">
        <v>177</v>
      </c>
    </row>
    <row r="192" spans="2:11" ht="75" x14ac:dyDescent="0.25">
      <c r="B192" s="21">
        <v>45979</v>
      </c>
      <c r="C192" s="19" t="s">
        <v>11</v>
      </c>
      <c r="D192" s="3" t="str">
        <f>MID(Tabela1[[#This Row],[Estrutura]], 1, 5)</f>
        <v>SE-E6</v>
      </c>
      <c r="E192" s="3">
        <f>COUNTIFS(Tabela1[Data da Ocorrência], Tabela1[[#This Row],[Data da Ocorrência]], Tabela1[Nome Reduzido], Tabela1[[#This Row],[Nome Reduzido]])</f>
        <v>3</v>
      </c>
      <c r="F192" s="18" t="s">
        <v>16</v>
      </c>
      <c r="G192" s="22">
        <v>0.35833333333333334</v>
      </c>
      <c r="H192" s="22">
        <v>0.8125</v>
      </c>
      <c r="I192" s="28">
        <f>IF(Tabela1[[#This Row],[Tipo]] &lt;&gt; "", (Tabela1[[#This Row],[Término]] - Tabela1[[#This Row],[Início]])*24/Tabela1[[#This Row],[Contagem de Ocorrências]], "—")</f>
        <v>3.6333333333333333</v>
      </c>
      <c r="J192" s="28">
        <f>IF(Tabela1[[#This Row],[Duração da Parada (h)]] &lt;&gt; "—", (24 - Tabela1[[#This Row],[Duração da Parada (h)]]), "")</f>
        <v>20.366666666666667</v>
      </c>
      <c r="K192" s="20" t="s">
        <v>177</v>
      </c>
    </row>
    <row r="193" spans="2:11" ht="75" x14ac:dyDescent="0.25">
      <c r="B193" s="21">
        <v>45979</v>
      </c>
      <c r="C193" s="19" t="s">
        <v>9</v>
      </c>
      <c r="D193" s="3" t="str">
        <f>MID(Tabela1[[#This Row],[Estrutura]], 1, 5)</f>
        <v>SE-E6</v>
      </c>
      <c r="E193" s="3">
        <f>COUNTIFS(Tabela1[Data da Ocorrência], Tabela1[[#This Row],[Data da Ocorrência]], Tabela1[Nome Reduzido], Tabela1[[#This Row],[Nome Reduzido]])</f>
        <v>3</v>
      </c>
      <c r="F193" s="18" t="s">
        <v>16</v>
      </c>
      <c r="G193" s="22">
        <v>0.35833333333333334</v>
      </c>
      <c r="H193" s="22">
        <v>0.8125</v>
      </c>
      <c r="I193" s="28">
        <f>IF(Tabela1[[#This Row],[Tipo]] &lt;&gt; "", (Tabela1[[#This Row],[Término]] - Tabela1[[#This Row],[Início]])*24/Tabela1[[#This Row],[Contagem de Ocorrências]], "—")</f>
        <v>3.6333333333333333</v>
      </c>
      <c r="J193" s="28">
        <f>IF(Tabela1[[#This Row],[Duração da Parada (h)]] &lt;&gt; "—", (24 - Tabela1[[#This Row],[Duração da Parada (h)]]), "")</f>
        <v>20.366666666666667</v>
      </c>
      <c r="K193" s="20" t="s">
        <v>177</v>
      </c>
    </row>
    <row r="194" spans="2:11" ht="30" x14ac:dyDescent="0.25">
      <c r="B194" s="21">
        <v>46034</v>
      </c>
      <c r="C194" s="19" t="s">
        <v>4</v>
      </c>
      <c r="D194" s="3" t="str">
        <f>MID(Tabela1[[#This Row],[Estrutura]], 1, 5)</f>
        <v>SE-E1</v>
      </c>
      <c r="E194" s="3">
        <f>COUNTIFS(Tabela1[Data da Ocorrência], Tabela1[[#This Row],[Data da Ocorrência]], Tabela1[Nome Reduzido], Tabela1[[#This Row],[Nome Reduzido]])</f>
        <v>2</v>
      </c>
      <c r="F194" s="18" t="s">
        <v>16</v>
      </c>
      <c r="G194" s="22">
        <v>0.29305555555555557</v>
      </c>
      <c r="H194" s="22">
        <v>0.67569444444444449</v>
      </c>
      <c r="I194" s="28">
        <f>IF(Tabela1[[#This Row],[Tipo]] &lt;&gt; "", (Tabela1[[#This Row],[Término]] - Tabela1[[#This Row],[Início]])*24/Tabela1[[#This Row],[Contagem de Ocorrências]], "—")</f>
        <v>4.5916666666666668</v>
      </c>
      <c r="J194" s="28">
        <f>IF(Tabela1[[#This Row],[Duração da Parada (h)]] &lt;&gt; "—", (24 - Tabela1[[#This Row],[Duração da Parada (h)]]), "")</f>
        <v>19.408333333333331</v>
      </c>
      <c r="K194" s="20" t="s">
        <v>196</v>
      </c>
    </row>
    <row r="195" spans="2:11" ht="30" x14ac:dyDescent="0.25">
      <c r="B195" s="21">
        <v>46034</v>
      </c>
      <c r="C195" s="19" t="s">
        <v>178</v>
      </c>
      <c r="D195" s="3" t="str">
        <f>MID(Tabela1[[#This Row],[Estrutura]], 1, 5)</f>
        <v>SE-E1</v>
      </c>
      <c r="E195" s="3">
        <f>COUNTIFS(Tabela1[Data da Ocorrência], Tabela1[[#This Row],[Data da Ocorrência]], Tabela1[Nome Reduzido], Tabela1[[#This Row],[Nome Reduzido]])</f>
        <v>2</v>
      </c>
      <c r="F195" s="18" t="s">
        <v>16</v>
      </c>
      <c r="G195" s="22">
        <v>0.29166666666666669</v>
      </c>
      <c r="H195" s="22">
        <v>0.67638888888888893</v>
      </c>
      <c r="I195" s="28">
        <f>IF(Tabela1[[#This Row],[Tipo]] &lt;&gt; "", (Tabela1[[#This Row],[Término]] - Tabela1[[#This Row],[Início]])*24/Tabela1[[#This Row],[Contagem de Ocorrências]], "—")</f>
        <v>4.6166666666666671</v>
      </c>
      <c r="J195" s="28">
        <f>IF(Tabela1[[#This Row],[Duração da Parada (h)]] &lt;&gt; "—", (24 - Tabela1[[#This Row],[Duração da Parada (h)]]), "")</f>
        <v>19.383333333333333</v>
      </c>
      <c r="K195" s="20" t="s">
        <v>195</v>
      </c>
    </row>
    <row r="196" spans="2:11" ht="30" x14ac:dyDescent="0.25">
      <c r="B196" s="21">
        <v>46035</v>
      </c>
      <c r="C196" s="19" t="s">
        <v>7</v>
      </c>
      <c r="D196" s="3" t="str">
        <f>MID(Tabela1[[#This Row],[Estrutura]], 1, 5)</f>
        <v>SE-E2</v>
      </c>
      <c r="E196" s="3">
        <f>COUNTIFS(Tabela1[Data da Ocorrência], Tabela1[[#This Row],[Data da Ocorrência]], Tabela1[Nome Reduzido], Tabela1[[#This Row],[Nome Reduzido]])</f>
        <v>2</v>
      </c>
      <c r="F196" s="18" t="s">
        <v>16</v>
      </c>
      <c r="G196" s="22">
        <v>0.30486111111111114</v>
      </c>
      <c r="H196" s="22">
        <v>0.61041666666666672</v>
      </c>
      <c r="I196" s="28">
        <f>IF(Tabela1[[#This Row],[Tipo]] &lt;&gt; "", (Tabela1[[#This Row],[Término]] - Tabela1[[#This Row],[Início]])*24/Tabela1[[#This Row],[Contagem de Ocorrências]], "—")</f>
        <v>3.666666666666667</v>
      </c>
      <c r="J196" s="28">
        <f>IF(Tabela1[[#This Row],[Duração da Parada (h)]] &lt;&gt; "—", (24 - Tabela1[[#This Row],[Duração da Parada (h)]]), "")</f>
        <v>20.333333333333332</v>
      </c>
      <c r="K196" s="20" t="s">
        <v>194</v>
      </c>
    </row>
    <row r="197" spans="2:11" ht="30" x14ac:dyDescent="0.25">
      <c r="B197" s="21">
        <v>46035</v>
      </c>
      <c r="C197" s="19" t="s">
        <v>179</v>
      </c>
      <c r="D197" s="3" t="str">
        <f>MID(Tabela1[[#This Row],[Estrutura]], 1, 5)</f>
        <v>SE-E2</v>
      </c>
      <c r="E197" s="3">
        <f>COUNTIFS(Tabela1[Data da Ocorrência], Tabela1[[#This Row],[Data da Ocorrência]], Tabela1[Nome Reduzido], Tabela1[[#This Row],[Nome Reduzido]])</f>
        <v>2</v>
      </c>
      <c r="F197" s="18" t="s">
        <v>16</v>
      </c>
      <c r="G197" s="22">
        <v>0.31180555555555556</v>
      </c>
      <c r="H197" s="22">
        <v>0.6118055555555556</v>
      </c>
      <c r="I197" s="28">
        <f>IF(Tabela1[[#This Row],[Tipo]] &lt;&gt; "", (Tabela1[[#This Row],[Término]] - Tabela1[[#This Row],[Início]])*24/Tabela1[[#This Row],[Contagem de Ocorrências]], "—")</f>
        <v>3.6000000000000005</v>
      </c>
      <c r="J197" s="28">
        <f>IF(Tabela1[[#This Row],[Duração da Parada (h)]] &lt;&gt; "—", (24 - Tabela1[[#This Row],[Duração da Parada (h)]]), "")</f>
        <v>20.399999999999999</v>
      </c>
      <c r="K197" s="20" t="s">
        <v>194</v>
      </c>
    </row>
    <row r="198" spans="2:11" ht="30" x14ac:dyDescent="0.25">
      <c r="B198" s="21">
        <v>46036</v>
      </c>
      <c r="C198" s="19" t="s">
        <v>5</v>
      </c>
      <c r="D198" s="3" t="str">
        <f>MID(Tabela1[[#This Row],[Estrutura]], 1, 5)</f>
        <v>SE-E3</v>
      </c>
      <c r="E198" s="3">
        <f>COUNTIFS(Tabela1[Data da Ocorrência], Tabela1[[#This Row],[Data da Ocorrência]], Tabela1[Nome Reduzido], Tabela1[[#This Row],[Nome Reduzido]])</f>
        <v>2</v>
      </c>
      <c r="F198" s="18" t="s">
        <v>16</v>
      </c>
      <c r="G198" s="22">
        <v>0.30625000000000002</v>
      </c>
      <c r="H198" s="22">
        <v>0.62986111111111109</v>
      </c>
      <c r="I198" s="28">
        <f>IF(Tabela1[[#This Row],[Tipo]] &lt;&gt; "", (Tabela1[[#This Row],[Término]] - Tabela1[[#This Row],[Início]])*24/Tabela1[[#This Row],[Contagem de Ocorrências]], "—")</f>
        <v>3.8833333333333329</v>
      </c>
      <c r="J198" s="28">
        <f>IF(Tabela1[[#This Row],[Duração da Parada (h)]] &lt;&gt; "—", (24 - Tabela1[[#This Row],[Duração da Parada (h)]]), "")</f>
        <v>20.116666666666667</v>
      </c>
      <c r="K198" s="20" t="s">
        <v>193</v>
      </c>
    </row>
    <row r="199" spans="2:11" ht="30" x14ac:dyDescent="0.25">
      <c r="B199" s="21">
        <v>46036</v>
      </c>
      <c r="C199" s="19" t="s">
        <v>180</v>
      </c>
      <c r="D199" s="3" t="str">
        <f>MID(Tabela1[[#This Row],[Estrutura]], 1, 5)</f>
        <v>SE-E3</v>
      </c>
      <c r="E199" s="3">
        <f>COUNTIFS(Tabela1[Data da Ocorrência], Tabela1[[#This Row],[Data da Ocorrência]], Tabela1[Nome Reduzido], Tabela1[[#This Row],[Nome Reduzido]])</f>
        <v>2</v>
      </c>
      <c r="F199" s="18" t="s">
        <v>16</v>
      </c>
      <c r="G199" s="22">
        <v>0.30555555555555558</v>
      </c>
      <c r="H199" s="22">
        <v>0.63055555555555554</v>
      </c>
      <c r="I199" s="28">
        <f>IF(Tabela1[[#This Row],[Tipo]] &lt;&gt; "", (Tabela1[[#This Row],[Término]] - Tabela1[[#This Row],[Início]])*24/Tabela1[[#This Row],[Contagem de Ocorrências]], "—")</f>
        <v>3.8999999999999995</v>
      </c>
      <c r="J199" s="28">
        <f>IF(Tabela1[[#This Row],[Duração da Parada (h)]] &lt;&gt; "—", (24 - Tabela1[[#This Row],[Duração da Parada (h)]]), "")</f>
        <v>20.100000000000001</v>
      </c>
      <c r="K199" s="20" t="s">
        <v>192</v>
      </c>
    </row>
    <row r="200" spans="2:11" ht="75" x14ac:dyDescent="0.25">
      <c r="B200" s="21">
        <v>46037</v>
      </c>
      <c r="C200" s="19" t="s">
        <v>8</v>
      </c>
      <c r="D200" s="3" t="str">
        <f>MID(Tabela1[[#This Row],[Estrutura]], 1, 5)</f>
        <v>SE-E4</v>
      </c>
      <c r="E200" s="3">
        <f>COUNTIFS(Tabela1[Data da Ocorrência], Tabela1[[#This Row],[Data da Ocorrência]], Tabela1[Nome Reduzido], Tabela1[[#This Row],[Nome Reduzido]])</f>
        <v>2</v>
      </c>
      <c r="F200" s="18" t="s">
        <v>16</v>
      </c>
      <c r="G200" s="22">
        <v>0.32013888888888886</v>
      </c>
      <c r="H200" s="22">
        <v>0.60486111111111107</v>
      </c>
      <c r="I200" s="28">
        <f>IF(Tabela1[[#This Row],[Tipo]] &lt;&gt; "", (Tabela1[[#This Row],[Término]] - Tabela1[[#This Row],[Início]])*24/Tabela1[[#This Row],[Contagem de Ocorrências]], "—")</f>
        <v>3.4166666666666665</v>
      </c>
      <c r="J200" s="28">
        <f>IF(Tabela1[[#This Row],[Duração da Parada (h)]] &lt;&gt; "—", (24 - Tabela1[[#This Row],[Duração da Parada (h)]]), "")</f>
        <v>20.583333333333332</v>
      </c>
      <c r="K200" s="20" t="s">
        <v>191</v>
      </c>
    </row>
    <row r="201" spans="2:11" ht="75" x14ac:dyDescent="0.25">
      <c r="B201" s="21">
        <v>46037</v>
      </c>
      <c r="C201" s="19" t="s">
        <v>181</v>
      </c>
      <c r="D201" s="3" t="str">
        <f>MID(Tabela1[[#This Row],[Estrutura]], 1, 5)</f>
        <v>SE-E4</v>
      </c>
      <c r="E201" s="3">
        <f>COUNTIFS(Tabela1[Data da Ocorrência], Tabela1[[#This Row],[Data da Ocorrência]], Tabela1[Nome Reduzido], Tabela1[[#This Row],[Nome Reduzido]])</f>
        <v>2</v>
      </c>
      <c r="F201" s="18" t="s">
        <v>16</v>
      </c>
      <c r="G201" s="22">
        <v>0.31944444444444442</v>
      </c>
      <c r="H201" s="22">
        <v>0.6069444444444444</v>
      </c>
      <c r="I201" s="28">
        <f>IF(Tabela1[[#This Row],[Tipo]] &lt;&gt; "", (Tabela1[[#This Row],[Término]] - Tabela1[[#This Row],[Início]])*24/Tabela1[[#This Row],[Contagem de Ocorrências]], "—")</f>
        <v>3.4499999999999997</v>
      </c>
      <c r="J201" s="28">
        <f>IF(Tabela1[[#This Row],[Duração da Parada (h)]] &lt;&gt; "—", (24 - Tabela1[[#This Row],[Duração da Parada (h)]]), "")</f>
        <v>20.55</v>
      </c>
      <c r="K201" s="20" t="s">
        <v>190</v>
      </c>
    </row>
    <row r="202" spans="2:11" ht="75" x14ac:dyDescent="0.25">
      <c r="B202" s="21">
        <v>46038</v>
      </c>
      <c r="C202" s="19" t="s">
        <v>6</v>
      </c>
      <c r="D202" s="3" t="str">
        <f>MID(Tabela1[[#This Row],[Estrutura]], 1, 5)</f>
        <v>SE-E5</v>
      </c>
      <c r="E202" s="3">
        <f>COUNTIFS(Tabela1[Data da Ocorrência], Tabela1[[#This Row],[Data da Ocorrência]], Tabela1[Nome Reduzido], Tabela1[[#This Row],[Nome Reduzido]])</f>
        <v>2</v>
      </c>
      <c r="F202" s="18" t="s">
        <v>16</v>
      </c>
      <c r="G202" s="22">
        <v>0.29444444444444445</v>
      </c>
      <c r="H202" s="22">
        <v>0.7</v>
      </c>
      <c r="I202" s="28">
        <f>IF(Tabela1[[#This Row],[Tipo]] &lt;&gt; "", (Tabela1[[#This Row],[Término]] - Tabela1[[#This Row],[Início]])*24/Tabela1[[#This Row],[Contagem de Ocorrências]], "—")</f>
        <v>4.8666666666666663</v>
      </c>
      <c r="J202" s="28">
        <f>IF(Tabela1[[#This Row],[Duração da Parada (h)]] &lt;&gt; "—", (24 - Tabela1[[#This Row],[Duração da Parada (h)]]), "")</f>
        <v>19.133333333333333</v>
      </c>
      <c r="K202" s="20" t="s">
        <v>189</v>
      </c>
    </row>
    <row r="203" spans="2:11" ht="75" x14ac:dyDescent="0.25">
      <c r="B203" s="21">
        <v>46038</v>
      </c>
      <c r="C203" s="19" t="s">
        <v>182</v>
      </c>
      <c r="D203" s="3" t="str">
        <f>MID(Tabela1[[#This Row],[Estrutura]], 1, 5)</f>
        <v>SE-E5</v>
      </c>
      <c r="E203" s="3">
        <f>COUNTIFS(Tabela1[Data da Ocorrência], Tabela1[[#This Row],[Data da Ocorrência]], Tabela1[Nome Reduzido], Tabela1[[#This Row],[Nome Reduzido]])</f>
        <v>2</v>
      </c>
      <c r="F203" s="18" t="s">
        <v>16</v>
      </c>
      <c r="G203" s="22">
        <v>0.29305555555555557</v>
      </c>
      <c r="H203" s="22">
        <v>0.7</v>
      </c>
      <c r="I203" s="28">
        <f>IF(Tabela1[[#This Row],[Tipo]] &lt;&gt; "", (Tabela1[[#This Row],[Término]] - Tabela1[[#This Row],[Início]])*24/Tabela1[[#This Row],[Contagem de Ocorrências]], "—")</f>
        <v>4.8833333333333329</v>
      </c>
      <c r="J203" s="28">
        <f>IF(Tabela1[[#This Row],[Duração da Parada (h)]] &lt;&gt; "—", (24 - Tabela1[[#This Row],[Duração da Parada (h)]]), "")</f>
        <v>19.116666666666667</v>
      </c>
      <c r="K203" s="20" t="s">
        <v>189</v>
      </c>
    </row>
    <row r="204" spans="2:11" ht="75" x14ac:dyDescent="0.25">
      <c r="B204" s="21">
        <v>46041</v>
      </c>
      <c r="C204" s="19" t="s">
        <v>9</v>
      </c>
      <c r="D204" s="3" t="str">
        <f>MID(Tabela1[[#This Row],[Estrutura]], 1, 5)</f>
        <v>SE-E6</v>
      </c>
      <c r="E204" s="3">
        <f>COUNTIFS(Tabela1[Data da Ocorrência], Tabela1[[#This Row],[Data da Ocorrência]], Tabela1[Nome Reduzido], Tabela1[[#This Row],[Nome Reduzido]])</f>
        <v>2</v>
      </c>
      <c r="F204" s="18" t="s">
        <v>16</v>
      </c>
      <c r="G204" s="22">
        <v>0.2986111111111111</v>
      </c>
      <c r="H204" s="22">
        <v>0.66597222222222219</v>
      </c>
      <c r="I204" s="28">
        <f>IF(Tabela1[[#This Row],[Tipo]] &lt;&gt; "", (Tabela1[[#This Row],[Término]] - Tabela1[[#This Row],[Início]])*24/Tabela1[[#This Row],[Contagem de Ocorrências]], "—")</f>
        <v>4.4083333333333332</v>
      </c>
      <c r="J204" s="28">
        <f>IF(Tabela1[[#This Row],[Duração da Parada (h)]] &lt;&gt; "—", (24 - Tabela1[[#This Row],[Duração da Parada (h)]]), "")</f>
        <v>19.591666666666669</v>
      </c>
      <c r="K204" s="20" t="s">
        <v>188</v>
      </c>
    </row>
    <row r="205" spans="2:11" ht="75" x14ac:dyDescent="0.25">
      <c r="B205" s="21">
        <v>46041</v>
      </c>
      <c r="C205" s="19" t="s">
        <v>183</v>
      </c>
      <c r="D205" s="3" t="str">
        <f>MID(Tabela1[[#This Row],[Estrutura]], 1, 5)</f>
        <v>SE-E6</v>
      </c>
      <c r="E205" s="3">
        <f>COUNTIFS(Tabela1[Data da Ocorrência], Tabela1[[#This Row],[Data da Ocorrência]], Tabela1[Nome Reduzido], Tabela1[[#This Row],[Nome Reduzido]])</f>
        <v>2</v>
      </c>
      <c r="F205" s="18" t="s">
        <v>16</v>
      </c>
      <c r="G205" s="22">
        <v>0.3</v>
      </c>
      <c r="H205" s="22">
        <v>0.66319444444444442</v>
      </c>
      <c r="I205" s="28">
        <f>IF(Tabela1[[#This Row],[Tipo]] &lt;&gt; "", (Tabela1[[#This Row],[Término]] - Tabela1[[#This Row],[Início]])*24/Tabela1[[#This Row],[Contagem de Ocorrências]], "—")</f>
        <v>4.3583333333333334</v>
      </c>
      <c r="J205" s="28">
        <f>IF(Tabela1[[#This Row],[Duração da Parada (h)]] &lt;&gt; "—", (24 - Tabela1[[#This Row],[Duração da Parada (h)]]), "")</f>
        <v>19.641666666666666</v>
      </c>
      <c r="K205" s="20" t="s">
        <v>188</v>
      </c>
    </row>
    <row r="206" spans="2:11" ht="135" x14ac:dyDescent="0.25">
      <c r="B206" s="21">
        <v>46042</v>
      </c>
      <c r="C206" s="19" t="s">
        <v>15</v>
      </c>
      <c r="D206" s="3" t="str">
        <f>MID(Tabela1[[#This Row],[Estrutura]], 1, 5)</f>
        <v>SE-E2</v>
      </c>
      <c r="E206" s="3">
        <f>COUNTIFS(Tabela1[Data da Ocorrência], Tabela1[[#This Row],[Data da Ocorrência]], Tabela1[Nome Reduzido], Tabela1[[#This Row],[Nome Reduzido]])</f>
        <v>3</v>
      </c>
      <c r="F206" s="18" t="s">
        <v>16</v>
      </c>
      <c r="G206" s="22">
        <v>0.35555555555555557</v>
      </c>
      <c r="H206" s="22">
        <v>0.84444444444444444</v>
      </c>
      <c r="I206" s="28">
        <f>IF(Tabela1[[#This Row],[Tipo]] &lt;&gt; "", (Tabela1[[#This Row],[Término]] - Tabela1[[#This Row],[Início]])*24/Tabela1[[#This Row],[Contagem de Ocorrências]], "—")</f>
        <v>3.911111111111111</v>
      </c>
      <c r="J206" s="28">
        <f>IF(Tabela1[[#This Row],[Duração da Parada (h)]] &lt;&gt; "—", (24 - Tabela1[[#This Row],[Duração da Parada (h)]]), "")</f>
        <v>20.088888888888889</v>
      </c>
      <c r="K206" s="20" t="s">
        <v>187</v>
      </c>
    </row>
    <row r="207" spans="2:11" ht="135" x14ac:dyDescent="0.25">
      <c r="B207" s="21">
        <v>46042</v>
      </c>
      <c r="C207" s="19" t="s">
        <v>7</v>
      </c>
      <c r="D207" s="3" t="str">
        <f>MID(Tabela1[[#This Row],[Estrutura]], 1, 5)</f>
        <v>SE-E2</v>
      </c>
      <c r="E207" s="3">
        <f>COUNTIFS(Tabela1[Data da Ocorrência], Tabela1[[#This Row],[Data da Ocorrência]], Tabela1[Nome Reduzido], Tabela1[[#This Row],[Nome Reduzido]])</f>
        <v>3</v>
      </c>
      <c r="F207" s="18" t="s">
        <v>16</v>
      </c>
      <c r="G207" s="22">
        <v>0.35486111111111113</v>
      </c>
      <c r="H207" s="22">
        <v>0.84513888888888888</v>
      </c>
      <c r="I207" s="28">
        <f>IF(Tabela1[[#This Row],[Tipo]] &lt;&gt; "", (Tabela1[[#This Row],[Término]] - Tabela1[[#This Row],[Início]])*24/Tabela1[[#This Row],[Contagem de Ocorrências]], "—")</f>
        <v>3.9222222222222221</v>
      </c>
      <c r="J207" s="28">
        <f>IF(Tabela1[[#This Row],[Duração da Parada (h)]] &lt;&gt; "—", (24 - Tabela1[[#This Row],[Duração da Parada (h)]]), "")</f>
        <v>20.077777777777779</v>
      </c>
      <c r="K207" s="20" t="s">
        <v>187</v>
      </c>
    </row>
    <row r="208" spans="2:11" ht="135" x14ac:dyDescent="0.25">
      <c r="B208" s="21">
        <v>46042</v>
      </c>
      <c r="C208" s="19" t="s">
        <v>179</v>
      </c>
      <c r="D208" s="3" t="str">
        <f>MID(Tabela1[[#This Row],[Estrutura]], 1, 5)</f>
        <v>SE-E2</v>
      </c>
      <c r="E208" s="3">
        <f>COUNTIFS(Tabela1[Data da Ocorrência], Tabela1[[#This Row],[Data da Ocorrência]], Tabela1[Nome Reduzido], Tabela1[[#This Row],[Nome Reduzido]])</f>
        <v>3</v>
      </c>
      <c r="F208" s="18" t="s">
        <v>16</v>
      </c>
      <c r="G208" s="22">
        <v>0.35416666666666669</v>
      </c>
      <c r="H208" s="22">
        <v>0.84583333333333333</v>
      </c>
      <c r="I208" s="28">
        <f>IF(Tabela1[[#This Row],[Tipo]] &lt;&gt; "", (Tabela1[[#This Row],[Término]] - Tabela1[[#This Row],[Início]])*24/Tabela1[[#This Row],[Contagem de Ocorrências]], "—")</f>
        <v>3.9333333333333331</v>
      </c>
      <c r="J208" s="28">
        <f>IF(Tabela1[[#This Row],[Duração da Parada (h)]] &lt;&gt; "—", (24 - Tabela1[[#This Row],[Duração da Parada (h)]]), "")</f>
        <v>20.066666666666666</v>
      </c>
      <c r="K208" s="20" t="s">
        <v>187</v>
      </c>
    </row>
    <row r="209" spans="2:11" ht="135" x14ac:dyDescent="0.25">
      <c r="B209" s="21">
        <v>46042</v>
      </c>
      <c r="C209" s="19" t="s">
        <v>14</v>
      </c>
      <c r="D209" s="3" t="str">
        <f>MID(Tabela1[[#This Row],[Estrutura]], 1, 5)</f>
        <v>SE-E3</v>
      </c>
      <c r="E209" s="3">
        <f>COUNTIFS(Tabela1[Data da Ocorrência], Tabela1[[#This Row],[Data da Ocorrência]], Tabela1[Nome Reduzido], Tabela1[[#This Row],[Nome Reduzido]])</f>
        <v>3</v>
      </c>
      <c r="F209" s="18" t="s">
        <v>16</v>
      </c>
      <c r="G209" s="22">
        <v>0.32847222222222222</v>
      </c>
      <c r="H209" s="22">
        <v>0.84652777777777777</v>
      </c>
      <c r="I209" s="28">
        <f>IF(Tabela1[[#This Row],[Tipo]] &lt;&gt; "", (Tabela1[[#This Row],[Término]] - Tabela1[[#This Row],[Início]])*24/Tabela1[[#This Row],[Contagem de Ocorrências]], "—")</f>
        <v>4.1444444444444439</v>
      </c>
      <c r="J209" s="28">
        <f>IF(Tabela1[[#This Row],[Duração da Parada (h)]] &lt;&gt; "—", (24 - Tabela1[[#This Row],[Duração da Parada (h)]]), "")</f>
        <v>19.855555555555554</v>
      </c>
      <c r="K209" s="20" t="s">
        <v>187</v>
      </c>
    </row>
    <row r="210" spans="2:11" ht="135" x14ac:dyDescent="0.25">
      <c r="B210" s="21">
        <v>46042</v>
      </c>
      <c r="C210" s="19" t="s">
        <v>5</v>
      </c>
      <c r="D210" s="3" t="str">
        <f>MID(Tabela1[[#This Row],[Estrutura]], 1, 5)</f>
        <v>SE-E3</v>
      </c>
      <c r="E210" s="3">
        <f>COUNTIFS(Tabela1[Data da Ocorrência], Tabela1[[#This Row],[Data da Ocorrência]], Tabela1[Nome Reduzido], Tabela1[[#This Row],[Nome Reduzido]])</f>
        <v>3</v>
      </c>
      <c r="F210" s="18" t="s">
        <v>16</v>
      </c>
      <c r="G210" s="22">
        <v>0.32569444444444445</v>
      </c>
      <c r="H210" s="22">
        <v>0.84722222222222221</v>
      </c>
      <c r="I210" s="28">
        <f>IF(Tabela1[[#This Row],[Tipo]] &lt;&gt; "", (Tabela1[[#This Row],[Término]] - Tabela1[[#This Row],[Início]])*24/Tabela1[[#This Row],[Contagem de Ocorrências]], "—")</f>
        <v>4.1722222222222225</v>
      </c>
      <c r="J210" s="28">
        <f>IF(Tabela1[[#This Row],[Duração da Parada (h)]] &lt;&gt; "—", (24 - Tabela1[[#This Row],[Duração da Parada (h)]]), "")</f>
        <v>19.827777777777776</v>
      </c>
      <c r="K210" s="20" t="s">
        <v>187</v>
      </c>
    </row>
    <row r="211" spans="2:11" ht="135" x14ac:dyDescent="0.25">
      <c r="B211" s="21">
        <v>46042</v>
      </c>
      <c r="C211" s="19" t="s">
        <v>180</v>
      </c>
      <c r="D211" s="3" t="str">
        <f>MID(Tabela1[[#This Row],[Estrutura]], 1, 5)</f>
        <v>SE-E3</v>
      </c>
      <c r="E211" s="3">
        <f>COUNTIFS(Tabela1[Data da Ocorrência], Tabela1[[#This Row],[Data da Ocorrência]], Tabela1[Nome Reduzido], Tabela1[[#This Row],[Nome Reduzido]])</f>
        <v>3</v>
      </c>
      <c r="F211" s="18" t="s">
        <v>16</v>
      </c>
      <c r="G211" s="22">
        <v>0.32500000000000001</v>
      </c>
      <c r="H211" s="22">
        <v>0.84791666666666665</v>
      </c>
      <c r="I211" s="28">
        <f>IF(Tabela1[[#This Row],[Tipo]] &lt;&gt; "", (Tabela1[[#This Row],[Término]] - Tabela1[[#This Row],[Início]])*24/Tabela1[[#This Row],[Contagem de Ocorrências]], "—")</f>
        <v>4.1833333333333336</v>
      </c>
      <c r="J211" s="28">
        <f>IF(Tabela1[[#This Row],[Duração da Parada (h)]] &lt;&gt; "—", (24 - Tabela1[[#This Row],[Duração da Parada (h)]]), "")</f>
        <v>19.816666666666666</v>
      </c>
      <c r="K211" s="20" t="s">
        <v>187</v>
      </c>
    </row>
    <row r="212" spans="2:11" ht="135" x14ac:dyDescent="0.25">
      <c r="B212" s="21">
        <v>46042</v>
      </c>
      <c r="C212" s="19" t="s">
        <v>12</v>
      </c>
      <c r="D212" s="3" t="str">
        <f>MID(Tabela1[[#This Row],[Estrutura]], 1, 5)</f>
        <v>SE-E4</v>
      </c>
      <c r="E212" s="3">
        <f>COUNTIFS(Tabela1[Data da Ocorrência], Tabela1[[#This Row],[Data da Ocorrência]], Tabela1[Nome Reduzido], Tabela1[[#This Row],[Nome Reduzido]])</f>
        <v>3</v>
      </c>
      <c r="F212" s="18" t="s">
        <v>16</v>
      </c>
      <c r="G212" s="22">
        <v>0.31041666666666667</v>
      </c>
      <c r="H212" s="22">
        <v>0.84722222222222221</v>
      </c>
      <c r="I212" s="28">
        <f>IF(Tabela1[[#This Row],[Tipo]] &lt;&gt; "", (Tabela1[[#This Row],[Término]] - Tabela1[[#This Row],[Início]])*24/Tabela1[[#This Row],[Contagem de Ocorrências]], "—")</f>
        <v>4.2944444444444443</v>
      </c>
      <c r="J212" s="28">
        <f>IF(Tabela1[[#This Row],[Duração da Parada (h)]] &lt;&gt; "—", (24 - Tabela1[[#This Row],[Duração da Parada (h)]]), "")</f>
        <v>19.705555555555556</v>
      </c>
      <c r="K212" s="20" t="s">
        <v>187</v>
      </c>
    </row>
    <row r="213" spans="2:11" ht="135" x14ac:dyDescent="0.25">
      <c r="B213" s="21">
        <v>46042</v>
      </c>
      <c r="C213" s="19" t="s">
        <v>8</v>
      </c>
      <c r="D213" s="3" t="str">
        <f>MID(Tabela1[[#This Row],[Estrutura]], 1, 5)</f>
        <v>SE-E4</v>
      </c>
      <c r="E213" s="3">
        <f>COUNTIFS(Tabela1[Data da Ocorrência], Tabela1[[#This Row],[Data da Ocorrência]], Tabela1[Nome Reduzido], Tabela1[[#This Row],[Nome Reduzido]])</f>
        <v>3</v>
      </c>
      <c r="F213" s="18" t="s">
        <v>16</v>
      </c>
      <c r="G213" s="22">
        <v>0.31041666666666667</v>
      </c>
      <c r="H213" s="22">
        <v>0.84722222222222221</v>
      </c>
      <c r="I213" s="28">
        <f>IF(Tabela1[[#This Row],[Tipo]] &lt;&gt; "", (Tabela1[[#This Row],[Término]] - Tabela1[[#This Row],[Início]])*24/Tabela1[[#This Row],[Contagem de Ocorrências]], "—")</f>
        <v>4.2944444444444443</v>
      </c>
      <c r="J213" s="28">
        <f>IF(Tabela1[[#This Row],[Duração da Parada (h)]] &lt;&gt; "—", (24 - Tabela1[[#This Row],[Duração da Parada (h)]]), "")</f>
        <v>19.705555555555556</v>
      </c>
      <c r="K213" s="20" t="s">
        <v>187</v>
      </c>
    </row>
    <row r="214" spans="2:11" ht="135" x14ac:dyDescent="0.25">
      <c r="B214" s="21">
        <v>46042</v>
      </c>
      <c r="C214" s="19" t="s">
        <v>181</v>
      </c>
      <c r="D214" s="3" t="str">
        <f>MID(Tabela1[[#This Row],[Estrutura]], 1, 5)</f>
        <v>SE-E4</v>
      </c>
      <c r="E214" s="3">
        <f>COUNTIFS(Tabela1[Data da Ocorrência], Tabela1[[#This Row],[Data da Ocorrência]], Tabela1[Nome Reduzido], Tabela1[[#This Row],[Nome Reduzido]])</f>
        <v>3</v>
      </c>
      <c r="F214" s="18" t="s">
        <v>16</v>
      </c>
      <c r="G214" s="22">
        <v>0.31041666666666667</v>
      </c>
      <c r="H214" s="22">
        <v>0.84722222222222221</v>
      </c>
      <c r="I214" s="28">
        <f>IF(Tabela1[[#This Row],[Tipo]] &lt;&gt; "", (Tabela1[[#This Row],[Término]] - Tabela1[[#This Row],[Início]])*24/Tabela1[[#This Row],[Contagem de Ocorrências]], "—")</f>
        <v>4.2944444444444443</v>
      </c>
      <c r="J214" s="28">
        <f>IF(Tabela1[[#This Row],[Duração da Parada (h)]] &lt;&gt; "—", (24 - Tabela1[[#This Row],[Duração da Parada (h)]]), "")</f>
        <v>19.705555555555556</v>
      </c>
      <c r="K214" s="20" t="s">
        <v>187</v>
      </c>
    </row>
    <row r="215" spans="2:11" ht="135" x14ac:dyDescent="0.25">
      <c r="B215" s="21">
        <v>46042</v>
      </c>
      <c r="C215" s="19" t="s">
        <v>6</v>
      </c>
      <c r="D215" s="3" t="str">
        <f>MID(Tabela1[[#This Row],[Estrutura]], 1, 5)</f>
        <v>SE-E5</v>
      </c>
      <c r="E215" s="3">
        <f>COUNTIFS(Tabela1[Data da Ocorrência], Tabela1[[#This Row],[Data da Ocorrência]], Tabela1[Nome Reduzido], Tabela1[[#This Row],[Nome Reduzido]])</f>
        <v>2</v>
      </c>
      <c r="F215" s="18" t="s">
        <v>16</v>
      </c>
      <c r="G215" s="22">
        <v>0.3298611111111111</v>
      </c>
      <c r="H215" s="22">
        <v>0.84652777777777777</v>
      </c>
      <c r="I215" s="28">
        <f>IF(Tabela1[[#This Row],[Tipo]] &lt;&gt; "", (Tabela1[[#This Row],[Término]] - Tabela1[[#This Row],[Início]])*24/Tabela1[[#This Row],[Contagem de Ocorrências]], "—")</f>
        <v>6.1999999999999993</v>
      </c>
      <c r="J215" s="28">
        <f>IF(Tabela1[[#This Row],[Duração da Parada (h)]] &lt;&gt; "—", (24 - Tabela1[[#This Row],[Duração da Parada (h)]]), "")</f>
        <v>17.8</v>
      </c>
      <c r="K215" s="20" t="s">
        <v>187</v>
      </c>
    </row>
    <row r="216" spans="2:11" ht="135" x14ac:dyDescent="0.25">
      <c r="B216" s="21">
        <v>46042</v>
      </c>
      <c r="C216" s="19" t="s">
        <v>182</v>
      </c>
      <c r="D216" s="3" t="str">
        <f>MID(Tabela1[[#This Row],[Estrutura]], 1, 5)</f>
        <v>SE-E5</v>
      </c>
      <c r="E216" s="3">
        <f>COUNTIFS(Tabela1[Data da Ocorrência], Tabela1[[#This Row],[Data da Ocorrência]], Tabela1[Nome Reduzido], Tabela1[[#This Row],[Nome Reduzido]])</f>
        <v>2</v>
      </c>
      <c r="F216" s="18" t="s">
        <v>16</v>
      </c>
      <c r="G216" s="22">
        <v>0.3298611111111111</v>
      </c>
      <c r="H216" s="22">
        <v>0.84652777777777777</v>
      </c>
      <c r="I216" s="28">
        <f>IF(Tabela1[[#This Row],[Tipo]] &lt;&gt; "", (Tabela1[[#This Row],[Término]] - Tabela1[[#This Row],[Início]])*24/Tabela1[[#This Row],[Contagem de Ocorrências]], "—")</f>
        <v>6.1999999999999993</v>
      </c>
      <c r="J216" s="28">
        <f>IF(Tabela1[[#This Row],[Duração da Parada (h)]] &lt;&gt; "—", (24 - Tabela1[[#This Row],[Duração da Parada (h)]]), "")</f>
        <v>17.8</v>
      </c>
      <c r="K216" s="20" t="s">
        <v>187</v>
      </c>
    </row>
    <row r="217" spans="2:11" ht="135" x14ac:dyDescent="0.25">
      <c r="B217" s="21">
        <v>46042</v>
      </c>
      <c r="C217" s="19" t="s">
        <v>11</v>
      </c>
      <c r="D217" s="3" t="str">
        <f>MID(Tabela1[[#This Row],[Estrutura]], 1, 5)</f>
        <v>SE-E6</v>
      </c>
      <c r="E217" s="3">
        <f>COUNTIFS(Tabela1[Data da Ocorrência], Tabela1[[#This Row],[Data da Ocorrência]], Tabela1[Nome Reduzido], Tabela1[[#This Row],[Nome Reduzido]])</f>
        <v>4</v>
      </c>
      <c r="F217" s="18" t="s">
        <v>16</v>
      </c>
      <c r="G217" s="22">
        <v>0.3298611111111111</v>
      </c>
      <c r="H217" s="22">
        <v>0.84652777777777777</v>
      </c>
      <c r="I217" s="28">
        <f>IF(Tabela1[[#This Row],[Tipo]] &lt;&gt; "", (Tabela1[[#This Row],[Término]] - Tabela1[[#This Row],[Início]])*24/Tabela1[[#This Row],[Contagem de Ocorrências]], "—")</f>
        <v>3.0999999999999996</v>
      </c>
      <c r="J217" s="28">
        <f>IF(Tabela1[[#This Row],[Duração da Parada (h)]] &lt;&gt; "—", (24 - Tabela1[[#This Row],[Duração da Parada (h)]]), "")</f>
        <v>20.9</v>
      </c>
      <c r="K217" s="20" t="s">
        <v>187</v>
      </c>
    </row>
    <row r="218" spans="2:11" ht="135" x14ac:dyDescent="0.25">
      <c r="B218" s="21">
        <v>46042</v>
      </c>
      <c r="C218" s="19" t="s">
        <v>9</v>
      </c>
      <c r="D218" s="3" t="str">
        <f>MID(Tabela1[[#This Row],[Estrutura]], 1, 5)</f>
        <v>SE-E6</v>
      </c>
      <c r="E218" s="3">
        <f>COUNTIFS(Tabela1[Data da Ocorrência], Tabela1[[#This Row],[Data da Ocorrência]], Tabela1[Nome Reduzido], Tabela1[[#This Row],[Nome Reduzido]])</f>
        <v>4</v>
      </c>
      <c r="F218" s="18" t="s">
        <v>16</v>
      </c>
      <c r="G218" s="22">
        <v>0.3298611111111111</v>
      </c>
      <c r="H218" s="22">
        <v>0.84652777777777777</v>
      </c>
      <c r="I218" s="28">
        <f>IF(Tabela1[[#This Row],[Tipo]] &lt;&gt; "", (Tabela1[[#This Row],[Término]] - Tabela1[[#This Row],[Início]])*24/Tabela1[[#This Row],[Contagem de Ocorrências]], "—")</f>
        <v>3.0999999999999996</v>
      </c>
      <c r="J218" s="28">
        <f>IF(Tabela1[[#This Row],[Duração da Parada (h)]] &lt;&gt; "—", (24 - Tabela1[[#This Row],[Duração da Parada (h)]]), "")</f>
        <v>20.9</v>
      </c>
      <c r="K218" s="20" t="s">
        <v>187</v>
      </c>
    </row>
    <row r="219" spans="2:11" ht="135" x14ac:dyDescent="0.25">
      <c r="B219" s="21">
        <v>46042</v>
      </c>
      <c r="C219" s="19" t="s">
        <v>183</v>
      </c>
      <c r="D219" s="3" t="str">
        <f>MID(Tabela1[[#This Row],[Estrutura]], 1, 5)</f>
        <v>SE-E6</v>
      </c>
      <c r="E219" s="3">
        <f>COUNTIFS(Tabela1[Data da Ocorrência], Tabela1[[#This Row],[Data da Ocorrência]], Tabela1[Nome Reduzido], Tabela1[[#This Row],[Nome Reduzido]])</f>
        <v>4</v>
      </c>
      <c r="F219" s="18" t="s">
        <v>16</v>
      </c>
      <c r="G219" s="22">
        <v>0.3298611111111111</v>
      </c>
      <c r="H219" s="22">
        <v>0.84652777777777777</v>
      </c>
      <c r="I219" s="28">
        <f>IF(Tabela1[[#This Row],[Tipo]] &lt;&gt; "", (Tabela1[[#This Row],[Término]] - Tabela1[[#This Row],[Início]])*24/Tabela1[[#This Row],[Contagem de Ocorrências]], "—")</f>
        <v>3.0999999999999996</v>
      </c>
      <c r="J219" s="28">
        <f>IF(Tabela1[[#This Row],[Duração da Parada (h)]] &lt;&gt; "—", (24 - Tabela1[[#This Row],[Duração da Parada (h)]]), "")</f>
        <v>20.9</v>
      </c>
      <c r="K219" s="20" t="s">
        <v>187</v>
      </c>
    </row>
    <row r="220" spans="2:11" ht="135" x14ac:dyDescent="0.25">
      <c r="B220" s="21">
        <v>46042</v>
      </c>
      <c r="C220" s="19" t="s">
        <v>10</v>
      </c>
      <c r="D220" s="3" t="str">
        <f>MID(Tabela1[[#This Row],[Estrutura]], 1, 5)</f>
        <v>SE-E6</v>
      </c>
      <c r="E220" s="3">
        <f>COUNTIFS(Tabela1[Data da Ocorrência], Tabela1[[#This Row],[Data da Ocorrência]], Tabela1[Nome Reduzido], Tabela1[[#This Row],[Nome Reduzido]])</f>
        <v>4</v>
      </c>
      <c r="F220" s="18" t="s">
        <v>16</v>
      </c>
      <c r="G220" s="22">
        <v>0.3298611111111111</v>
      </c>
      <c r="H220" s="22">
        <v>0.84652777777777777</v>
      </c>
      <c r="I220" s="28">
        <f>IF(Tabela1[[#This Row],[Tipo]] &lt;&gt; "", (Tabela1[[#This Row],[Término]] - Tabela1[[#This Row],[Início]])*24/Tabela1[[#This Row],[Contagem de Ocorrências]], "—")</f>
        <v>3.0999999999999996</v>
      </c>
      <c r="J220" s="28">
        <f>IF(Tabela1[[#This Row],[Duração da Parada (h)]] &lt;&gt; "—", (24 - Tabela1[[#This Row],[Duração da Parada (h)]]), "")</f>
        <v>20.9</v>
      </c>
      <c r="K220" s="20" t="s">
        <v>187</v>
      </c>
    </row>
    <row r="221" spans="2:11" ht="45" x14ac:dyDescent="0.25">
      <c r="B221" s="21">
        <v>46077</v>
      </c>
      <c r="C221" s="19" t="s">
        <v>4</v>
      </c>
      <c r="D221" s="75" t="str">
        <f>MID(Tabela1[[#This Row],[Estrutura]], 1, 5)</f>
        <v>SE-E1</v>
      </c>
      <c r="E221" s="75">
        <f>COUNTIFS(Tabela1[Data da Ocorrência], Tabela1[[#This Row],[Data da Ocorrência]], Tabela1[Nome Reduzido], Tabela1[[#This Row],[Nome Reduzido]])</f>
        <v>1</v>
      </c>
      <c r="F221" s="18" t="s">
        <v>16</v>
      </c>
      <c r="G221" s="22">
        <v>0.29930555555555555</v>
      </c>
      <c r="H221" s="22">
        <v>0.59027777777777779</v>
      </c>
      <c r="I221" s="76">
        <f>IF(Tabela1[[#This Row],[Tipo]] &lt;&gt; "", (Tabela1[[#This Row],[Término]] - Tabela1[[#This Row],[Início]])*24/Tabela1[[#This Row],[Contagem de Ocorrências]], "—")</f>
        <v>6.9833333333333343</v>
      </c>
      <c r="J221" s="28">
        <f>IF(Tabela1[[#This Row],[Duração da Parada (h)]] &lt;&gt; "—", (24 - Tabela1[[#This Row],[Duração da Parada (h)]]), "")</f>
        <v>17.016666666666666</v>
      </c>
      <c r="K221" s="20" t="s">
        <v>197</v>
      </c>
    </row>
    <row r="222" spans="2:11" x14ac:dyDescent="0.25">
      <c r="B222" s="21"/>
      <c r="G222" s="22"/>
      <c r="H222" s="22"/>
      <c r="I222" s="28"/>
      <c r="J222" s="28"/>
    </row>
    <row r="223" spans="2:11" x14ac:dyDescent="0.25">
      <c r="B223" s="21"/>
      <c r="G223" s="22"/>
      <c r="H223" s="22"/>
      <c r="I223" s="28"/>
      <c r="J223" s="28"/>
    </row>
    <row r="224" spans="2:11" x14ac:dyDescent="0.25">
      <c r="B224" s="21"/>
      <c r="G224" s="22"/>
      <c r="H224" s="22"/>
      <c r="I224" s="28"/>
      <c r="J224" s="28"/>
    </row>
    <row r="225" spans="2:10" x14ac:dyDescent="0.25">
      <c r="B225" s="21"/>
      <c r="G225" s="22"/>
      <c r="H225" s="22"/>
      <c r="I225" s="28"/>
      <c r="J225" s="28"/>
    </row>
    <row r="226" spans="2:10" x14ac:dyDescent="0.25">
      <c r="B226" s="21"/>
      <c r="G226" s="22"/>
      <c r="H226" s="22"/>
      <c r="I226" s="28"/>
      <c r="J226" s="28"/>
    </row>
    <row r="227" spans="2:10" x14ac:dyDescent="0.25">
      <c r="B227" s="21"/>
      <c r="G227" s="22"/>
      <c r="H227" s="22"/>
      <c r="I227" s="28"/>
      <c r="J227" s="28"/>
    </row>
    <row r="228" spans="2:10" x14ac:dyDescent="0.25">
      <c r="B228" s="21"/>
      <c r="G228" s="22"/>
      <c r="H228" s="22"/>
      <c r="I228" s="28"/>
      <c r="J228" s="28"/>
    </row>
    <row r="229" spans="2:10" x14ac:dyDescent="0.25">
      <c r="B229" s="21"/>
      <c r="G229" s="22"/>
      <c r="H229" s="22"/>
      <c r="I229" s="28"/>
      <c r="J229" s="28"/>
    </row>
    <row r="230" spans="2:10" x14ac:dyDescent="0.25">
      <c r="B230" s="21"/>
      <c r="G230" s="22"/>
      <c r="H230" s="22"/>
      <c r="I230" s="28"/>
      <c r="J230" s="28"/>
    </row>
    <row r="231" spans="2:10" x14ac:dyDescent="0.25">
      <c r="B231" s="21"/>
      <c r="G231" s="22"/>
      <c r="H231" s="22"/>
      <c r="I231" s="28"/>
      <c r="J231" s="28"/>
    </row>
    <row r="232" spans="2:10" x14ac:dyDescent="0.25">
      <c r="B232" s="21"/>
      <c r="G232" s="22"/>
      <c r="H232" s="22"/>
      <c r="I232" s="28"/>
      <c r="J232" s="28"/>
    </row>
    <row r="233" spans="2:10" x14ac:dyDescent="0.25">
      <c r="B233" s="21"/>
      <c r="G233" s="22"/>
      <c r="H233" s="22"/>
      <c r="I233" s="28"/>
      <c r="J233" s="28"/>
    </row>
    <row r="234" spans="2:10" x14ac:dyDescent="0.25">
      <c r="B234" s="21"/>
      <c r="G234" s="22"/>
      <c r="H234" s="22"/>
      <c r="I234" s="28"/>
      <c r="J234" s="28"/>
    </row>
    <row r="235" spans="2:10" x14ac:dyDescent="0.25">
      <c r="B235" s="21"/>
      <c r="G235" s="22"/>
      <c r="H235" s="22"/>
      <c r="I235" s="28"/>
      <c r="J235" s="28"/>
    </row>
    <row r="236" spans="2:10" x14ac:dyDescent="0.25">
      <c r="B236" s="21"/>
      <c r="G236" s="22"/>
      <c r="H236" s="22"/>
      <c r="I236" s="28"/>
      <c r="J236" s="28"/>
    </row>
    <row r="237" spans="2:10" x14ac:dyDescent="0.25">
      <c r="B237" s="21"/>
      <c r="G237" s="22"/>
      <c r="H237" s="22"/>
      <c r="I237" s="28"/>
      <c r="J237" s="28"/>
    </row>
    <row r="238" spans="2:10" x14ac:dyDescent="0.25">
      <c r="B238" s="21"/>
      <c r="G238" s="22"/>
      <c r="H238" s="22"/>
      <c r="I238" s="28"/>
      <c r="J238" s="28"/>
    </row>
    <row r="239" spans="2:10" x14ac:dyDescent="0.25">
      <c r="B239" s="21"/>
      <c r="G239" s="22"/>
      <c r="H239" s="22"/>
      <c r="I239" s="28"/>
      <c r="J239" s="28"/>
    </row>
    <row r="240" spans="2:10" x14ac:dyDescent="0.25">
      <c r="B240" s="21"/>
      <c r="G240" s="22"/>
      <c r="H240" s="22"/>
      <c r="I240" s="28"/>
      <c r="J240" s="28"/>
    </row>
    <row r="241" spans="2:10" x14ac:dyDescent="0.25">
      <c r="B241" s="21"/>
      <c r="G241" s="22"/>
      <c r="H241" s="22"/>
      <c r="I241" s="28"/>
      <c r="J241" s="28"/>
    </row>
    <row r="242" spans="2:10" x14ac:dyDescent="0.25">
      <c r="B242" s="21"/>
      <c r="G242" s="22"/>
      <c r="H242" s="22"/>
      <c r="I242" s="28"/>
      <c r="J242" s="28"/>
    </row>
    <row r="243" spans="2:10" x14ac:dyDescent="0.25">
      <c r="B243" s="21"/>
      <c r="G243" s="22"/>
      <c r="H243" s="22"/>
      <c r="I243" s="28"/>
      <c r="J243" s="28"/>
    </row>
    <row r="244" spans="2:10" x14ac:dyDescent="0.25">
      <c r="B244" s="21"/>
      <c r="G244" s="22"/>
      <c r="H244" s="22"/>
      <c r="I244" s="28"/>
      <c r="J244" s="28"/>
    </row>
    <row r="245" spans="2:10" x14ac:dyDescent="0.25">
      <c r="B245" s="21"/>
      <c r="G245" s="22"/>
      <c r="H245" s="22"/>
      <c r="I245" s="28"/>
      <c r="J245" s="28"/>
    </row>
    <row r="246" spans="2:10" x14ac:dyDescent="0.25">
      <c r="B246" s="21"/>
      <c r="G246" s="22"/>
      <c r="H246" s="22"/>
      <c r="I246" s="28"/>
      <c r="J246" s="28"/>
    </row>
    <row r="247" spans="2:10" x14ac:dyDescent="0.25">
      <c r="B247" s="21"/>
      <c r="G247" s="22"/>
      <c r="H247" s="22"/>
      <c r="I247" s="28"/>
      <c r="J247" s="28"/>
    </row>
    <row r="248" spans="2:10" x14ac:dyDescent="0.25">
      <c r="B248" s="21"/>
      <c r="G248" s="22"/>
      <c r="H248" s="22"/>
      <c r="I248" s="28"/>
      <c r="J248" s="28"/>
    </row>
    <row r="249" spans="2:10" x14ac:dyDescent="0.25">
      <c r="B249" s="21"/>
      <c r="G249" s="22"/>
      <c r="H249" s="22"/>
      <c r="I249" s="28"/>
      <c r="J249" s="28"/>
    </row>
    <row r="250" spans="2:10" x14ac:dyDescent="0.25">
      <c r="B250" s="21"/>
      <c r="G250" s="22"/>
      <c r="H250" s="22"/>
      <c r="I250" s="28"/>
      <c r="J250" s="28"/>
    </row>
    <row r="251" spans="2:10" x14ac:dyDescent="0.25">
      <c r="B251" s="21"/>
      <c r="G251" s="22"/>
      <c r="H251" s="22"/>
      <c r="I251" s="28"/>
      <c r="J251" s="28"/>
    </row>
    <row r="252" spans="2:10" x14ac:dyDescent="0.25">
      <c r="B252" s="21"/>
      <c r="G252" s="22"/>
      <c r="H252" s="22"/>
      <c r="I252" s="28"/>
      <c r="J252" s="28"/>
    </row>
    <row r="253" spans="2:10" x14ac:dyDescent="0.25">
      <c r="B253" s="21"/>
      <c r="G253" s="22"/>
      <c r="H253" s="22"/>
      <c r="I253" s="28"/>
      <c r="J253" s="28"/>
    </row>
    <row r="254" spans="2:10" x14ac:dyDescent="0.25">
      <c r="B254" s="21"/>
      <c r="G254" s="22"/>
      <c r="H254" s="22"/>
      <c r="I254" s="28"/>
      <c r="J254" s="28"/>
    </row>
    <row r="255" spans="2:10" x14ac:dyDescent="0.25">
      <c r="B255" s="21"/>
      <c r="G255" s="22"/>
      <c r="H255" s="22"/>
      <c r="I255" s="28"/>
      <c r="J255" s="28"/>
    </row>
    <row r="256" spans="2:10" x14ac:dyDescent="0.25">
      <c r="B256" s="21"/>
      <c r="G256" s="22"/>
      <c r="H256" s="22"/>
      <c r="I256" s="28"/>
      <c r="J256" s="28"/>
    </row>
    <row r="257" spans="2:10" x14ac:dyDescent="0.25">
      <c r="B257" s="21"/>
      <c r="G257" s="22"/>
      <c r="H257" s="22"/>
      <c r="I257" s="28"/>
      <c r="J257" s="28"/>
    </row>
    <row r="258" spans="2:10" x14ac:dyDescent="0.25">
      <c r="B258" s="21"/>
      <c r="G258" s="22"/>
      <c r="H258" s="22"/>
      <c r="I258" s="28"/>
      <c r="J258" s="28"/>
    </row>
    <row r="259" spans="2:10" x14ac:dyDescent="0.25">
      <c r="B259" s="21"/>
      <c r="G259" s="22"/>
      <c r="H259" s="22"/>
      <c r="I259" s="28"/>
      <c r="J259" s="28"/>
    </row>
    <row r="260" spans="2:10" x14ac:dyDescent="0.25">
      <c r="B260" s="21"/>
      <c r="G260" s="22"/>
      <c r="H260" s="22"/>
      <c r="I260" s="28"/>
      <c r="J260" s="28"/>
    </row>
    <row r="261" spans="2:10" x14ac:dyDescent="0.25">
      <c r="B261" s="21"/>
      <c r="G261" s="22"/>
      <c r="H261" s="22"/>
      <c r="I261" s="28"/>
      <c r="J261" s="28"/>
    </row>
    <row r="262" spans="2:10" x14ac:dyDescent="0.25">
      <c r="B262" s="21"/>
      <c r="G262" s="22"/>
      <c r="H262" s="22"/>
      <c r="I262" s="28"/>
      <c r="J262" s="28"/>
    </row>
    <row r="263" spans="2:10" x14ac:dyDescent="0.25">
      <c r="B263" s="21"/>
      <c r="G263" s="22"/>
      <c r="H263" s="22"/>
      <c r="I263" s="28"/>
      <c r="J263" s="28"/>
    </row>
    <row r="264" spans="2:10" x14ac:dyDescent="0.25">
      <c r="B264" s="21"/>
      <c r="G264" s="22"/>
      <c r="H264" s="22"/>
      <c r="I264" s="28"/>
      <c r="J264" s="28"/>
    </row>
    <row r="265" spans="2:10" x14ac:dyDescent="0.25">
      <c r="B265" s="21"/>
      <c r="G265" s="22"/>
      <c r="H265" s="22"/>
      <c r="I265" s="28"/>
      <c r="J265" s="28"/>
    </row>
    <row r="266" spans="2:10" x14ac:dyDescent="0.25">
      <c r="B266" s="21"/>
      <c r="G266" s="22"/>
      <c r="H266" s="22"/>
      <c r="I266" s="28"/>
      <c r="J266" s="28"/>
    </row>
    <row r="267" spans="2:10" x14ac:dyDescent="0.25">
      <c r="B267" s="21"/>
      <c r="G267" s="22"/>
      <c r="H267" s="22"/>
      <c r="I267" s="28"/>
      <c r="J267" s="28"/>
    </row>
    <row r="268" spans="2:10" x14ac:dyDescent="0.25">
      <c r="B268" s="21"/>
      <c r="G268" s="22"/>
      <c r="H268" s="22"/>
      <c r="I268" s="28"/>
      <c r="J268" s="28"/>
    </row>
    <row r="269" spans="2:10" x14ac:dyDescent="0.25">
      <c r="B269" s="21"/>
      <c r="G269" s="22"/>
      <c r="H269" s="22"/>
      <c r="I269" s="28"/>
      <c r="J269" s="28"/>
    </row>
    <row r="270" spans="2:10" x14ac:dyDescent="0.25">
      <c r="B270" s="21"/>
      <c r="G270" s="22"/>
      <c r="H270" s="22"/>
      <c r="I270" s="28"/>
      <c r="J270" s="28"/>
    </row>
    <row r="271" spans="2:10" x14ac:dyDescent="0.25">
      <c r="B271" s="21"/>
      <c r="G271" s="22"/>
      <c r="H271" s="22"/>
      <c r="I271" s="28"/>
      <c r="J271" s="28"/>
    </row>
    <row r="272" spans="2:10" x14ac:dyDescent="0.25">
      <c r="B272" s="21"/>
      <c r="G272" s="22"/>
      <c r="H272" s="22"/>
      <c r="I272" s="28"/>
      <c r="J272" s="28"/>
    </row>
    <row r="273" spans="2:10" x14ac:dyDescent="0.25">
      <c r="B273" s="21"/>
      <c r="G273" s="22"/>
      <c r="H273" s="22"/>
      <c r="I273" s="28"/>
      <c r="J273" s="28"/>
    </row>
    <row r="274" spans="2:10" x14ac:dyDescent="0.25">
      <c r="B274" s="21"/>
      <c r="G274" s="22"/>
      <c r="H274" s="22"/>
      <c r="I274" s="28"/>
      <c r="J274" s="28"/>
    </row>
    <row r="275" spans="2:10" x14ac:dyDescent="0.25">
      <c r="B275" s="21"/>
      <c r="G275" s="22"/>
      <c r="H275" s="22"/>
      <c r="I275" s="28"/>
      <c r="J275" s="28"/>
    </row>
    <row r="276" spans="2:10" x14ac:dyDescent="0.25">
      <c r="B276" s="21"/>
      <c r="G276" s="22"/>
      <c r="H276" s="22"/>
      <c r="I276" s="28"/>
      <c r="J276" s="28"/>
    </row>
    <row r="277" spans="2:10" x14ac:dyDescent="0.25">
      <c r="B277" s="21"/>
      <c r="G277" s="22"/>
      <c r="H277" s="22"/>
      <c r="I277" s="28"/>
      <c r="J277" s="28"/>
    </row>
    <row r="278" spans="2:10" x14ac:dyDescent="0.25">
      <c r="B278" s="21"/>
      <c r="G278" s="22"/>
      <c r="H278" s="22"/>
      <c r="I278" s="28"/>
      <c r="J278" s="28"/>
    </row>
    <row r="279" spans="2:10" x14ac:dyDescent="0.25">
      <c r="B279" s="21"/>
      <c r="G279" s="22"/>
      <c r="H279" s="22"/>
      <c r="I279" s="28"/>
      <c r="J279" s="28"/>
    </row>
    <row r="280" spans="2:10" x14ac:dyDescent="0.25">
      <c r="B280" s="21"/>
      <c r="G280" s="22"/>
      <c r="H280" s="22"/>
      <c r="I280" s="28"/>
      <c r="J280" s="28"/>
    </row>
    <row r="281" spans="2:10" x14ac:dyDescent="0.25">
      <c r="B281" s="21"/>
      <c r="G281" s="22"/>
      <c r="H281" s="22"/>
      <c r="I281" s="28"/>
      <c r="J281" s="28"/>
    </row>
    <row r="282" spans="2:10" x14ac:dyDescent="0.25">
      <c r="B282" s="21"/>
      <c r="G282" s="22"/>
      <c r="H282" s="22"/>
      <c r="I282" s="28"/>
      <c r="J282" s="28"/>
    </row>
    <row r="283" spans="2:10" x14ac:dyDescent="0.25">
      <c r="B283" s="21"/>
      <c r="G283" s="22"/>
      <c r="H283" s="22"/>
      <c r="I283" s="28"/>
      <c r="J283" s="28"/>
    </row>
    <row r="284" spans="2:10" x14ac:dyDescent="0.25">
      <c r="B284" s="21"/>
      <c r="G284" s="22"/>
      <c r="H284" s="22"/>
      <c r="I284" s="28"/>
      <c r="J284" s="28"/>
    </row>
    <row r="285" spans="2:10" x14ac:dyDescent="0.25">
      <c r="B285" s="21"/>
      <c r="G285" s="22"/>
      <c r="H285" s="22"/>
      <c r="I285" s="28"/>
      <c r="J285" s="28"/>
    </row>
    <row r="286" spans="2:10" x14ac:dyDescent="0.25">
      <c r="B286" s="21"/>
      <c r="G286" s="22"/>
      <c r="H286" s="22"/>
      <c r="I286" s="28"/>
      <c r="J286" s="28"/>
    </row>
    <row r="287" spans="2:10" x14ac:dyDescent="0.25">
      <c r="B287" s="21"/>
      <c r="G287" s="22"/>
      <c r="H287" s="22"/>
      <c r="I287" s="28"/>
      <c r="J287" s="28"/>
    </row>
    <row r="288" spans="2:10" x14ac:dyDescent="0.25">
      <c r="B288" s="21"/>
      <c r="G288" s="22"/>
      <c r="H288" s="22"/>
      <c r="I288" s="28"/>
      <c r="J288" s="28"/>
    </row>
    <row r="289" spans="2:10" x14ac:dyDescent="0.25">
      <c r="B289" s="21"/>
      <c r="G289" s="22"/>
      <c r="H289" s="22"/>
      <c r="I289" s="28"/>
      <c r="J289" s="28"/>
    </row>
    <row r="290" spans="2:10" x14ac:dyDescent="0.25">
      <c r="B290" s="21"/>
      <c r="G290" s="22"/>
      <c r="H290" s="22"/>
      <c r="I290" s="28"/>
      <c r="J290" s="28"/>
    </row>
    <row r="291" spans="2:10" x14ac:dyDescent="0.25">
      <c r="B291" s="21"/>
      <c r="G291" s="22"/>
      <c r="H291" s="22"/>
      <c r="I291" s="28"/>
      <c r="J291" s="28"/>
    </row>
    <row r="292" spans="2:10" x14ac:dyDescent="0.25">
      <c r="B292" s="21"/>
      <c r="G292" s="22"/>
      <c r="H292" s="22"/>
      <c r="I292" s="28"/>
      <c r="J292" s="28"/>
    </row>
    <row r="293" spans="2:10" x14ac:dyDescent="0.25">
      <c r="B293" s="21"/>
      <c r="G293" s="22"/>
      <c r="H293" s="22"/>
      <c r="I293" s="28"/>
      <c r="J293" s="28"/>
    </row>
    <row r="294" spans="2:10" x14ac:dyDescent="0.25">
      <c r="B294" s="21"/>
      <c r="G294" s="22"/>
      <c r="H294" s="22"/>
      <c r="I294" s="28"/>
      <c r="J294" s="28"/>
    </row>
    <row r="295" spans="2:10" x14ac:dyDescent="0.25">
      <c r="B295" s="21"/>
      <c r="G295" s="22"/>
      <c r="H295" s="22"/>
      <c r="I295" s="28"/>
      <c r="J295" s="28"/>
    </row>
    <row r="296" spans="2:10" x14ac:dyDescent="0.25">
      <c r="B296" s="21"/>
      <c r="G296" s="22"/>
      <c r="H296" s="22"/>
      <c r="I296" s="28"/>
      <c r="J296" s="28"/>
    </row>
    <row r="297" spans="2:10" x14ac:dyDescent="0.25">
      <c r="B297" s="21"/>
      <c r="G297" s="22"/>
      <c r="H297" s="22"/>
      <c r="I297" s="28"/>
      <c r="J297" s="28"/>
    </row>
    <row r="298" spans="2:10" x14ac:dyDescent="0.25">
      <c r="B298" s="21"/>
      <c r="G298" s="22"/>
      <c r="H298" s="22"/>
      <c r="I298" s="28"/>
      <c r="J298" s="28"/>
    </row>
    <row r="299" spans="2:10" x14ac:dyDescent="0.25">
      <c r="B299" s="21"/>
      <c r="G299" s="22"/>
      <c r="H299" s="22"/>
      <c r="I299" s="28"/>
      <c r="J299" s="28"/>
    </row>
    <row r="300" spans="2:10" x14ac:dyDescent="0.25">
      <c r="B300" s="21"/>
      <c r="G300" s="22"/>
      <c r="H300" s="22"/>
      <c r="I300" s="28"/>
      <c r="J300" s="28"/>
    </row>
    <row r="301" spans="2:10" x14ac:dyDescent="0.25">
      <c r="B301" s="21"/>
      <c r="G301" s="22"/>
      <c r="H301" s="22"/>
      <c r="I301" s="28"/>
      <c r="J301" s="28"/>
    </row>
    <row r="302" spans="2:10" x14ac:dyDescent="0.25">
      <c r="B302" s="21"/>
      <c r="G302" s="22"/>
      <c r="H302" s="22"/>
      <c r="I302" s="28"/>
      <c r="J302" s="28"/>
    </row>
    <row r="303" spans="2:10" x14ac:dyDescent="0.25">
      <c r="B303" s="21"/>
      <c r="G303" s="22"/>
      <c r="H303" s="22"/>
      <c r="I303" s="28"/>
      <c r="J303" s="28"/>
    </row>
    <row r="304" spans="2:10" x14ac:dyDescent="0.25">
      <c r="B304" s="21"/>
      <c r="G304" s="22"/>
      <c r="H304" s="22"/>
      <c r="I304" s="28"/>
      <c r="J304" s="28"/>
    </row>
    <row r="305" spans="2:10" x14ac:dyDescent="0.25">
      <c r="B305" s="21"/>
      <c r="G305" s="22"/>
      <c r="H305" s="22"/>
      <c r="I305" s="28"/>
      <c r="J305" s="28"/>
    </row>
    <row r="306" spans="2:10" x14ac:dyDescent="0.25">
      <c r="B306" s="21"/>
      <c r="G306" s="22"/>
      <c r="H306" s="22"/>
      <c r="I306" s="28"/>
      <c r="J306" s="28"/>
    </row>
    <row r="307" spans="2:10" x14ac:dyDescent="0.25">
      <c r="B307" s="21"/>
      <c r="G307" s="22"/>
      <c r="H307" s="22"/>
      <c r="I307" s="28"/>
      <c r="J307" s="28"/>
    </row>
    <row r="308" spans="2:10" x14ac:dyDescent="0.25">
      <c r="B308" s="21"/>
      <c r="G308" s="22"/>
      <c r="H308" s="22"/>
      <c r="I308" s="28"/>
      <c r="J308" s="28"/>
    </row>
    <row r="309" spans="2:10" x14ac:dyDescent="0.25">
      <c r="B309" s="21"/>
      <c r="G309" s="22"/>
      <c r="H309" s="22"/>
      <c r="I309" s="28"/>
      <c r="J309" s="28"/>
    </row>
    <row r="310" spans="2:10" x14ac:dyDescent="0.25">
      <c r="B310" s="21"/>
      <c r="G310" s="22"/>
      <c r="H310" s="22"/>
      <c r="I310" s="28"/>
      <c r="J310" s="28"/>
    </row>
    <row r="311" spans="2:10" x14ac:dyDescent="0.25">
      <c r="B311" s="21"/>
      <c r="G311" s="22"/>
      <c r="H311" s="22"/>
      <c r="I311" s="28"/>
      <c r="J311" s="28"/>
    </row>
    <row r="312" spans="2:10" x14ac:dyDescent="0.25">
      <c r="B312" s="21"/>
      <c r="G312" s="22"/>
      <c r="H312" s="22"/>
      <c r="I312" s="28"/>
      <c r="J312" s="28"/>
    </row>
    <row r="313" spans="2:10" x14ac:dyDescent="0.25">
      <c r="B313" s="21"/>
      <c r="G313" s="22"/>
      <c r="H313" s="22"/>
      <c r="I313" s="28"/>
      <c r="J313" s="28"/>
    </row>
    <row r="314" spans="2:10" x14ac:dyDescent="0.25">
      <c r="B314" s="21"/>
      <c r="G314" s="22"/>
      <c r="H314" s="22"/>
      <c r="I314" s="28"/>
      <c r="J314" s="28"/>
    </row>
    <row r="315" spans="2:10" x14ac:dyDescent="0.25">
      <c r="B315" s="21"/>
      <c r="G315" s="22"/>
      <c r="H315" s="22"/>
      <c r="I315" s="28"/>
      <c r="J315" s="28"/>
    </row>
    <row r="316" spans="2:10" x14ac:dyDescent="0.25">
      <c r="B316" s="21"/>
      <c r="G316" s="22"/>
      <c r="H316" s="22"/>
      <c r="I316" s="28"/>
      <c r="J316" s="28"/>
    </row>
    <row r="317" spans="2:10" x14ac:dyDescent="0.25">
      <c r="B317" s="21"/>
      <c r="G317" s="22"/>
      <c r="H317" s="22"/>
      <c r="I317" s="28"/>
      <c r="J317" s="28"/>
    </row>
    <row r="318" spans="2:10" x14ac:dyDescent="0.25">
      <c r="B318" s="21"/>
      <c r="G318" s="22"/>
      <c r="H318" s="22"/>
      <c r="I318" s="28"/>
      <c r="J318" s="28"/>
    </row>
    <row r="319" spans="2:10" x14ac:dyDescent="0.25">
      <c r="B319" s="21"/>
      <c r="G319" s="22"/>
      <c r="H319" s="22"/>
      <c r="I319" s="28"/>
      <c r="J319" s="28"/>
    </row>
    <row r="320" spans="2:10" x14ac:dyDescent="0.25">
      <c r="B320" s="21"/>
      <c r="G320" s="22"/>
      <c r="H320" s="22"/>
      <c r="I320" s="28"/>
      <c r="J320" s="28"/>
    </row>
    <row r="321" spans="2:10" x14ac:dyDescent="0.25">
      <c r="B321" s="21"/>
      <c r="G321" s="22"/>
      <c r="H321" s="22"/>
      <c r="I321" s="28"/>
      <c r="J321" s="28"/>
    </row>
    <row r="322" spans="2:10" x14ac:dyDescent="0.25">
      <c r="B322" s="21"/>
      <c r="G322" s="22"/>
      <c r="H322" s="22"/>
      <c r="I322" s="28"/>
      <c r="J322" s="28"/>
    </row>
    <row r="323" spans="2:10" x14ac:dyDescent="0.25">
      <c r="B323" s="21"/>
      <c r="G323" s="22"/>
      <c r="H323" s="22"/>
      <c r="I323" s="28"/>
      <c r="J323" s="28"/>
    </row>
    <row r="324" spans="2:10" x14ac:dyDescent="0.25">
      <c r="B324" s="21"/>
      <c r="G324" s="22"/>
      <c r="H324" s="22"/>
      <c r="I324" s="28"/>
      <c r="J324" s="28"/>
    </row>
    <row r="325" spans="2:10" x14ac:dyDescent="0.25">
      <c r="B325" s="21"/>
      <c r="G325" s="22"/>
      <c r="H325" s="22"/>
      <c r="I325" s="28"/>
      <c r="J325" s="28"/>
    </row>
    <row r="326" spans="2:10" x14ac:dyDescent="0.25">
      <c r="B326" s="21"/>
      <c r="G326" s="22"/>
      <c r="H326" s="22"/>
      <c r="I326" s="28"/>
      <c r="J326" s="28"/>
    </row>
    <row r="327" spans="2:10" x14ac:dyDescent="0.25">
      <c r="B327" s="21"/>
      <c r="G327" s="22"/>
      <c r="H327" s="22"/>
      <c r="I327" s="28"/>
      <c r="J327" s="28"/>
    </row>
    <row r="328" spans="2:10" x14ac:dyDescent="0.25">
      <c r="B328" s="21"/>
      <c r="G328" s="22"/>
      <c r="H328" s="22"/>
      <c r="I328" s="28"/>
      <c r="J328" s="28"/>
    </row>
    <row r="329" spans="2:10" x14ac:dyDescent="0.25">
      <c r="B329" s="21"/>
      <c r="G329" s="22"/>
      <c r="H329" s="22"/>
      <c r="I329" s="28"/>
      <c r="J329" s="28"/>
    </row>
    <row r="330" spans="2:10" x14ac:dyDescent="0.25">
      <c r="B330" s="21"/>
      <c r="G330" s="22"/>
      <c r="H330" s="22"/>
      <c r="I330" s="28"/>
      <c r="J330" s="28"/>
    </row>
    <row r="331" spans="2:10" x14ac:dyDescent="0.25">
      <c r="B331" s="21"/>
      <c r="G331" s="22"/>
      <c r="H331" s="22"/>
      <c r="I331" s="28"/>
      <c r="J331" s="28"/>
    </row>
    <row r="332" spans="2:10" x14ac:dyDescent="0.25">
      <c r="B332" s="21"/>
      <c r="G332" s="22"/>
      <c r="H332" s="22"/>
      <c r="I332" s="28"/>
      <c r="J332" s="28"/>
    </row>
    <row r="333" spans="2:10" x14ac:dyDescent="0.25">
      <c r="B333" s="21"/>
      <c r="G333" s="22"/>
      <c r="H333" s="22"/>
      <c r="I333" s="28"/>
      <c r="J333" s="28"/>
    </row>
    <row r="334" spans="2:10" x14ac:dyDescent="0.25">
      <c r="B334" s="21"/>
      <c r="G334" s="22"/>
      <c r="H334" s="22"/>
      <c r="I334" s="28"/>
      <c r="J334" s="28"/>
    </row>
    <row r="335" spans="2:10" x14ac:dyDescent="0.25">
      <c r="B335" s="21"/>
      <c r="G335" s="22"/>
      <c r="H335" s="22"/>
      <c r="I335" s="28"/>
      <c r="J335" s="28"/>
    </row>
    <row r="336" spans="2:10" x14ac:dyDescent="0.25">
      <c r="B336" s="21"/>
      <c r="G336" s="22"/>
      <c r="H336" s="22"/>
      <c r="I336" s="28"/>
      <c r="J336" s="28"/>
    </row>
    <row r="337" spans="2:10" x14ac:dyDescent="0.25">
      <c r="B337" s="21"/>
      <c r="G337" s="22"/>
      <c r="H337" s="22"/>
      <c r="I337" s="28"/>
      <c r="J337" s="28"/>
    </row>
    <row r="338" spans="2:10" x14ac:dyDescent="0.25">
      <c r="B338" s="21"/>
      <c r="G338" s="22"/>
      <c r="H338" s="22"/>
      <c r="I338" s="28"/>
      <c r="J338" s="28"/>
    </row>
    <row r="339" spans="2:10" x14ac:dyDescent="0.25">
      <c r="B339" s="21"/>
      <c r="G339" s="22"/>
      <c r="H339" s="22"/>
      <c r="I339" s="28"/>
      <c r="J339" s="28"/>
    </row>
    <row r="340" spans="2:10" x14ac:dyDescent="0.25">
      <c r="B340" s="21"/>
      <c r="G340" s="22"/>
      <c r="H340" s="22"/>
      <c r="I340" s="28"/>
      <c r="J340" s="28"/>
    </row>
    <row r="341" spans="2:10" x14ac:dyDescent="0.25">
      <c r="B341" s="21"/>
      <c r="G341" s="22"/>
      <c r="H341" s="22"/>
      <c r="I341" s="28"/>
      <c r="J341" s="28"/>
    </row>
    <row r="342" spans="2:10" x14ac:dyDescent="0.25">
      <c r="B342" s="21"/>
      <c r="G342" s="22"/>
      <c r="H342" s="22"/>
      <c r="I342" s="28"/>
      <c r="J342" s="28"/>
    </row>
    <row r="343" spans="2:10" x14ac:dyDescent="0.25">
      <c r="B343" s="21"/>
      <c r="G343" s="22"/>
      <c r="H343" s="22"/>
      <c r="I343" s="28"/>
      <c r="J343" s="28"/>
    </row>
    <row r="344" spans="2:10" x14ac:dyDescent="0.25">
      <c r="B344" s="21"/>
      <c r="G344" s="22"/>
      <c r="H344" s="22"/>
      <c r="I344" s="28"/>
      <c r="J344" s="28"/>
    </row>
    <row r="345" spans="2:10" x14ac:dyDescent="0.25">
      <c r="B345" s="21"/>
      <c r="G345" s="22"/>
      <c r="H345" s="22"/>
      <c r="I345" s="28"/>
      <c r="J345" s="28"/>
    </row>
    <row r="346" spans="2:10" x14ac:dyDescent="0.25">
      <c r="B346" s="21"/>
      <c r="G346" s="22"/>
      <c r="H346" s="22"/>
      <c r="I346" s="28"/>
      <c r="J346" s="28"/>
    </row>
    <row r="347" spans="2:10" x14ac:dyDescent="0.25">
      <c r="B347" s="21"/>
      <c r="G347" s="22"/>
      <c r="H347" s="22"/>
      <c r="I347" s="28"/>
      <c r="J347" s="28"/>
    </row>
    <row r="348" spans="2:10" x14ac:dyDescent="0.25">
      <c r="B348" s="21"/>
      <c r="G348" s="22"/>
      <c r="H348" s="22"/>
      <c r="I348" s="28"/>
      <c r="J348" s="28"/>
    </row>
    <row r="349" spans="2:10" x14ac:dyDescent="0.25">
      <c r="B349" s="21"/>
      <c r="G349" s="22"/>
      <c r="H349" s="22"/>
      <c r="I349" s="28"/>
      <c r="J349" s="28"/>
    </row>
    <row r="350" spans="2:10" x14ac:dyDescent="0.25">
      <c r="B350" s="21"/>
      <c r="G350" s="22"/>
      <c r="H350" s="22"/>
      <c r="I350" s="28"/>
      <c r="J350" s="28"/>
    </row>
    <row r="351" spans="2:10" x14ac:dyDescent="0.25">
      <c r="B351" s="21"/>
      <c r="G351" s="22"/>
      <c r="H351" s="22"/>
      <c r="I351" s="28"/>
      <c r="J351" s="28"/>
    </row>
    <row r="352" spans="2:10" x14ac:dyDescent="0.25">
      <c r="B352" s="21"/>
      <c r="G352" s="22"/>
      <c r="H352" s="22"/>
      <c r="I352" s="28"/>
      <c r="J352" s="28"/>
    </row>
    <row r="353" spans="2:10" x14ac:dyDescent="0.25">
      <c r="B353" s="21"/>
      <c r="G353" s="22"/>
      <c r="H353" s="22"/>
      <c r="I353" s="28"/>
      <c r="J353" s="28"/>
    </row>
    <row r="354" spans="2:10" x14ac:dyDescent="0.25">
      <c r="B354" s="21"/>
      <c r="G354" s="22"/>
      <c r="H354" s="22"/>
      <c r="I354" s="28"/>
      <c r="J354" s="28"/>
    </row>
    <row r="355" spans="2:10" x14ac:dyDescent="0.25">
      <c r="B355" s="21"/>
      <c r="G355" s="22"/>
      <c r="H355" s="22"/>
      <c r="I355" s="28"/>
      <c r="J355" s="28"/>
    </row>
    <row r="356" spans="2:10" x14ac:dyDescent="0.25">
      <c r="B356" s="21"/>
      <c r="G356" s="22"/>
      <c r="H356" s="22"/>
      <c r="I356" s="28"/>
      <c r="J356" s="28"/>
    </row>
    <row r="357" spans="2:10" x14ac:dyDescent="0.25">
      <c r="B357" s="21"/>
      <c r="G357" s="22"/>
      <c r="H357" s="22"/>
      <c r="I357" s="28"/>
      <c r="J357" s="28"/>
    </row>
    <row r="358" spans="2:10" x14ac:dyDescent="0.25">
      <c r="B358" s="21"/>
      <c r="G358" s="22"/>
      <c r="H358" s="22"/>
      <c r="I358" s="28"/>
      <c r="J358" s="28"/>
    </row>
    <row r="359" spans="2:10" x14ac:dyDescent="0.25">
      <c r="B359" s="21"/>
      <c r="G359" s="22"/>
      <c r="H359" s="22"/>
      <c r="I359" s="28"/>
      <c r="J359" s="28"/>
    </row>
    <row r="360" spans="2:10" x14ac:dyDescent="0.25">
      <c r="B360" s="21"/>
      <c r="G360" s="22"/>
      <c r="H360" s="22"/>
      <c r="I360" s="28"/>
      <c r="J360" s="28"/>
    </row>
    <row r="361" spans="2:10" x14ac:dyDescent="0.25">
      <c r="B361" s="21"/>
      <c r="G361" s="22"/>
      <c r="H361" s="22"/>
      <c r="I361" s="28"/>
      <c r="J361" s="28"/>
    </row>
    <row r="362" spans="2:10" x14ac:dyDescent="0.25">
      <c r="B362" s="21"/>
      <c r="G362" s="22"/>
      <c r="H362" s="22"/>
      <c r="I362" s="28"/>
      <c r="J362" s="28"/>
    </row>
    <row r="363" spans="2:10" x14ac:dyDescent="0.25">
      <c r="B363" s="21"/>
      <c r="G363" s="22"/>
      <c r="H363" s="22"/>
      <c r="I363" s="28"/>
      <c r="J363" s="28"/>
    </row>
    <row r="364" spans="2:10" x14ac:dyDescent="0.25">
      <c r="B364" s="21"/>
      <c r="G364" s="22"/>
      <c r="H364" s="22"/>
      <c r="I364" s="28"/>
      <c r="J364" s="28"/>
    </row>
    <row r="365" spans="2:10" x14ac:dyDescent="0.25">
      <c r="B365" s="21"/>
      <c r="G365" s="22"/>
      <c r="H365" s="22"/>
      <c r="I365" s="28"/>
      <c r="J365" s="28"/>
    </row>
    <row r="366" spans="2:10" x14ac:dyDescent="0.25">
      <c r="B366" s="21"/>
      <c r="G366" s="22"/>
      <c r="H366" s="22"/>
      <c r="I366" s="28"/>
      <c r="J366" s="28"/>
    </row>
    <row r="367" spans="2:10" x14ac:dyDescent="0.25">
      <c r="B367" s="21"/>
      <c r="G367" s="22"/>
      <c r="H367" s="22"/>
      <c r="I367" s="28"/>
      <c r="J367" s="28"/>
    </row>
    <row r="368" spans="2:10" x14ac:dyDescent="0.25">
      <c r="B368" s="21"/>
      <c r="G368" s="22"/>
      <c r="H368" s="22"/>
      <c r="I368" s="28"/>
      <c r="J368" s="28"/>
    </row>
    <row r="369" spans="2:10" x14ac:dyDescent="0.25">
      <c r="B369" s="21"/>
      <c r="G369" s="22"/>
      <c r="H369" s="22"/>
      <c r="I369" s="28"/>
      <c r="J369" s="28"/>
    </row>
    <row r="370" spans="2:10" x14ac:dyDescent="0.25">
      <c r="B370" s="21"/>
      <c r="G370" s="22"/>
      <c r="H370" s="22"/>
      <c r="I370" s="28"/>
      <c r="J370" s="28"/>
    </row>
    <row r="371" spans="2:10" x14ac:dyDescent="0.25">
      <c r="B371" s="21"/>
      <c r="G371" s="22"/>
      <c r="H371" s="22"/>
      <c r="I371" s="28"/>
      <c r="J371" s="28"/>
    </row>
    <row r="372" spans="2:10" x14ac:dyDescent="0.25">
      <c r="B372" s="21"/>
      <c r="G372" s="22"/>
      <c r="H372" s="22"/>
      <c r="I372" s="28"/>
      <c r="J372" s="28"/>
    </row>
    <row r="373" spans="2:10" x14ac:dyDescent="0.25">
      <c r="B373" s="21"/>
      <c r="G373" s="22"/>
      <c r="H373" s="22"/>
      <c r="I373" s="28"/>
      <c r="J373" s="28"/>
    </row>
    <row r="374" spans="2:10" x14ac:dyDescent="0.25">
      <c r="B374" s="21"/>
      <c r="G374" s="22"/>
      <c r="H374" s="22"/>
      <c r="I374" s="28"/>
      <c r="J374" s="28"/>
    </row>
    <row r="375" spans="2:10" x14ac:dyDescent="0.25">
      <c r="B375" s="21"/>
      <c r="G375" s="22"/>
      <c r="H375" s="22"/>
      <c r="I375" s="28"/>
      <c r="J375" s="28"/>
    </row>
    <row r="376" spans="2:10" x14ac:dyDescent="0.25">
      <c r="B376" s="21"/>
      <c r="G376" s="22"/>
      <c r="H376" s="22"/>
      <c r="I376" s="28"/>
      <c r="J376" s="28"/>
    </row>
    <row r="377" spans="2:10" x14ac:dyDescent="0.25">
      <c r="B377" s="21"/>
      <c r="G377" s="22"/>
      <c r="H377" s="22"/>
      <c r="I377" s="28"/>
      <c r="J377" s="28"/>
    </row>
    <row r="378" spans="2:10" x14ac:dyDescent="0.25">
      <c r="B378" s="21"/>
      <c r="G378" s="22"/>
      <c r="H378" s="22"/>
      <c r="I378" s="28"/>
      <c r="J378" s="28"/>
    </row>
    <row r="379" spans="2:10" x14ac:dyDescent="0.25">
      <c r="B379" s="21"/>
      <c r="G379" s="22"/>
      <c r="H379" s="22"/>
      <c r="I379" s="28"/>
      <c r="J379" s="28"/>
    </row>
    <row r="380" spans="2:10" x14ac:dyDescent="0.25">
      <c r="B380" s="21"/>
      <c r="G380" s="22"/>
      <c r="H380" s="22"/>
      <c r="I380" s="28"/>
      <c r="J380" s="28"/>
    </row>
    <row r="381" spans="2:10" x14ac:dyDescent="0.25">
      <c r="B381" s="21"/>
      <c r="G381" s="22"/>
      <c r="H381" s="22"/>
      <c r="I381" s="28"/>
      <c r="J381" s="28"/>
    </row>
    <row r="382" spans="2:10" x14ac:dyDescent="0.25">
      <c r="B382" s="21"/>
      <c r="G382" s="22"/>
      <c r="H382" s="22"/>
      <c r="I382" s="28"/>
      <c r="J382" s="28"/>
    </row>
    <row r="383" spans="2:10" x14ac:dyDescent="0.25">
      <c r="B383" s="21"/>
      <c r="G383" s="22"/>
      <c r="H383" s="22"/>
      <c r="I383" s="28"/>
      <c r="J383" s="28"/>
    </row>
    <row r="384" spans="2:10" x14ac:dyDescent="0.25">
      <c r="B384" s="21"/>
      <c r="G384" s="22"/>
      <c r="H384" s="22"/>
      <c r="I384" s="28"/>
      <c r="J384" s="28"/>
    </row>
    <row r="385" spans="2:10" x14ac:dyDescent="0.25">
      <c r="B385" s="21"/>
      <c r="G385" s="22"/>
      <c r="H385" s="22"/>
      <c r="I385" s="28"/>
      <c r="J385" s="28"/>
    </row>
    <row r="386" spans="2:10" x14ac:dyDescent="0.25">
      <c r="B386" s="21"/>
      <c r="G386" s="22"/>
      <c r="H386" s="22"/>
      <c r="I386" s="28"/>
      <c r="J386" s="28"/>
    </row>
    <row r="387" spans="2:10" x14ac:dyDescent="0.25">
      <c r="B387" s="21"/>
      <c r="G387" s="22"/>
      <c r="H387" s="22"/>
      <c r="I387" s="28"/>
      <c r="J387" s="28"/>
    </row>
    <row r="388" spans="2:10" x14ac:dyDescent="0.25">
      <c r="B388" s="21"/>
      <c r="G388" s="22"/>
      <c r="H388" s="22"/>
      <c r="I388" s="28"/>
      <c r="J388" s="28"/>
    </row>
    <row r="389" spans="2:10" x14ac:dyDescent="0.25">
      <c r="B389" s="21"/>
      <c r="G389" s="22"/>
      <c r="H389" s="22"/>
      <c r="I389" s="28"/>
      <c r="J389" s="28"/>
    </row>
    <row r="390" spans="2:10" x14ac:dyDescent="0.25">
      <c r="B390" s="21"/>
      <c r="G390" s="22"/>
      <c r="H390" s="22"/>
      <c r="I390" s="28"/>
      <c r="J390" s="28"/>
    </row>
    <row r="391" spans="2:10" x14ac:dyDescent="0.25">
      <c r="B391" s="21"/>
      <c r="G391" s="22"/>
      <c r="H391" s="22"/>
      <c r="I391" s="28"/>
      <c r="J391" s="28"/>
    </row>
    <row r="392" spans="2:10" x14ac:dyDescent="0.25">
      <c r="B392" s="21"/>
      <c r="G392" s="22"/>
      <c r="H392" s="22"/>
      <c r="I392" s="28"/>
      <c r="J392" s="28"/>
    </row>
    <row r="393" spans="2:10" x14ac:dyDescent="0.25">
      <c r="B393" s="21"/>
      <c r="G393" s="22"/>
      <c r="H393" s="22"/>
      <c r="I393" s="28"/>
      <c r="J393" s="28"/>
    </row>
    <row r="394" spans="2:10" x14ac:dyDescent="0.25">
      <c r="B394" s="21"/>
      <c r="G394" s="22"/>
      <c r="H394" s="22"/>
      <c r="I394" s="28"/>
      <c r="J394" s="28"/>
    </row>
    <row r="395" spans="2:10" x14ac:dyDescent="0.25">
      <c r="B395" s="21"/>
      <c r="G395" s="22"/>
      <c r="H395" s="22"/>
      <c r="I395" s="28"/>
      <c r="J395" s="28"/>
    </row>
    <row r="396" spans="2:10" x14ac:dyDescent="0.25">
      <c r="B396" s="21"/>
      <c r="G396" s="22"/>
      <c r="H396" s="22"/>
      <c r="I396" s="28"/>
      <c r="J396" s="28"/>
    </row>
    <row r="397" spans="2:10" x14ac:dyDescent="0.25">
      <c r="B397" s="21"/>
      <c r="G397" s="22"/>
      <c r="H397" s="22"/>
      <c r="I397" s="28"/>
      <c r="J397" s="28"/>
    </row>
    <row r="398" spans="2:10" x14ac:dyDescent="0.25">
      <c r="B398" s="21"/>
      <c r="G398" s="22"/>
      <c r="H398" s="22"/>
      <c r="I398" s="28"/>
      <c r="J398" s="28"/>
    </row>
    <row r="399" spans="2:10" x14ac:dyDescent="0.25">
      <c r="B399" s="21"/>
      <c r="G399" s="22"/>
      <c r="H399" s="22"/>
      <c r="I399" s="28"/>
      <c r="J399" s="28"/>
    </row>
    <row r="400" spans="2:10" x14ac:dyDescent="0.25">
      <c r="B400" s="21"/>
      <c r="G400" s="22"/>
      <c r="H400" s="22"/>
      <c r="I400" s="28"/>
      <c r="J400" s="28"/>
    </row>
    <row r="401" spans="2:10" x14ac:dyDescent="0.25">
      <c r="B401" s="21"/>
      <c r="G401" s="22"/>
      <c r="H401" s="22"/>
      <c r="I401" s="28"/>
      <c r="J401" s="28"/>
    </row>
    <row r="402" spans="2:10" x14ac:dyDescent="0.25">
      <c r="B402" s="21"/>
      <c r="G402" s="22"/>
      <c r="H402" s="22"/>
      <c r="I402" s="28"/>
      <c r="J402" s="28"/>
    </row>
    <row r="403" spans="2:10" x14ac:dyDescent="0.25">
      <c r="B403" s="21"/>
      <c r="G403" s="22"/>
      <c r="H403" s="22"/>
      <c r="I403" s="28"/>
      <c r="J403" s="28"/>
    </row>
    <row r="404" spans="2:10" x14ac:dyDescent="0.25">
      <c r="B404" s="21"/>
      <c r="G404" s="22"/>
      <c r="H404" s="22"/>
      <c r="I404" s="28"/>
      <c r="J404" s="28"/>
    </row>
    <row r="405" spans="2:10" x14ac:dyDescent="0.25">
      <c r="B405" s="21"/>
      <c r="G405" s="22"/>
      <c r="H405" s="22"/>
      <c r="I405" s="28"/>
      <c r="J405" s="28"/>
    </row>
    <row r="406" spans="2:10" x14ac:dyDescent="0.25">
      <c r="B406" s="21"/>
      <c r="G406" s="22"/>
      <c r="H406" s="22"/>
      <c r="I406" s="28"/>
      <c r="J406" s="28"/>
    </row>
    <row r="407" spans="2:10" x14ac:dyDescent="0.25">
      <c r="B407" s="21"/>
      <c r="G407" s="22"/>
      <c r="H407" s="22"/>
      <c r="I407" s="28"/>
      <c r="J407" s="28"/>
    </row>
    <row r="408" spans="2:10" x14ac:dyDescent="0.25">
      <c r="B408" s="21"/>
      <c r="G408" s="22"/>
      <c r="H408" s="22"/>
      <c r="I408" s="28"/>
      <c r="J408" s="28"/>
    </row>
    <row r="409" spans="2:10" x14ac:dyDescent="0.25">
      <c r="B409" s="21"/>
      <c r="G409" s="22"/>
      <c r="H409" s="22"/>
      <c r="I409" s="28"/>
      <c r="J409" s="28"/>
    </row>
    <row r="410" spans="2:10" x14ac:dyDescent="0.25">
      <c r="B410" s="21"/>
      <c r="G410" s="22"/>
      <c r="H410" s="22"/>
      <c r="I410" s="28"/>
      <c r="J410" s="28"/>
    </row>
    <row r="411" spans="2:10" x14ac:dyDescent="0.25">
      <c r="B411" s="21"/>
      <c r="G411" s="22"/>
      <c r="H411" s="22"/>
      <c r="I411" s="28"/>
      <c r="J411" s="28"/>
    </row>
    <row r="412" spans="2:10" x14ac:dyDescent="0.25">
      <c r="B412" s="21"/>
      <c r="G412" s="22"/>
      <c r="H412" s="22"/>
      <c r="I412" s="28"/>
      <c r="J412" s="28"/>
    </row>
    <row r="413" spans="2:10" x14ac:dyDescent="0.25">
      <c r="B413" s="21"/>
      <c r="G413" s="22"/>
      <c r="H413" s="22"/>
      <c r="I413" s="28"/>
      <c r="J413" s="28"/>
    </row>
    <row r="414" spans="2:10" x14ac:dyDescent="0.25">
      <c r="B414" s="21"/>
      <c r="G414" s="22"/>
      <c r="H414" s="22"/>
      <c r="I414" s="28"/>
      <c r="J414" s="28"/>
    </row>
    <row r="415" spans="2:10" x14ac:dyDescent="0.25">
      <c r="B415" s="21"/>
      <c r="G415" s="22"/>
      <c r="H415" s="22"/>
      <c r="I415" s="28"/>
      <c r="J415" s="28"/>
    </row>
    <row r="416" spans="2:10" x14ac:dyDescent="0.25">
      <c r="B416" s="21"/>
      <c r="G416" s="22"/>
      <c r="H416" s="22"/>
      <c r="I416" s="28"/>
      <c r="J416" s="28"/>
    </row>
    <row r="417" spans="2:10" x14ac:dyDescent="0.25">
      <c r="B417" s="21"/>
      <c r="G417" s="22"/>
      <c r="H417" s="22"/>
      <c r="I417" s="28"/>
      <c r="J417" s="28"/>
    </row>
    <row r="418" spans="2:10" x14ac:dyDescent="0.25">
      <c r="B418" s="21"/>
      <c r="G418" s="22"/>
      <c r="H418" s="22"/>
      <c r="I418" s="28"/>
      <c r="J418" s="28"/>
    </row>
    <row r="419" spans="2:10" x14ac:dyDescent="0.25">
      <c r="B419" s="21"/>
      <c r="G419" s="22"/>
      <c r="H419" s="22"/>
      <c r="I419" s="28"/>
      <c r="J419" s="28"/>
    </row>
    <row r="420" spans="2:10" x14ac:dyDescent="0.25">
      <c r="B420" s="21"/>
      <c r="G420" s="22"/>
      <c r="H420" s="22"/>
      <c r="I420" s="28"/>
      <c r="J420" s="28"/>
    </row>
    <row r="421" spans="2:10" x14ac:dyDescent="0.25">
      <c r="B421" s="21"/>
      <c r="G421" s="22"/>
      <c r="H421" s="22"/>
      <c r="I421" s="28"/>
      <c r="J421" s="28"/>
    </row>
    <row r="422" spans="2:10" x14ac:dyDescent="0.25">
      <c r="B422" s="21"/>
      <c r="G422" s="22"/>
      <c r="H422" s="22"/>
      <c r="I422" s="28"/>
      <c r="J422" s="28"/>
    </row>
    <row r="423" spans="2:10" x14ac:dyDescent="0.25">
      <c r="B423" s="21"/>
      <c r="G423" s="22"/>
      <c r="H423" s="22"/>
      <c r="I423" s="28"/>
      <c r="J423" s="28"/>
    </row>
    <row r="424" spans="2:10" x14ac:dyDescent="0.25">
      <c r="B424" s="21"/>
      <c r="G424" s="22"/>
      <c r="H424" s="22"/>
      <c r="I424" s="28"/>
      <c r="J424" s="28"/>
    </row>
    <row r="425" spans="2:10" x14ac:dyDescent="0.25">
      <c r="B425" s="21"/>
      <c r="G425" s="22"/>
      <c r="H425" s="22"/>
      <c r="I425" s="28"/>
      <c r="J425" s="28"/>
    </row>
    <row r="426" spans="2:10" x14ac:dyDescent="0.25">
      <c r="B426" s="21"/>
      <c r="G426" s="22"/>
      <c r="H426" s="22"/>
      <c r="I426" s="28"/>
      <c r="J426" s="28"/>
    </row>
    <row r="427" spans="2:10" x14ac:dyDescent="0.25">
      <c r="B427" s="21"/>
      <c r="G427" s="22"/>
      <c r="H427" s="22"/>
      <c r="I427" s="28"/>
      <c r="J427" s="28"/>
    </row>
    <row r="428" spans="2:10" x14ac:dyDescent="0.25">
      <c r="B428" s="21"/>
      <c r="G428" s="22"/>
      <c r="H428" s="22"/>
      <c r="I428" s="28"/>
      <c r="J428" s="28"/>
    </row>
    <row r="429" spans="2:10" x14ac:dyDescent="0.25">
      <c r="B429" s="21"/>
      <c r="G429" s="22"/>
      <c r="H429" s="22"/>
      <c r="I429" s="28"/>
      <c r="J429" s="28"/>
    </row>
    <row r="430" spans="2:10" x14ac:dyDescent="0.25">
      <c r="B430" s="21"/>
      <c r="G430" s="22"/>
      <c r="H430" s="22"/>
      <c r="I430" s="28"/>
      <c r="J430" s="28"/>
    </row>
    <row r="431" spans="2:10" x14ac:dyDescent="0.25">
      <c r="B431" s="21"/>
      <c r="G431" s="22"/>
      <c r="H431" s="22"/>
      <c r="I431" s="28"/>
      <c r="J431" s="28"/>
    </row>
    <row r="432" spans="2:10" x14ac:dyDescent="0.25">
      <c r="B432" s="21"/>
      <c r="G432" s="22"/>
      <c r="H432" s="22"/>
      <c r="I432" s="28"/>
      <c r="J432" s="28"/>
    </row>
    <row r="433" spans="2:10" x14ac:dyDescent="0.25">
      <c r="B433" s="21"/>
      <c r="G433" s="22"/>
      <c r="H433" s="22"/>
      <c r="I433" s="28"/>
      <c r="J433" s="28"/>
    </row>
    <row r="434" spans="2:10" x14ac:dyDescent="0.25">
      <c r="B434" s="21"/>
      <c r="G434" s="22"/>
      <c r="H434" s="22"/>
      <c r="I434" s="28"/>
      <c r="J434" s="28"/>
    </row>
    <row r="435" spans="2:10" x14ac:dyDescent="0.25">
      <c r="B435" s="21"/>
      <c r="G435" s="22"/>
      <c r="H435" s="22"/>
      <c r="I435" s="28"/>
      <c r="J435" s="28"/>
    </row>
    <row r="436" spans="2:10" x14ac:dyDescent="0.25">
      <c r="B436" s="21"/>
      <c r="G436" s="22"/>
      <c r="H436" s="22"/>
      <c r="I436" s="28"/>
      <c r="J436" s="28"/>
    </row>
    <row r="437" spans="2:10" x14ac:dyDescent="0.25">
      <c r="B437" s="21"/>
      <c r="G437" s="22"/>
      <c r="H437" s="22"/>
      <c r="I437" s="28"/>
      <c r="J437" s="28"/>
    </row>
    <row r="438" spans="2:10" x14ac:dyDescent="0.25">
      <c r="B438" s="21"/>
      <c r="G438" s="22"/>
      <c r="H438" s="22"/>
      <c r="I438" s="28"/>
      <c r="J438" s="28"/>
    </row>
    <row r="439" spans="2:10" x14ac:dyDescent="0.25">
      <c r="B439" s="21"/>
      <c r="G439" s="22"/>
      <c r="H439" s="22"/>
      <c r="I439" s="28"/>
      <c r="J439" s="28"/>
    </row>
    <row r="440" spans="2:10" x14ac:dyDescent="0.25">
      <c r="B440" s="21"/>
      <c r="G440" s="22"/>
      <c r="H440" s="22"/>
      <c r="I440" s="28"/>
      <c r="J440" s="28"/>
    </row>
    <row r="441" spans="2:10" x14ac:dyDescent="0.25">
      <c r="B441" s="21"/>
      <c r="G441" s="22"/>
      <c r="H441" s="22"/>
      <c r="I441" s="28"/>
      <c r="J441" s="28"/>
    </row>
    <row r="442" spans="2:10" x14ac:dyDescent="0.25">
      <c r="B442" s="21"/>
      <c r="G442" s="22"/>
      <c r="H442" s="22"/>
      <c r="I442" s="28"/>
      <c r="J442" s="28"/>
    </row>
    <row r="443" spans="2:10" x14ac:dyDescent="0.25">
      <c r="B443" s="21"/>
      <c r="G443" s="22"/>
      <c r="H443" s="22"/>
      <c r="I443" s="28"/>
      <c r="J443" s="28"/>
    </row>
    <row r="444" spans="2:10" x14ac:dyDescent="0.25">
      <c r="B444" s="21"/>
      <c r="G444" s="22"/>
      <c r="H444" s="22"/>
      <c r="I444" s="28"/>
      <c r="J444" s="28"/>
    </row>
    <row r="445" spans="2:10" x14ac:dyDescent="0.25">
      <c r="B445" s="21"/>
      <c r="G445" s="22"/>
      <c r="H445" s="22"/>
      <c r="I445" s="28"/>
      <c r="J445" s="28"/>
    </row>
    <row r="446" spans="2:10" x14ac:dyDescent="0.25">
      <c r="B446" s="21"/>
      <c r="G446" s="22"/>
      <c r="H446" s="22"/>
      <c r="I446" s="28"/>
      <c r="J446" s="28"/>
    </row>
    <row r="447" spans="2:10" x14ac:dyDescent="0.25">
      <c r="B447" s="21"/>
      <c r="G447" s="22"/>
      <c r="H447" s="22"/>
      <c r="I447" s="28"/>
      <c r="J447" s="28"/>
    </row>
    <row r="448" spans="2:10" x14ac:dyDescent="0.25">
      <c r="B448" s="21"/>
      <c r="G448" s="22"/>
      <c r="H448" s="22"/>
      <c r="I448" s="28"/>
      <c r="J448" s="28"/>
    </row>
    <row r="449" spans="2:10" x14ac:dyDescent="0.25">
      <c r="B449" s="21"/>
      <c r="G449" s="22"/>
      <c r="H449" s="22"/>
      <c r="I449" s="28"/>
      <c r="J449" s="28"/>
    </row>
    <row r="450" spans="2:10" x14ac:dyDescent="0.25">
      <c r="B450" s="21"/>
      <c r="G450" s="22"/>
      <c r="H450" s="22"/>
      <c r="I450" s="28"/>
      <c r="J450" s="28"/>
    </row>
    <row r="451" spans="2:10" x14ac:dyDescent="0.25">
      <c r="B451" s="21"/>
      <c r="G451" s="22"/>
      <c r="H451" s="22"/>
      <c r="I451" s="28"/>
      <c r="J451" s="28"/>
    </row>
    <row r="452" spans="2:10" x14ac:dyDescent="0.25">
      <c r="B452" s="21"/>
      <c r="G452" s="22"/>
      <c r="H452" s="22"/>
      <c r="I452" s="28"/>
      <c r="J452" s="28"/>
    </row>
    <row r="453" spans="2:10" x14ac:dyDescent="0.25">
      <c r="B453" s="21"/>
      <c r="G453" s="22"/>
      <c r="H453" s="22"/>
      <c r="I453" s="28"/>
      <c r="J453" s="28"/>
    </row>
    <row r="454" spans="2:10" x14ac:dyDescent="0.25">
      <c r="B454" s="21"/>
      <c r="G454" s="22"/>
      <c r="H454" s="22"/>
      <c r="I454" s="28"/>
      <c r="J454" s="28"/>
    </row>
    <row r="455" spans="2:10" x14ac:dyDescent="0.25">
      <c r="B455" s="21"/>
      <c r="G455" s="22"/>
      <c r="H455" s="22"/>
      <c r="I455" s="28"/>
      <c r="J455" s="28"/>
    </row>
    <row r="456" spans="2:10" x14ac:dyDescent="0.25">
      <c r="B456" s="21"/>
      <c r="G456" s="22"/>
      <c r="H456" s="22"/>
      <c r="I456" s="28"/>
      <c r="J456" s="28"/>
    </row>
    <row r="457" spans="2:10" x14ac:dyDescent="0.25">
      <c r="B457" s="21"/>
      <c r="G457" s="22"/>
      <c r="H457" s="22"/>
      <c r="I457" s="28"/>
      <c r="J457" s="28"/>
    </row>
    <row r="458" spans="2:10" x14ac:dyDescent="0.25">
      <c r="B458" s="21"/>
      <c r="G458" s="22"/>
      <c r="H458" s="22"/>
      <c r="I458" s="28"/>
      <c r="J458" s="28"/>
    </row>
    <row r="459" spans="2:10" x14ac:dyDescent="0.25">
      <c r="B459" s="21"/>
      <c r="G459" s="22"/>
      <c r="H459" s="22"/>
      <c r="I459" s="28"/>
      <c r="J459" s="28"/>
    </row>
    <row r="460" spans="2:10" x14ac:dyDescent="0.25">
      <c r="B460" s="21"/>
      <c r="G460" s="22"/>
      <c r="H460" s="22"/>
      <c r="I460" s="28"/>
      <c r="J460" s="28"/>
    </row>
    <row r="461" spans="2:10" x14ac:dyDescent="0.25">
      <c r="B461" s="21"/>
      <c r="G461" s="22"/>
      <c r="H461" s="22"/>
      <c r="I461" s="28"/>
      <c r="J461" s="28"/>
    </row>
    <row r="462" spans="2:10" x14ac:dyDescent="0.25">
      <c r="B462" s="21"/>
      <c r="G462" s="22"/>
      <c r="H462" s="22"/>
      <c r="I462" s="28"/>
      <c r="J462" s="28"/>
    </row>
    <row r="463" spans="2:10" x14ac:dyDescent="0.25">
      <c r="B463" s="21"/>
      <c r="G463" s="22"/>
      <c r="H463" s="22"/>
      <c r="I463" s="28"/>
      <c r="J463" s="28"/>
    </row>
    <row r="464" spans="2:10" x14ac:dyDescent="0.25">
      <c r="B464" s="21"/>
      <c r="G464" s="22"/>
      <c r="H464" s="22"/>
      <c r="I464" s="28"/>
      <c r="J464" s="28"/>
    </row>
    <row r="465" spans="2:10" x14ac:dyDescent="0.25">
      <c r="B465" s="21"/>
      <c r="G465" s="22"/>
      <c r="H465" s="22"/>
      <c r="I465" s="28"/>
      <c r="J465" s="28"/>
    </row>
    <row r="466" spans="2:10" x14ac:dyDescent="0.25">
      <c r="B466" s="21"/>
      <c r="G466" s="22"/>
      <c r="H466" s="22"/>
      <c r="I466" s="28"/>
      <c r="J466" s="28"/>
    </row>
    <row r="467" spans="2:10" x14ac:dyDescent="0.25">
      <c r="B467" s="21"/>
      <c r="G467" s="22"/>
      <c r="H467" s="22"/>
      <c r="I467" s="28"/>
      <c r="J467" s="28"/>
    </row>
    <row r="468" spans="2:10" x14ac:dyDescent="0.25">
      <c r="B468" s="21"/>
      <c r="G468" s="22"/>
      <c r="H468" s="22"/>
      <c r="I468" s="28"/>
      <c r="J468" s="28"/>
    </row>
    <row r="469" spans="2:10" x14ac:dyDescent="0.25">
      <c r="B469" s="21"/>
      <c r="G469" s="22"/>
      <c r="H469" s="22"/>
      <c r="I469" s="28"/>
      <c r="J469" s="28"/>
    </row>
    <row r="470" spans="2:10" x14ac:dyDescent="0.25">
      <c r="B470" s="21"/>
      <c r="G470" s="22"/>
      <c r="H470" s="22"/>
      <c r="I470" s="28"/>
      <c r="J470" s="28"/>
    </row>
    <row r="471" spans="2:10" x14ac:dyDescent="0.25">
      <c r="B471" s="21"/>
      <c r="G471" s="22"/>
      <c r="H471" s="22"/>
      <c r="I471" s="28"/>
      <c r="J471" s="28"/>
    </row>
    <row r="472" spans="2:10" x14ac:dyDescent="0.25">
      <c r="B472" s="21"/>
      <c r="G472" s="22"/>
      <c r="H472" s="22"/>
      <c r="I472" s="28"/>
      <c r="J472" s="28"/>
    </row>
    <row r="473" spans="2:10" x14ac:dyDescent="0.25">
      <c r="B473" s="21"/>
      <c r="G473" s="22"/>
      <c r="H473" s="22"/>
      <c r="I473" s="28"/>
      <c r="J473" s="28"/>
    </row>
    <row r="474" spans="2:10" x14ac:dyDescent="0.25">
      <c r="B474" s="21"/>
      <c r="G474" s="22"/>
      <c r="H474" s="22"/>
      <c r="I474" s="28"/>
      <c r="J474" s="28"/>
    </row>
    <row r="475" spans="2:10" x14ac:dyDescent="0.25">
      <c r="B475" s="21"/>
      <c r="G475" s="22"/>
      <c r="H475" s="22"/>
      <c r="I475" s="28"/>
      <c r="J475" s="28"/>
    </row>
    <row r="476" spans="2:10" x14ac:dyDescent="0.25">
      <c r="B476" s="21"/>
      <c r="G476" s="22"/>
      <c r="H476" s="22"/>
      <c r="I476" s="28"/>
      <c r="J476" s="28"/>
    </row>
    <row r="477" spans="2:10" x14ac:dyDescent="0.25">
      <c r="B477" s="21"/>
      <c r="G477" s="22"/>
      <c r="H477" s="22"/>
      <c r="I477" s="28"/>
      <c r="J477" s="28"/>
    </row>
    <row r="478" spans="2:10" x14ac:dyDescent="0.25">
      <c r="B478" s="21"/>
      <c r="G478" s="22"/>
      <c r="H478" s="22"/>
      <c r="I478" s="28"/>
      <c r="J478" s="28"/>
    </row>
    <row r="479" spans="2:10" x14ac:dyDescent="0.25">
      <c r="B479" s="21"/>
      <c r="G479" s="22"/>
      <c r="H479" s="22"/>
      <c r="I479" s="28"/>
      <c r="J479" s="28"/>
    </row>
    <row r="480" spans="2:10" x14ac:dyDescent="0.25">
      <c r="B480" s="21"/>
      <c r="G480" s="22"/>
      <c r="H480" s="22"/>
      <c r="I480" s="28"/>
      <c r="J480" s="28"/>
    </row>
    <row r="481" spans="2:10" x14ac:dyDescent="0.25">
      <c r="B481" s="21"/>
      <c r="G481" s="22"/>
      <c r="H481" s="22"/>
      <c r="I481" s="28"/>
      <c r="J481" s="28"/>
    </row>
    <row r="482" spans="2:10" x14ac:dyDescent="0.25">
      <c r="B482" s="21"/>
      <c r="G482" s="22"/>
      <c r="H482" s="22"/>
      <c r="I482" s="28"/>
      <c r="J482" s="28"/>
    </row>
    <row r="483" spans="2:10" x14ac:dyDescent="0.25">
      <c r="B483" s="21"/>
      <c r="G483" s="22"/>
      <c r="H483" s="22"/>
      <c r="I483" s="28"/>
      <c r="J483" s="28"/>
    </row>
    <row r="484" spans="2:10" x14ac:dyDescent="0.25">
      <c r="B484" s="21"/>
      <c r="G484" s="22"/>
      <c r="H484" s="22"/>
      <c r="I484" s="28"/>
      <c r="J484" s="28"/>
    </row>
    <row r="485" spans="2:10" x14ac:dyDescent="0.25">
      <c r="B485" s="21"/>
      <c r="G485" s="22"/>
      <c r="H485" s="22"/>
      <c r="I485" s="28"/>
      <c r="J485" s="28"/>
    </row>
    <row r="486" spans="2:10" x14ac:dyDescent="0.25">
      <c r="B486" s="21"/>
      <c r="G486" s="22"/>
      <c r="H486" s="22"/>
      <c r="I486" s="28"/>
      <c r="J486" s="28"/>
    </row>
    <row r="487" spans="2:10" x14ac:dyDescent="0.25">
      <c r="B487" s="21"/>
      <c r="G487" s="22"/>
      <c r="H487" s="22"/>
      <c r="I487" s="28"/>
      <c r="J487" s="28"/>
    </row>
    <row r="488" spans="2:10" x14ac:dyDescent="0.25">
      <c r="B488" s="21"/>
      <c r="G488" s="22"/>
      <c r="H488" s="22"/>
      <c r="I488" s="28"/>
      <c r="J488" s="28"/>
    </row>
    <row r="489" spans="2:10" x14ac:dyDescent="0.25">
      <c r="B489" s="21"/>
      <c r="G489" s="22"/>
      <c r="H489" s="22"/>
      <c r="I489" s="28"/>
      <c r="J489" s="28"/>
    </row>
    <row r="490" spans="2:10" x14ac:dyDescent="0.25">
      <c r="B490" s="21"/>
      <c r="G490" s="22"/>
      <c r="H490" s="22"/>
      <c r="I490" s="28"/>
      <c r="J490" s="28"/>
    </row>
    <row r="491" spans="2:10" x14ac:dyDescent="0.25">
      <c r="B491" s="21"/>
      <c r="G491" s="22"/>
      <c r="H491" s="22"/>
      <c r="I491" s="28"/>
      <c r="J491" s="28"/>
    </row>
    <row r="492" spans="2:10" x14ac:dyDescent="0.25">
      <c r="B492" s="21"/>
      <c r="G492" s="22"/>
      <c r="H492" s="22"/>
      <c r="I492" s="28"/>
      <c r="J492" s="28"/>
    </row>
    <row r="493" spans="2:10" x14ac:dyDescent="0.25">
      <c r="B493" s="21"/>
      <c r="G493" s="22"/>
      <c r="H493" s="22"/>
      <c r="I493" s="28"/>
      <c r="J493" s="28"/>
    </row>
    <row r="494" spans="2:10" x14ac:dyDescent="0.25">
      <c r="B494" s="21"/>
      <c r="G494" s="22"/>
      <c r="H494" s="22"/>
      <c r="I494" s="28"/>
      <c r="J494" s="28"/>
    </row>
    <row r="495" spans="2:10" x14ac:dyDescent="0.25">
      <c r="B495" s="21"/>
      <c r="G495" s="22"/>
      <c r="H495" s="22"/>
      <c r="I495" s="28"/>
      <c r="J495" s="28"/>
    </row>
    <row r="496" spans="2:10" x14ac:dyDescent="0.25">
      <c r="B496" s="21"/>
      <c r="G496" s="22"/>
      <c r="H496" s="22"/>
      <c r="I496" s="28"/>
      <c r="J496" s="28"/>
    </row>
    <row r="497" spans="2:10" x14ac:dyDescent="0.25">
      <c r="B497" s="21"/>
      <c r="G497" s="22"/>
      <c r="H497" s="22"/>
      <c r="I497" s="28"/>
      <c r="J497" s="28"/>
    </row>
    <row r="498" spans="2:10" x14ac:dyDescent="0.25">
      <c r="B498" s="21"/>
      <c r="G498" s="22"/>
      <c r="H498" s="22"/>
      <c r="I498" s="28"/>
      <c r="J498" s="28"/>
    </row>
    <row r="499" spans="2:10" x14ac:dyDescent="0.25">
      <c r="B499" s="21"/>
      <c r="G499" s="22"/>
      <c r="H499" s="22"/>
      <c r="I499" s="28"/>
      <c r="J499" s="28"/>
    </row>
    <row r="500" spans="2:10" x14ac:dyDescent="0.25">
      <c r="B500" s="21"/>
      <c r="G500" s="22"/>
      <c r="H500" s="22"/>
      <c r="I500" s="28"/>
      <c r="J500" s="28"/>
    </row>
    <row r="501" spans="2:10" x14ac:dyDescent="0.25">
      <c r="B501" s="21"/>
      <c r="G501" s="22"/>
      <c r="H501" s="22"/>
      <c r="I501" s="28"/>
      <c r="J501" s="28"/>
    </row>
    <row r="502" spans="2:10" x14ac:dyDescent="0.25">
      <c r="B502" s="21"/>
      <c r="G502" s="22"/>
      <c r="H502" s="22"/>
      <c r="I502" s="28"/>
      <c r="J502" s="28"/>
    </row>
    <row r="503" spans="2:10" x14ac:dyDescent="0.25">
      <c r="B503" s="21"/>
      <c r="G503" s="22"/>
      <c r="H503" s="22"/>
      <c r="I503" s="28"/>
      <c r="J503" s="28"/>
    </row>
    <row r="504" spans="2:10" x14ac:dyDescent="0.25">
      <c r="B504" s="21"/>
      <c r="G504" s="22"/>
      <c r="H504" s="22"/>
      <c r="I504" s="28"/>
      <c r="J504" s="28"/>
    </row>
    <row r="505" spans="2:10" x14ac:dyDescent="0.25">
      <c r="B505" s="21"/>
      <c r="G505" s="22"/>
      <c r="H505" s="22"/>
      <c r="I505" s="28"/>
      <c r="J505" s="28"/>
    </row>
    <row r="506" spans="2:10" x14ac:dyDescent="0.25">
      <c r="B506" s="21"/>
      <c r="G506" s="22"/>
      <c r="H506" s="22"/>
      <c r="I506" s="28"/>
      <c r="J506" s="28"/>
    </row>
    <row r="507" spans="2:10" x14ac:dyDescent="0.25">
      <c r="B507" s="21"/>
      <c r="G507" s="22"/>
      <c r="H507" s="22"/>
      <c r="I507" s="28"/>
      <c r="J507" s="28"/>
    </row>
    <row r="508" spans="2:10" x14ac:dyDescent="0.25">
      <c r="B508" s="21"/>
      <c r="G508" s="22"/>
      <c r="H508" s="22"/>
      <c r="I508" s="28"/>
      <c r="J508" s="28"/>
    </row>
    <row r="509" spans="2:10" x14ac:dyDescent="0.25">
      <c r="B509" s="21"/>
      <c r="G509" s="22"/>
      <c r="H509" s="22"/>
      <c r="I509" s="28"/>
      <c r="J509" s="28"/>
    </row>
    <row r="510" spans="2:10" x14ac:dyDescent="0.25">
      <c r="B510" s="21"/>
      <c r="G510" s="22"/>
      <c r="H510" s="22"/>
      <c r="I510" s="28"/>
      <c r="J510" s="28"/>
    </row>
    <row r="511" spans="2:10" x14ac:dyDescent="0.25">
      <c r="B511" s="21"/>
      <c r="G511" s="22"/>
      <c r="H511" s="22"/>
      <c r="I511" s="28"/>
      <c r="J511" s="28"/>
    </row>
    <row r="512" spans="2:10" x14ac:dyDescent="0.25">
      <c r="B512" s="21"/>
      <c r="G512" s="22"/>
      <c r="H512" s="22"/>
      <c r="I512" s="28"/>
      <c r="J512" s="28"/>
    </row>
    <row r="513" spans="2:10" x14ac:dyDescent="0.25">
      <c r="B513" s="21"/>
      <c r="G513" s="22"/>
      <c r="H513" s="22"/>
      <c r="I513" s="28"/>
      <c r="J513" s="28"/>
    </row>
    <row r="514" spans="2:10" x14ac:dyDescent="0.25">
      <c r="B514" s="21"/>
      <c r="G514" s="22"/>
      <c r="H514" s="22"/>
      <c r="I514" s="28"/>
      <c r="J514" s="28"/>
    </row>
    <row r="515" spans="2:10" x14ac:dyDescent="0.25">
      <c r="B515" s="21"/>
      <c r="G515" s="22"/>
      <c r="H515" s="22"/>
      <c r="I515" s="28"/>
      <c r="J515" s="28"/>
    </row>
    <row r="516" spans="2:10" x14ac:dyDescent="0.25">
      <c r="B516" s="21"/>
      <c r="G516" s="22"/>
      <c r="H516" s="22"/>
      <c r="I516" s="28"/>
      <c r="J516" s="28"/>
    </row>
    <row r="517" spans="2:10" x14ac:dyDescent="0.25">
      <c r="B517" s="21"/>
      <c r="G517" s="22"/>
      <c r="H517" s="22"/>
      <c r="I517" s="28"/>
      <c r="J517" s="28"/>
    </row>
    <row r="518" spans="2:10" x14ac:dyDescent="0.25">
      <c r="B518" s="21"/>
      <c r="G518" s="22"/>
      <c r="H518" s="22"/>
      <c r="I518" s="28"/>
      <c r="J518" s="28"/>
    </row>
    <row r="519" spans="2:10" x14ac:dyDescent="0.25">
      <c r="B519" s="21"/>
      <c r="G519" s="22"/>
      <c r="H519" s="22"/>
      <c r="I519" s="28"/>
      <c r="J519" s="28"/>
    </row>
    <row r="520" spans="2:10" x14ac:dyDescent="0.25">
      <c r="B520" s="21"/>
      <c r="G520" s="22"/>
      <c r="H520" s="22"/>
      <c r="I520" s="28"/>
      <c r="J520" s="28"/>
    </row>
    <row r="521" spans="2:10" x14ac:dyDescent="0.25">
      <c r="B521" s="21"/>
      <c r="G521" s="22"/>
      <c r="H521" s="22"/>
      <c r="I521" s="28"/>
      <c r="J521" s="28"/>
    </row>
    <row r="522" spans="2:10" x14ac:dyDescent="0.25">
      <c r="B522" s="21"/>
      <c r="G522" s="22"/>
      <c r="H522" s="22"/>
      <c r="I522" s="28"/>
      <c r="J522" s="28"/>
    </row>
    <row r="523" spans="2:10" x14ac:dyDescent="0.25">
      <c r="B523" s="21"/>
      <c r="G523" s="22"/>
      <c r="H523" s="22"/>
      <c r="I523" s="28"/>
      <c r="J523" s="28"/>
    </row>
    <row r="524" spans="2:10" x14ac:dyDescent="0.25">
      <c r="B524" s="21"/>
      <c r="G524" s="22"/>
      <c r="H524" s="22"/>
      <c r="I524" s="28"/>
      <c r="J524" s="28"/>
    </row>
    <row r="525" spans="2:10" x14ac:dyDescent="0.25">
      <c r="B525" s="21"/>
      <c r="G525" s="22"/>
      <c r="H525" s="22"/>
      <c r="I525" s="28"/>
      <c r="J525" s="28"/>
    </row>
    <row r="526" spans="2:10" x14ac:dyDescent="0.25">
      <c r="B526" s="21"/>
      <c r="G526" s="22"/>
      <c r="H526" s="22"/>
      <c r="I526" s="28"/>
      <c r="J526" s="28"/>
    </row>
    <row r="527" spans="2:10" x14ac:dyDescent="0.25">
      <c r="B527" s="21"/>
      <c r="G527" s="22"/>
      <c r="H527" s="22"/>
      <c r="I527" s="28"/>
      <c r="J527" s="28"/>
    </row>
    <row r="528" spans="2:10" x14ac:dyDescent="0.25">
      <c r="B528" s="21"/>
      <c r="G528" s="22"/>
      <c r="H528" s="22"/>
      <c r="I528" s="28"/>
      <c r="J528" s="28"/>
    </row>
    <row r="529" spans="2:10" x14ac:dyDescent="0.25">
      <c r="B529" s="21"/>
      <c r="G529" s="22"/>
      <c r="H529" s="22"/>
      <c r="I529" s="28"/>
      <c r="J529" s="28"/>
    </row>
    <row r="530" spans="2:10" x14ac:dyDescent="0.25">
      <c r="B530" s="21"/>
      <c r="G530" s="22"/>
      <c r="H530" s="22"/>
      <c r="I530" s="28"/>
      <c r="J530" s="28"/>
    </row>
    <row r="531" spans="2:10" x14ac:dyDescent="0.25">
      <c r="B531" s="21"/>
      <c r="G531" s="22"/>
      <c r="H531" s="22"/>
      <c r="I531" s="28"/>
      <c r="J531" s="28"/>
    </row>
    <row r="532" spans="2:10" x14ac:dyDescent="0.25">
      <c r="B532" s="21"/>
      <c r="G532" s="22"/>
      <c r="H532" s="22"/>
      <c r="I532" s="28"/>
      <c r="J532" s="28"/>
    </row>
    <row r="533" spans="2:10" x14ac:dyDescent="0.25">
      <c r="B533" s="21"/>
      <c r="G533" s="22"/>
      <c r="H533" s="22"/>
      <c r="I533" s="28"/>
      <c r="J533" s="28"/>
    </row>
    <row r="534" spans="2:10" x14ac:dyDescent="0.25">
      <c r="B534" s="21"/>
      <c r="G534" s="22"/>
      <c r="H534" s="22"/>
      <c r="I534" s="28"/>
      <c r="J534" s="28"/>
    </row>
    <row r="535" spans="2:10" x14ac:dyDescent="0.25">
      <c r="B535" s="21"/>
      <c r="G535" s="22"/>
      <c r="H535" s="22"/>
      <c r="I535" s="28"/>
      <c r="J535" s="28"/>
    </row>
    <row r="536" spans="2:10" x14ac:dyDescent="0.25">
      <c r="B536" s="21"/>
      <c r="G536" s="22"/>
      <c r="H536" s="22"/>
      <c r="I536" s="28"/>
      <c r="J536" s="28"/>
    </row>
    <row r="537" spans="2:10" x14ac:dyDescent="0.25">
      <c r="B537" s="21"/>
      <c r="G537" s="22"/>
      <c r="H537" s="22"/>
      <c r="I537" s="28"/>
      <c r="J537" s="28"/>
    </row>
    <row r="538" spans="2:10" x14ac:dyDescent="0.25">
      <c r="B538" s="21"/>
      <c r="G538" s="22"/>
      <c r="H538" s="22"/>
      <c r="I538" s="28"/>
      <c r="J538" s="28"/>
    </row>
    <row r="539" spans="2:10" x14ac:dyDescent="0.25">
      <c r="B539" s="21"/>
      <c r="G539" s="22"/>
      <c r="H539" s="22"/>
      <c r="I539" s="28"/>
      <c r="J539" s="28"/>
    </row>
    <row r="540" spans="2:10" x14ac:dyDescent="0.25">
      <c r="B540" s="21"/>
      <c r="G540" s="22"/>
      <c r="H540" s="22"/>
      <c r="I540" s="28"/>
      <c r="J540" s="28"/>
    </row>
    <row r="541" spans="2:10" x14ac:dyDescent="0.25">
      <c r="B541" s="21"/>
      <c r="G541" s="22"/>
      <c r="H541" s="22"/>
      <c r="I541" s="28"/>
      <c r="J541" s="28"/>
    </row>
    <row r="542" spans="2:10" x14ac:dyDescent="0.25">
      <c r="B542" s="21"/>
      <c r="G542" s="22"/>
      <c r="H542" s="22"/>
      <c r="I542" s="28"/>
      <c r="J542" s="28"/>
    </row>
    <row r="543" spans="2:10" x14ac:dyDescent="0.25">
      <c r="B543" s="21"/>
      <c r="G543" s="22"/>
      <c r="H543" s="22"/>
      <c r="I543" s="28"/>
      <c r="J543" s="28"/>
    </row>
    <row r="544" spans="2:10" x14ac:dyDescent="0.25">
      <c r="B544" s="21"/>
      <c r="G544" s="22"/>
      <c r="H544" s="22"/>
      <c r="I544" s="28"/>
      <c r="J544" s="28"/>
    </row>
    <row r="545" spans="2:10" x14ac:dyDescent="0.25">
      <c r="B545" s="21"/>
      <c r="G545" s="22"/>
      <c r="H545" s="22"/>
      <c r="I545" s="28"/>
      <c r="J545" s="28"/>
    </row>
    <row r="546" spans="2:10" x14ac:dyDescent="0.25">
      <c r="B546" s="21"/>
      <c r="G546" s="22"/>
      <c r="H546" s="22"/>
      <c r="I546" s="28"/>
      <c r="J546" s="28"/>
    </row>
    <row r="547" spans="2:10" x14ac:dyDescent="0.25">
      <c r="B547" s="21"/>
      <c r="G547" s="22"/>
      <c r="H547" s="22"/>
      <c r="I547" s="28"/>
      <c r="J547" s="28"/>
    </row>
    <row r="548" spans="2:10" x14ac:dyDescent="0.25">
      <c r="B548" s="21"/>
      <c r="G548" s="22"/>
      <c r="H548" s="22"/>
      <c r="I548" s="28"/>
      <c r="J548" s="28"/>
    </row>
    <row r="549" spans="2:10" x14ac:dyDescent="0.25">
      <c r="B549" s="21"/>
      <c r="G549" s="22"/>
      <c r="H549" s="22"/>
      <c r="I549" s="28"/>
      <c r="J549" s="28"/>
    </row>
    <row r="550" spans="2:10" x14ac:dyDescent="0.25">
      <c r="B550" s="21"/>
      <c r="G550" s="22"/>
      <c r="H550" s="22"/>
      <c r="I550" s="28"/>
      <c r="J550" s="28"/>
    </row>
    <row r="551" spans="2:10" x14ac:dyDescent="0.25">
      <c r="B551" s="21"/>
      <c r="G551" s="22"/>
      <c r="H551" s="22"/>
      <c r="I551" s="28"/>
      <c r="J551" s="28"/>
    </row>
    <row r="552" spans="2:10" x14ac:dyDescent="0.25">
      <c r="B552" s="21"/>
      <c r="G552" s="22"/>
      <c r="H552" s="22"/>
      <c r="I552" s="28"/>
      <c r="J552" s="28"/>
    </row>
    <row r="553" spans="2:10" x14ac:dyDescent="0.25">
      <c r="B553" s="21"/>
      <c r="G553" s="22"/>
      <c r="H553" s="22"/>
      <c r="I553" s="28"/>
      <c r="J553" s="28"/>
    </row>
    <row r="554" spans="2:10" x14ac:dyDescent="0.25">
      <c r="B554" s="21"/>
      <c r="G554" s="22"/>
      <c r="H554" s="22"/>
      <c r="I554" s="28"/>
      <c r="J554" s="28"/>
    </row>
    <row r="555" spans="2:10" x14ac:dyDescent="0.25">
      <c r="B555" s="21"/>
      <c r="G555" s="22"/>
      <c r="H555" s="22"/>
      <c r="I555" s="28"/>
      <c r="J555" s="28"/>
    </row>
    <row r="556" spans="2:10" x14ac:dyDescent="0.25">
      <c r="B556" s="21"/>
      <c r="G556" s="22"/>
      <c r="H556" s="22"/>
      <c r="I556" s="28"/>
      <c r="J556" s="28"/>
    </row>
    <row r="557" spans="2:10" x14ac:dyDescent="0.25">
      <c r="B557" s="21"/>
      <c r="G557" s="22"/>
      <c r="H557" s="22"/>
      <c r="I557" s="28"/>
      <c r="J557" s="28"/>
    </row>
    <row r="558" spans="2:10" x14ac:dyDescent="0.25">
      <c r="B558" s="21"/>
      <c r="G558" s="22"/>
      <c r="H558" s="22"/>
      <c r="I558" s="28"/>
      <c r="J558" s="28"/>
    </row>
    <row r="559" spans="2:10" x14ac:dyDescent="0.25">
      <c r="B559" s="21"/>
      <c r="G559" s="22"/>
      <c r="H559" s="22"/>
      <c r="I559" s="28"/>
      <c r="J559" s="28"/>
    </row>
    <row r="560" spans="2:10" x14ac:dyDescent="0.25">
      <c r="B560" s="21"/>
      <c r="G560" s="22"/>
      <c r="H560" s="22"/>
      <c r="I560" s="28"/>
      <c r="J560" s="28"/>
    </row>
    <row r="561" spans="2:10" x14ac:dyDescent="0.25">
      <c r="B561" s="21"/>
      <c r="G561" s="22"/>
      <c r="H561" s="22"/>
      <c r="I561" s="28"/>
      <c r="J561" s="28"/>
    </row>
    <row r="562" spans="2:10" x14ac:dyDescent="0.25">
      <c r="B562" s="21"/>
      <c r="G562" s="22"/>
      <c r="H562" s="22"/>
      <c r="I562" s="28"/>
      <c r="J562" s="28"/>
    </row>
    <row r="563" spans="2:10" x14ac:dyDescent="0.25">
      <c r="B563" s="21"/>
      <c r="G563" s="22"/>
      <c r="H563" s="22"/>
      <c r="I563" s="28"/>
      <c r="J563" s="28"/>
    </row>
    <row r="564" spans="2:10" x14ac:dyDescent="0.25">
      <c r="B564" s="21"/>
      <c r="G564" s="22"/>
      <c r="H564" s="22"/>
      <c r="I564" s="28"/>
      <c r="J564" s="28"/>
    </row>
    <row r="565" spans="2:10" x14ac:dyDescent="0.25">
      <c r="B565" s="21"/>
      <c r="G565" s="22"/>
      <c r="H565" s="22"/>
      <c r="I565" s="28"/>
      <c r="J565" s="28"/>
    </row>
    <row r="566" spans="2:10" x14ac:dyDescent="0.25">
      <c r="B566" s="21"/>
      <c r="G566" s="22"/>
      <c r="H566" s="22"/>
      <c r="I566" s="28"/>
      <c r="J566" s="28"/>
    </row>
    <row r="567" spans="2:10" x14ac:dyDescent="0.25">
      <c r="B567" s="21"/>
      <c r="G567" s="22"/>
      <c r="H567" s="22"/>
      <c r="I567" s="28"/>
      <c r="J567" s="28"/>
    </row>
    <row r="568" spans="2:10" x14ac:dyDescent="0.25">
      <c r="B568" s="21"/>
      <c r="G568" s="22"/>
      <c r="H568" s="22"/>
      <c r="I568" s="28"/>
      <c r="J568" s="28"/>
    </row>
    <row r="569" spans="2:10" x14ac:dyDescent="0.25">
      <c r="B569" s="21"/>
      <c r="G569" s="22"/>
      <c r="H569" s="22"/>
      <c r="I569" s="28"/>
      <c r="J569" s="28"/>
    </row>
    <row r="570" spans="2:10" x14ac:dyDescent="0.25">
      <c r="B570" s="21"/>
      <c r="G570" s="22"/>
      <c r="H570" s="22"/>
      <c r="I570" s="28"/>
      <c r="J570" s="28"/>
    </row>
    <row r="571" spans="2:10" x14ac:dyDescent="0.25">
      <c r="B571" s="21"/>
      <c r="G571" s="22"/>
      <c r="H571" s="22"/>
      <c r="I571" s="28"/>
      <c r="J571" s="28"/>
    </row>
    <row r="572" spans="2:10" x14ac:dyDescent="0.25">
      <c r="B572" s="21"/>
      <c r="G572" s="22"/>
      <c r="H572" s="22"/>
      <c r="I572" s="28"/>
      <c r="J572" s="28"/>
    </row>
    <row r="573" spans="2:10" x14ac:dyDescent="0.25">
      <c r="B573" s="21"/>
      <c r="G573" s="22"/>
      <c r="H573" s="22"/>
      <c r="I573" s="28"/>
      <c r="J573" s="28"/>
    </row>
    <row r="574" spans="2:10" x14ac:dyDescent="0.25">
      <c r="B574" s="21"/>
      <c r="G574" s="22"/>
      <c r="H574" s="22"/>
      <c r="I574" s="28"/>
      <c r="J574" s="28"/>
    </row>
    <row r="575" spans="2:10" x14ac:dyDescent="0.25">
      <c r="B575" s="21"/>
      <c r="G575" s="22"/>
      <c r="H575" s="22"/>
      <c r="I575" s="28"/>
      <c r="J575" s="28"/>
    </row>
    <row r="576" spans="2:10" x14ac:dyDescent="0.25">
      <c r="B576" s="21"/>
      <c r="G576" s="22"/>
      <c r="H576" s="22"/>
      <c r="I576" s="28"/>
      <c r="J576" s="28"/>
    </row>
    <row r="577" spans="2:10" x14ac:dyDescent="0.25">
      <c r="B577" s="21"/>
      <c r="G577" s="22"/>
      <c r="H577" s="22"/>
      <c r="I577" s="28"/>
      <c r="J577" s="28"/>
    </row>
    <row r="578" spans="2:10" x14ac:dyDescent="0.25">
      <c r="B578" s="21"/>
      <c r="G578" s="22"/>
      <c r="H578" s="22"/>
      <c r="I578" s="28"/>
      <c r="J578" s="28"/>
    </row>
    <row r="579" spans="2:10" x14ac:dyDescent="0.25">
      <c r="B579" s="21"/>
      <c r="G579" s="22"/>
      <c r="H579" s="22"/>
      <c r="I579" s="28"/>
      <c r="J579" s="28"/>
    </row>
    <row r="580" spans="2:10" x14ac:dyDescent="0.25">
      <c r="B580" s="21"/>
      <c r="G580" s="22"/>
      <c r="H580" s="22"/>
      <c r="I580" s="28"/>
      <c r="J580" s="28"/>
    </row>
    <row r="581" spans="2:10" x14ac:dyDescent="0.25">
      <c r="B581" s="21"/>
      <c r="G581" s="22"/>
      <c r="H581" s="22"/>
      <c r="I581" s="28"/>
      <c r="J581" s="28"/>
    </row>
    <row r="582" spans="2:10" x14ac:dyDescent="0.25">
      <c r="B582" s="21"/>
      <c r="G582" s="22"/>
      <c r="H582" s="22"/>
      <c r="I582" s="28"/>
      <c r="J582" s="28"/>
    </row>
    <row r="583" spans="2:10" x14ac:dyDescent="0.25">
      <c r="B583" s="21"/>
      <c r="G583" s="22"/>
      <c r="H583" s="22"/>
      <c r="I583" s="28"/>
      <c r="J583" s="28"/>
    </row>
    <row r="584" spans="2:10" x14ac:dyDescent="0.25">
      <c r="B584" s="21"/>
      <c r="G584" s="22"/>
      <c r="H584" s="22"/>
      <c r="I584" s="28"/>
      <c r="J584" s="28"/>
    </row>
    <row r="585" spans="2:10" x14ac:dyDescent="0.25">
      <c r="B585" s="21"/>
      <c r="G585" s="22"/>
      <c r="H585" s="22"/>
      <c r="I585" s="28"/>
      <c r="J585" s="28"/>
    </row>
    <row r="586" spans="2:10" x14ac:dyDescent="0.25">
      <c r="B586" s="21"/>
      <c r="G586" s="22"/>
      <c r="H586" s="22"/>
      <c r="I586" s="28"/>
      <c r="J586" s="28"/>
    </row>
    <row r="587" spans="2:10" x14ac:dyDescent="0.25">
      <c r="B587" s="21"/>
      <c r="G587" s="22"/>
      <c r="H587" s="22"/>
      <c r="I587" s="28"/>
      <c r="J587" s="28"/>
    </row>
    <row r="588" spans="2:10" x14ac:dyDescent="0.25">
      <c r="B588" s="21"/>
      <c r="G588" s="22"/>
      <c r="H588" s="22"/>
      <c r="I588" s="28"/>
      <c r="J588" s="28"/>
    </row>
    <row r="589" spans="2:10" x14ac:dyDescent="0.25">
      <c r="B589" s="21"/>
      <c r="G589" s="22"/>
      <c r="H589" s="22"/>
      <c r="I589" s="28"/>
      <c r="J589" s="28"/>
    </row>
    <row r="590" spans="2:10" x14ac:dyDescent="0.25">
      <c r="B590" s="21"/>
      <c r="G590" s="22"/>
      <c r="H590" s="22"/>
      <c r="I590" s="28"/>
      <c r="J590" s="28"/>
    </row>
    <row r="591" spans="2:10" x14ac:dyDescent="0.25">
      <c r="B591" s="21"/>
      <c r="G591" s="22"/>
      <c r="H591" s="22"/>
      <c r="I591" s="28"/>
      <c r="J591" s="28"/>
    </row>
    <row r="592" spans="2:10" x14ac:dyDescent="0.25">
      <c r="B592" s="21"/>
      <c r="G592" s="22"/>
      <c r="H592" s="22"/>
      <c r="I592" s="28"/>
      <c r="J592" s="28"/>
    </row>
    <row r="593" spans="2:10" x14ac:dyDescent="0.25">
      <c r="B593" s="21"/>
      <c r="G593" s="22"/>
      <c r="H593" s="22"/>
      <c r="I593" s="28"/>
      <c r="J593" s="28"/>
    </row>
    <row r="594" spans="2:10" x14ac:dyDescent="0.25">
      <c r="B594" s="21"/>
      <c r="G594" s="22"/>
      <c r="H594" s="22"/>
      <c r="I594" s="28"/>
      <c r="J594" s="28"/>
    </row>
    <row r="595" spans="2:10" x14ac:dyDescent="0.25">
      <c r="B595" s="21"/>
      <c r="G595" s="22"/>
      <c r="H595" s="22"/>
      <c r="I595" s="28"/>
      <c r="J595" s="28"/>
    </row>
    <row r="596" spans="2:10" x14ac:dyDescent="0.25">
      <c r="B596" s="21"/>
      <c r="G596" s="22"/>
      <c r="H596" s="22"/>
      <c r="I596" s="28"/>
      <c r="J596" s="28"/>
    </row>
    <row r="597" spans="2:10" x14ac:dyDescent="0.25">
      <c r="B597" s="21"/>
      <c r="G597" s="22"/>
      <c r="H597" s="22"/>
      <c r="I597" s="28"/>
      <c r="J597" s="28"/>
    </row>
    <row r="598" spans="2:10" x14ac:dyDescent="0.25">
      <c r="B598" s="21"/>
      <c r="G598" s="22"/>
      <c r="H598" s="22"/>
      <c r="I598" s="28"/>
      <c r="J598" s="28"/>
    </row>
    <row r="599" spans="2:10" x14ac:dyDescent="0.25">
      <c r="B599" s="21"/>
      <c r="G599" s="22"/>
      <c r="H599" s="22"/>
      <c r="I599" s="28"/>
      <c r="J599" s="28"/>
    </row>
    <row r="600" spans="2:10" x14ac:dyDescent="0.25">
      <c r="B600" s="21"/>
      <c r="G600" s="22"/>
      <c r="H600" s="22"/>
      <c r="I600" s="28"/>
      <c r="J600" s="28"/>
    </row>
    <row r="601" spans="2:10" x14ac:dyDescent="0.25">
      <c r="B601" s="21"/>
      <c r="G601" s="22"/>
      <c r="H601" s="22"/>
      <c r="I601" s="28"/>
      <c r="J601" s="28"/>
    </row>
    <row r="602" spans="2:10" x14ac:dyDescent="0.25">
      <c r="B602" s="21"/>
      <c r="G602" s="22"/>
      <c r="H602" s="22"/>
      <c r="I602" s="28"/>
      <c r="J602" s="28"/>
    </row>
    <row r="603" spans="2:10" x14ac:dyDescent="0.25">
      <c r="B603" s="21"/>
      <c r="G603" s="22"/>
      <c r="H603" s="22"/>
      <c r="I603" s="28"/>
      <c r="J603" s="28"/>
    </row>
    <row r="604" spans="2:10" x14ac:dyDescent="0.25">
      <c r="B604" s="21"/>
      <c r="G604" s="22"/>
      <c r="H604" s="22"/>
      <c r="I604" s="28"/>
      <c r="J604" s="28"/>
    </row>
    <row r="605" spans="2:10" x14ac:dyDescent="0.25">
      <c r="B605" s="21"/>
      <c r="G605" s="22"/>
      <c r="H605" s="22"/>
      <c r="I605" s="28"/>
      <c r="J605" s="28"/>
    </row>
    <row r="606" spans="2:10" x14ac:dyDescent="0.25">
      <c r="B606" s="21"/>
      <c r="G606" s="22"/>
      <c r="H606" s="22"/>
      <c r="I606" s="28"/>
      <c r="J606" s="28"/>
    </row>
    <row r="607" spans="2:10" x14ac:dyDescent="0.25">
      <c r="B607" s="21"/>
      <c r="G607" s="22"/>
      <c r="H607" s="22"/>
      <c r="I607" s="28"/>
      <c r="J607" s="28"/>
    </row>
    <row r="608" spans="2:10" x14ac:dyDescent="0.25">
      <c r="B608" s="21"/>
      <c r="G608" s="22"/>
      <c r="H608" s="22"/>
      <c r="I608" s="28"/>
      <c r="J608" s="28"/>
    </row>
    <row r="609" spans="2:10" x14ac:dyDescent="0.25">
      <c r="B609" s="21"/>
      <c r="G609" s="22"/>
      <c r="H609" s="22"/>
      <c r="I609" s="28"/>
      <c r="J609" s="28"/>
    </row>
    <row r="610" spans="2:10" x14ac:dyDescent="0.25">
      <c r="B610" s="21"/>
      <c r="G610" s="22"/>
      <c r="H610" s="22"/>
      <c r="I610" s="28"/>
      <c r="J610" s="28"/>
    </row>
    <row r="611" spans="2:10" x14ac:dyDescent="0.25">
      <c r="B611" s="21"/>
      <c r="G611" s="22"/>
      <c r="H611" s="22"/>
      <c r="I611" s="28"/>
      <c r="J611" s="28"/>
    </row>
    <row r="612" spans="2:10" x14ac:dyDescent="0.25">
      <c r="B612" s="21"/>
      <c r="G612" s="22"/>
      <c r="H612" s="22"/>
      <c r="I612" s="28"/>
      <c r="J612" s="28"/>
    </row>
    <row r="613" spans="2:10" x14ac:dyDescent="0.25">
      <c r="B613" s="21"/>
      <c r="G613" s="22"/>
      <c r="H613" s="22"/>
      <c r="I613" s="28"/>
      <c r="J613" s="28"/>
    </row>
    <row r="614" spans="2:10" x14ac:dyDescent="0.25">
      <c r="B614" s="21"/>
      <c r="G614" s="22"/>
      <c r="H614" s="22"/>
      <c r="I614" s="28"/>
      <c r="J614" s="28"/>
    </row>
    <row r="615" spans="2:10" x14ac:dyDescent="0.25">
      <c r="B615" s="21"/>
      <c r="G615" s="22"/>
      <c r="H615" s="22"/>
      <c r="I615" s="28"/>
      <c r="J615" s="28"/>
    </row>
    <row r="616" spans="2:10" x14ac:dyDescent="0.25">
      <c r="B616" s="21"/>
      <c r="G616" s="22"/>
      <c r="H616" s="22"/>
      <c r="I616" s="28"/>
      <c r="J616" s="28"/>
    </row>
    <row r="617" spans="2:10" x14ac:dyDescent="0.25">
      <c r="B617" s="21"/>
      <c r="G617" s="22"/>
      <c r="H617" s="22"/>
      <c r="I617" s="28"/>
      <c r="J617" s="28"/>
    </row>
    <row r="618" spans="2:10" x14ac:dyDescent="0.25">
      <c r="B618" s="21"/>
      <c r="G618" s="22"/>
      <c r="H618" s="22"/>
      <c r="I618" s="28"/>
      <c r="J618" s="28"/>
    </row>
    <row r="619" spans="2:10" x14ac:dyDescent="0.25">
      <c r="B619" s="21"/>
      <c r="G619" s="22"/>
      <c r="H619" s="22"/>
      <c r="I619" s="28"/>
      <c r="J619" s="28"/>
    </row>
    <row r="620" spans="2:10" x14ac:dyDescent="0.25">
      <c r="B620" s="21"/>
      <c r="G620" s="22"/>
      <c r="H620" s="22"/>
      <c r="I620" s="28"/>
      <c r="J620" s="28"/>
    </row>
    <row r="621" spans="2:10" x14ac:dyDescent="0.25">
      <c r="B621" s="21"/>
      <c r="G621" s="22"/>
      <c r="H621" s="22"/>
      <c r="I621" s="28"/>
      <c r="J621" s="28"/>
    </row>
    <row r="622" spans="2:10" x14ac:dyDescent="0.25">
      <c r="B622" s="21"/>
      <c r="G622" s="22"/>
      <c r="H622" s="22"/>
      <c r="I622" s="28"/>
      <c r="J622" s="28"/>
    </row>
    <row r="623" spans="2:10" x14ac:dyDescent="0.25">
      <c r="B623" s="21"/>
      <c r="G623" s="22"/>
      <c r="H623" s="22"/>
      <c r="I623" s="28"/>
      <c r="J623" s="28"/>
    </row>
    <row r="624" spans="2:10" x14ac:dyDescent="0.25">
      <c r="B624" s="21"/>
      <c r="G624" s="22"/>
      <c r="H624" s="22"/>
      <c r="I624" s="28"/>
      <c r="J624" s="28"/>
    </row>
    <row r="625" spans="2:10" x14ac:dyDescent="0.25">
      <c r="B625" s="21"/>
      <c r="G625" s="22"/>
      <c r="H625" s="22"/>
      <c r="I625" s="28"/>
      <c r="J625" s="28"/>
    </row>
    <row r="626" spans="2:10" x14ac:dyDescent="0.25">
      <c r="B626" s="21"/>
      <c r="G626" s="22"/>
      <c r="H626" s="22"/>
      <c r="I626" s="28"/>
      <c r="J626" s="28"/>
    </row>
    <row r="627" spans="2:10" x14ac:dyDescent="0.25">
      <c r="B627" s="21"/>
      <c r="G627" s="22"/>
      <c r="H627" s="22"/>
      <c r="I627" s="28"/>
      <c r="J627" s="28"/>
    </row>
    <row r="628" spans="2:10" x14ac:dyDescent="0.25">
      <c r="B628" s="21"/>
      <c r="G628" s="22"/>
      <c r="H628" s="22"/>
      <c r="I628" s="28"/>
      <c r="J628" s="28"/>
    </row>
    <row r="629" spans="2:10" x14ac:dyDescent="0.25">
      <c r="B629" s="21"/>
      <c r="G629" s="22"/>
      <c r="H629" s="22"/>
      <c r="I629" s="28"/>
      <c r="J629" s="28"/>
    </row>
    <row r="630" spans="2:10" x14ac:dyDescent="0.25">
      <c r="B630" s="21"/>
      <c r="G630" s="22"/>
      <c r="H630" s="22"/>
      <c r="I630" s="28"/>
      <c r="J630" s="28"/>
    </row>
    <row r="631" spans="2:10" x14ac:dyDescent="0.25">
      <c r="B631" s="21"/>
      <c r="G631" s="22"/>
      <c r="H631" s="22"/>
      <c r="I631" s="28"/>
      <c r="J631" s="28"/>
    </row>
    <row r="632" spans="2:10" x14ac:dyDescent="0.25">
      <c r="B632" s="21"/>
      <c r="G632" s="22"/>
      <c r="H632" s="22"/>
      <c r="I632" s="28"/>
      <c r="J632" s="28"/>
    </row>
    <row r="633" spans="2:10" x14ac:dyDescent="0.25">
      <c r="B633" s="21"/>
      <c r="G633" s="22"/>
      <c r="H633" s="22"/>
      <c r="I633" s="28"/>
      <c r="J633" s="28"/>
    </row>
    <row r="634" spans="2:10" x14ac:dyDescent="0.25">
      <c r="B634" s="21"/>
      <c r="G634" s="22"/>
      <c r="H634" s="22"/>
      <c r="I634" s="28"/>
      <c r="J634" s="28"/>
    </row>
    <row r="635" spans="2:10" x14ac:dyDescent="0.25">
      <c r="B635" s="21"/>
      <c r="G635" s="22"/>
      <c r="H635" s="22"/>
      <c r="I635" s="28"/>
      <c r="J635" s="28"/>
    </row>
    <row r="636" spans="2:10" x14ac:dyDescent="0.25">
      <c r="B636" s="21"/>
      <c r="G636" s="22"/>
      <c r="H636" s="22"/>
      <c r="I636" s="28"/>
      <c r="J636" s="28"/>
    </row>
    <row r="637" spans="2:10" x14ac:dyDescent="0.25">
      <c r="B637" s="21"/>
      <c r="G637" s="22"/>
      <c r="H637" s="22"/>
      <c r="I637" s="28"/>
      <c r="J637" s="28"/>
    </row>
    <row r="638" spans="2:10" x14ac:dyDescent="0.25">
      <c r="B638" s="21"/>
      <c r="G638" s="22"/>
      <c r="H638" s="22"/>
      <c r="I638" s="28"/>
      <c r="J638" s="28"/>
    </row>
    <row r="639" spans="2:10" x14ac:dyDescent="0.25">
      <c r="B639" s="21"/>
      <c r="G639" s="22"/>
      <c r="H639" s="22"/>
      <c r="I639" s="28"/>
      <c r="J639" s="28"/>
    </row>
    <row r="640" spans="2:10" x14ac:dyDescent="0.25">
      <c r="B640" s="21"/>
      <c r="G640" s="22"/>
      <c r="H640" s="22"/>
      <c r="I640" s="28"/>
      <c r="J640" s="28"/>
    </row>
    <row r="641" spans="2:10" x14ac:dyDescent="0.25">
      <c r="B641" s="21"/>
      <c r="G641" s="22"/>
      <c r="H641" s="22"/>
      <c r="I641" s="28"/>
      <c r="J641" s="28"/>
    </row>
    <row r="642" spans="2:10" x14ac:dyDescent="0.25">
      <c r="B642" s="21"/>
      <c r="G642" s="22"/>
      <c r="H642" s="22"/>
      <c r="I642" s="28"/>
      <c r="J642" s="28"/>
    </row>
    <row r="643" spans="2:10" x14ac:dyDescent="0.25">
      <c r="B643" s="21"/>
      <c r="G643" s="22"/>
      <c r="H643" s="22"/>
      <c r="I643" s="28"/>
      <c r="J643" s="28"/>
    </row>
    <row r="644" spans="2:10" x14ac:dyDescent="0.25">
      <c r="B644" s="21"/>
      <c r="G644" s="22"/>
      <c r="H644" s="22"/>
      <c r="I644" s="28"/>
      <c r="J644" s="28"/>
    </row>
    <row r="645" spans="2:10" x14ac:dyDescent="0.25">
      <c r="B645" s="21"/>
      <c r="G645" s="22"/>
      <c r="H645" s="22"/>
      <c r="I645" s="28"/>
      <c r="J645" s="28"/>
    </row>
    <row r="646" spans="2:10" x14ac:dyDescent="0.25">
      <c r="B646" s="21"/>
      <c r="G646" s="22"/>
      <c r="H646" s="22"/>
      <c r="I646" s="28"/>
      <c r="J646" s="28"/>
    </row>
    <row r="647" spans="2:10" x14ac:dyDescent="0.25">
      <c r="B647" s="21"/>
      <c r="G647" s="22"/>
      <c r="H647" s="22"/>
      <c r="I647" s="28"/>
      <c r="J647" s="28"/>
    </row>
    <row r="648" spans="2:10" x14ac:dyDescent="0.25">
      <c r="B648" s="21"/>
      <c r="G648" s="22"/>
      <c r="H648" s="22"/>
      <c r="I648" s="28"/>
      <c r="J648" s="28"/>
    </row>
    <row r="649" spans="2:10" x14ac:dyDescent="0.25">
      <c r="B649" s="21"/>
      <c r="G649" s="22"/>
      <c r="H649" s="22"/>
      <c r="I649" s="28"/>
      <c r="J649" s="28"/>
    </row>
    <row r="650" spans="2:10" x14ac:dyDescent="0.25">
      <c r="B650" s="21"/>
      <c r="G650" s="22"/>
      <c r="H650" s="22"/>
      <c r="I650" s="28"/>
      <c r="J650" s="28"/>
    </row>
    <row r="651" spans="2:10" x14ac:dyDescent="0.25">
      <c r="B651" s="21"/>
      <c r="G651" s="22"/>
      <c r="H651" s="22"/>
      <c r="I651" s="28"/>
      <c r="J651" s="28"/>
    </row>
    <row r="652" spans="2:10" x14ac:dyDescent="0.25">
      <c r="B652" s="21"/>
      <c r="G652" s="22"/>
      <c r="H652" s="22"/>
      <c r="I652" s="28"/>
      <c r="J652" s="28"/>
    </row>
    <row r="653" spans="2:10" x14ac:dyDescent="0.25">
      <c r="B653" s="21"/>
      <c r="G653" s="22"/>
      <c r="H653" s="22"/>
      <c r="I653" s="28"/>
      <c r="J653" s="28"/>
    </row>
    <row r="654" spans="2:10" x14ac:dyDescent="0.25">
      <c r="B654" s="21"/>
      <c r="G654" s="22"/>
      <c r="H654" s="22"/>
      <c r="I654" s="28"/>
      <c r="J654" s="28"/>
    </row>
    <row r="655" spans="2:10" x14ac:dyDescent="0.25">
      <c r="B655" s="21"/>
      <c r="G655" s="22"/>
      <c r="H655" s="22"/>
      <c r="I655" s="28"/>
      <c r="J655" s="28"/>
    </row>
    <row r="656" spans="2:10" x14ac:dyDescent="0.25">
      <c r="B656" s="21"/>
      <c r="G656" s="22"/>
      <c r="H656" s="22"/>
      <c r="I656" s="28"/>
      <c r="J656" s="28"/>
    </row>
    <row r="657" spans="2:10" x14ac:dyDescent="0.25">
      <c r="B657" s="21"/>
      <c r="G657" s="22"/>
      <c r="H657" s="22"/>
      <c r="I657" s="28"/>
      <c r="J657" s="28"/>
    </row>
    <row r="658" spans="2:10" x14ac:dyDescent="0.25">
      <c r="B658" s="21"/>
      <c r="G658" s="22"/>
      <c r="H658" s="22"/>
      <c r="I658" s="28"/>
      <c r="J658" s="28"/>
    </row>
    <row r="659" spans="2:10" x14ac:dyDescent="0.25">
      <c r="B659" s="21"/>
      <c r="G659" s="22"/>
      <c r="H659" s="22"/>
      <c r="I659" s="28"/>
      <c r="J659" s="28"/>
    </row>
    <row r="660" spans="2:10" x14ac:dyDescent="0.25">
      <c r="B660" s="21"/>
      <c r="G660" s="22"/>
      <c r="H660" s="22"/>
      <c r="I660" s="28"/>
      <c r="J660" s="28"/>
    </row>
    <row r="661" spans="2:10" x14ac:dyDescent="0.25">
      <c r="B661" s="21"/>
      <c r="G661" s="22"/>
      <c r="H661" s="22"/>
      <c r="I661" s="28"/>
      <c r="J661" s="28"/>
    </row>
    <row r="662" spans="2:10" x14ac:dyDescent="0.25">
      <c r="B662" s="21"/>
      <c r="G662" s="22"/>
      <c r="H662" s="22"/>
      <c r="I662" s="28"/>
      <c r="J662" s="28"/>
    </row>
    <row r="663" spans="2:10" x14ac:dyDescent="0.25">
      <c r="B663" s="21"/>
      <c r="G663" s="22"/>
      <c r="H663" s="22"/>
      <c r="I663" s="28"/>
      <c r="J663" s="28"/>
    </row>
    <row r="664" spans="2:10" x14ac:dyDescent="0.25">
      <c r="B664" s="21"/>
      <c r="G664" s="22"/>
      <c r="H664" s="22"/>
      <c r="I664" s="28"/>
      <c r="J664" s="28"/>
    </row>
    <row r="665" spans="2:10" x14ac:dyDescent="0.25">
      <c r="B665" s="21"/>
      <c r="G665" s="22"/>
      <c r="H665" s="22"/>
      <c r="I665" s="28"/>
      <c r="J665" s="28"/>
    </row>
    <row r="666" spans="2:10" x14ac:dyDescent="0.25">
      <c r="B666" s="21"/>
      <c r="G666" s="22"/>
      <c r="H666" s="22"/>
      <c r="I666" s="28"/>
      <c r="J666" s="28"/>
    </row>
    <row r="667" spans="2:10" x14ac:dyDescent="0.25">
      <c r="B667" s="21"/>
      <c r="G667" s="22"/>
      <c r="H667" s="22"/>
      <c r="I667" s="28"/>
      <c r="J667" s="28"/>
    </row>
    <row r="668" spans="2:10" x14ac:dyDescent="0.25">
      <c r="B668" s="21"/>
      <c r="G668" s="22"/>
      <c r="H668" s="22"/>
      <c r="I668" s="28"/>
      <c r="J668" s="28"/>
    </row>
    <row r="669" spans="2:10" x14ac:dyDescent="0.25">
      <c r="B669" s="21"/>
      <c r="G669" s="22"/>
      <c r="H669" s="22"/>
      <c r="I669" s="28"/>
      <c r="J669" s="28"/>
    </row>
    <row r="670" spans="2:10" x14ac:dyDescent="0.25">
      <c r="B670" s="21"/>
      <c r="G670" s="22"/>
      <c r="H670" s="22"/>
      <c r="I670" s="28"/>
      <c r="J670" s="28"/>
    </row>
    <row r="671" spans="2:10" x14ac:dyDescent="0.25">
      <c r="B671" s="21"/>
      <c r="G671" s="22"/>
      <c r="H671" s="22"/>
      <c r="I671" s="28"/>
      <c r="J671" s="28"/>
    </row>
    <row r="672" spans="2:10" x14ac:dyDescent="0.25">
      <c r="B672" s="21"/>
      <c r="G672" s="22"/>
      <c r="H672" s="22"/>
      <c r="I672" s="28"/>
      <c r="J672" s="28"/>
    </row>
    <row r="673" spans="2:10" x14ac:dyDescent="0.25">
      <c r="B673" s="21"/>
      <c r="G673" s="22"/>
      <c r="H673" s="22"/>
      <c r="I673" s="28"/>
      <c r="J673" s="28"/>
    </row>
    <row r="674" spans="2:10" x14ac:dyDescent="0.25">
      <c r="B674" s="21"/>
      <c r="G674" s="22"/>
      <c r="H674" s="22"/>
      <c r="I674" s="28"/>
      <c r="J674" s="28"/>
    </row>
    <row r="675" spans="2:10" x14ac:dyDescent="0.25">
      <c r="B675" s="21"/>
      <c r="G675" s="22"/>
      <c r="H675" s="22"/>
      <c r="I675" s="28"/>
      <c r="J675" s="28"/>
    </row>
    <row r="676" spans="2:10" x14ac:dyDescent="0.25">
      <c r="B676" s="21"/>
      <c r="G676" s="22"/>
      <c r="H676" s="22"/>
      <c r="I676" s="28"/>
      <c r="J676" s="28"/>
    </row>
    <row r="677" spans="2:10" x14ac:dyDescent="0.25">
      <c r="B677" s="21"/>
      <c r="G677" s="22"/>
      <c r="H677" s="22"/>
      <c r="I677" s="28"/>
      <c r="J677" s="28"/>
    </row>
    <row r="678" spans="2:10" x14ac:dyDescent="0.25">
      <c r="B678" s="21"/>
      <c r="G678" s="22"/>
      <c r="H678" s="22"/>
      <c r="I678" s="28"/>
      <c r="J678" s="28"/>
    </row>
    <row r="679" spans="2:10" x14ac:dyDescent="0.25">
      <c r="B679" s="21"/>
      <c r="G679" s="22"/>
      <c r="H679" s="22"/>
      <c r="I679" s="28"/>
      <c r="J679" s="28"/>
    </row>
    <row r="680" spans="2:10" x14ac:dyDescent="0.25">
      <c r="B680" s="21"/>
      <c r="G680" s="22"/>
      <c r="H680" s="22"/>
      <c r="I680" s="28"/>
      <c r="J680" s="28"/>
    </row>
    <row r="681" spans="2:10" x14ac:dyDescent="0.25">
      <c r="B681" s="21"/>
      <c r="G681" s="22"/>
      <c r="H681" s="22"/>
      <c r="I681" s="28"/>
      <c r="J681" s="28"/>
    </row>
    <row r="682" spans="2:10" x14ac:dyDescent="0.25">
      <c r="B682" s="21"/>
      <c r="G682" s="22"/>
      <c r="H682" s="22"/>
      <c r="I682" s="28"/>
      <c r="J682" s="28"/>
    </row>
    <row r="683" spans="2:10" x14ac:dyDescent="0.25">
      <c r="B683" s="21"/>
      <c r="G683" s="22"/>
      <c r="H683" s="22"/>
      <c r="I683" s="28"/>
      <c r="J683" s="28"/>
    </row>
    <row r="684" spans="2:10" x14ac:dyDescent="0.25">
      <c r="B684" s="21"/>
      <c r="G684" s="22"/>
      <c r="H684" s="22"/>
      <c r="I684" s="28"/>
      <c r="J684" s="28"/>
    </row>
    <row r="685" spans="2:10" x14ac:dyDescent="0.25">
      <c r="B685" s="21"/>
      <c r="G685" s="22"/>
      <c r="H685" s="22"/>
      <c r="I685" s="28"/>
      <c r="J685" s="28"/>
    </row>
    <row r="686" spans="2:10" x14ac:dyDescent="0.25">
      <c r="B686" s="21"/>
      <c r="G686" s="22"/>
      <c r="H686" s="22"/>
      <c r="I686" s="28"/>
      <c r="J686" s="28"/>
    </row>
    <row r="687" spans="2:10" x14ac:dyDescent="0.25">
      <c r="B687" s="21"/>
      <c r="G687" s="22"/>
      <c r="H687" s="22"/>
      <c r="I687" s="28"/>
      <c r="J687" s="28"/>
    </row>
    <row r="688" spans="2:10" x14ac:dyDescent="0.25">
      <c r="B688" s="21"/>
      <c r="G688" s="22"/>
      <c r="H688" s="22"/>
      <c r="I688" s="28"/>
      <c r="J688" s="28"/>
    </row>
    <row r="689" spans="2:10" x14ac:dyDescent="0.25">
      <c r="B689" s="21"/>
      <c r="G689" s="22"/>
      <c r="H689" s="22"/>
      <c r="I689" s="28"/>
      <c r="J689" s="28"/>
    </row>
    <row r="690" spans="2:10" x14ac:dyDescent="0.25">
      <c r="B690" s="21"/>
      <c r="G690" s="22"/>
      <c r="H690" s="22"/>
      <c r="I690" s="28"/>
      <c r="J690" s="28"/>
    </row>
    <row r="691" spans="2:10" x14ac:dyDescent="0.25">
      <c r="B691" s="21"/>
      <c r="G691" s="22"/>
      <c r="H691" s="22"/>
      <c r="I691" s="28"/>
      <c r="J691" s="28"/>
    </row>
    <row r="692" spans="2:10" x14ac:dyDescent="0.25">
      <c r="B692" s="21"/>
      <c r="G692" s="22"/>
      <c r="H692" s="22"/>
      <c r="I692" s="28"/>
      <c r="J692" s="28"/>
    </row>
    <row r="693" spans="2:10" x14ac:dyDescent="0.25">
      <c r="B693" s="21"/>
      <c r="G693" s="22"/>
      <c r="H693" s="22"/>
      <c r="I693" s="28"/>
      <c r="J693" s="28"/>
    </row>
    <row r="694" spans="2:10" x14ac:dyDescent="0.25">
      <c r="B694" s="21"/>
      <c r="G694" s="22"/>
      <c r="H694" s="22"/>
      <c r="I694" s="28"/>
      <c r="J694" s="28"/>
    </row>
    <row r="695" spans="2:10" x14ac:dyDescent="0.25">
      <c r="B695" s="21"/>
      <c r="G695" s="22"/>
      <c r="H695" s="22"/>
      <c r="I695" s="28"/>
      <c r="J695" s="28"/>
    </row>
    <row r="696" spans="2:10" x14ac:dyDescent="0.25">
      <c r="B696" s="21"/>
      <c r="G696" s="22"/>
      <c r="H696" s="22"/>
      <c r="I696" s="28"/>
      <c r="J696" s="28"/>
    </row>
    <row r="697" spans="2:10" x14ac:dyDescent="0.25">
      <c r="B697" s="21"/>
      <c r="G697" s="22"/>
      <c r="H697" s="22"/>
      <c r="I697" s="28"/>
      <c r="J697" s="28"/>
    </row>
    <row r="698" spans="2:10" x14ac:dyDescent="0.25">
      <c r="B698" s="21"/>
      <c r="G698" s="22"/>
      <c r="H698" s="22"/>
      <c r="I698" s="28"/>
      <c r="J698" s="28"/>
    </row>
    <row r="699" spans="2:10" x14ac:dyDescent="0.25">
      <c r="B699" s="21"/>
      <c r="G699" s="22"/>
      <c r="H699" s="22"/>
      <c r="I699" s="28"/>
      <c r="J699" s="28"/>
    </row>
    <row r="700" spans="2:10" x14ac:dyDescent="0.25">
      <c r="B700" s="21"/>
      <c r="G700" s="22"/>
      <c r="H700" s="22"/>
      <c r="I700" s="28"/>
      <c r="J700" s="28"/>
    </row>
    <row r="701" spans="2:10" x14ac:dyDescent="0.25">
      <c r="B701" s="21"/>
      <c r="G701" s="22"/>
      <c r="H701" s="22"/>
      <c r="I701" s="28"/>
      <c r="J701" s="28"/>
    </row>
    <row r="702" spans="2:10" x14ac:dyDescent="0.25">
      <c r="B702" s="21"/>
      <c r="G702" s="22"/>
      <c r="H702" s="22"/>
      <c r="I702" s="28"/>
      <c r="J702" s="28"/>
    </row>
    <row r="703" spans="2:10" x14ac:dyDescent="0.25">
      <c r="B703" s="21"/>
      <c r="G703" s="22"/>
      <c r="H703" s="22"/>
      <c r="I703" s="28"/>
      <c r="J703" s="28"/>
    </row>
    <row r="704" spans="2:10" x14ac:dyDescent="0.25">
      <c r="B704" s="21"/>
      <c r="G704" s="22"/>
      <c r="H704" s="22"/>
      <c r="I704" s="28"/>
      <c r="J704" s="28"/>
    </row>
    <row r="705" spans="2:10" x14ac:dyDescent="0.25">
      <c r="B705" s="21"/>
      <c r="G705" s="22"/>
      <c r="H705" s="22"/>
      <c r="I705" s="28"/>
      <c r="J705" s="28"/>
    </row>
    <row r="706" spans="2:10" x14ac:dyDescent="0.25">
      <c r="B706" s="21"/>
      <c r="G706" s="22"/>
      <c r="H706" s="22"/>
      <c r="I706" s="28"/>
      <c r="J706" s="28"/>
    </row>
    <row r="707" spans="2:10" x14ac:dyDescent="0.25">
      <c r="B707" s="21"/>
      <c r="G707" s="22"/>
      <c r="H707" s="22"/>
      <c r="I707" s="28"/>
      <c r="J707" s="28"/>
    </row>
    <row r="708" spans="2:10" x14ac:dyDescent="0.25">
      <c r="B708" s="21"/>
      <c r="G708" s="22"/>
      <c r="H708" s="22"/>
      <c r="I708" s="28"/>
      <c r="J708" s="28"/>
    </row>
    <row r="709" spans="2:10" x14ac:dyDescent="0.25">
      <c r="B709" s="21"/>
      <c r="G709" s="22"/>
      <c r="H709" s="22"/>
      <c r="I709" s="28"/>
      <c r="J709" s="28"/>
    </row>
    <row r="710" spans="2:10" x14ac:dyDescent="0.25">
      <c r="B710" s="21"/>
      <c r="G710" s="22"/>
      <c r="H710" s="22"/>
      <c r="I710" s="28"/>
      <c r="J710" s="28"/>
    </row>
    <row r="711" spans="2:10" x14ac:dyDescent="0.25">
      <c r="B711" s="21"/>
      <c r="G711" s="22"/>
      <c r="H711" s="22"/>
      <c r="I711" s="28"/>
      <c r="J711" s="28"/>
    </row>
    <row r="712" spans="2:10" x14ac:dyDescent="0.25">
      <c r="B712" s="21"/>
      <c r="G712" s="22"/>
      <c r="H712" s="22"/>
      <c r="I712" s="28"/>
      <c r="J712" s="28"/>
    </row>
    <row r="713" spans="2:10" x14ac:dyDescent="0.25">
      <c r="B713" s="21"/>
      <c r="G713" s="22"/>
      <c r="H713" s="22"/>
      <c r="I713" s="28"/>
      <c r="J713" s="28"/>
    </row>
    <row r="714" spans="2:10" x14ac:dyDescent="0.25">
      <c r="B714" s="21"/>
      <c r="G714" s="22"/>
      <c r="H714" s="22"/>
      <c r="I714" s="28"/>
      <c r="J714" s="28"/>
    </row>
    <row r="715" spans="2:10" x14ac:dyDescent="0.25">
      <c r="B715" s="21"/>
      <c r="G715" s="22"/>
      <c r="H715" s="22"/>
      <c r="I715" s="28"/>
      <c r="J715" s="28"/>
    </row>
    <row r="716" spans="2:10" x14ac:dyDescent="0.25">
      <c r="B716" s="21"/>
      <c r="G716" s="22"/>
      <c r="H716" s="22"/>
      <c r="I716" s="28"/>
      <c r="J716" s="28"/>
    </row>
    <row r="717" spans="2:10" x14ac:dyDescent="0.25">
      <c r="B717" s="21"/>
      <c r="G717" s="22"/>
      <c r="H717" s="22"/>
      <c r="I717" s="28"/>
      <c r="J717" s="28"/>
    </row>
    <row r="718" spans="2:10" x14ac:dyDescent="0.25">
      <c r="B718" s="21"/>
      <c r="G718" s="22"/>
      <c r="H718" s="22"/>
      <c r="I718" s="28"/>
      <c r="J718" s="28"/>
    </row>
    <row r="719" spans="2:10" x14ac:dyDescent="0.25">
      <c r="B719" s="21"/>
      <c r="G719" s="22"/>
      <c r="H719" s="22"/>
      <c r="I719" s="28"/>
      <c r="J719" s="28"/>
    </row>
    <row r="720" spans="2:10" x14ac:dyDescent="0.25">
      <c r="B720" s="21"/>
      <c r="G720" s="22"/>
      <c r="H720" s="22"/>
      <c r="I720" s="28"/>
      <c r="J720" s="28"/>
    </row>
    <row r="721" spans="2:10" x14ac:dyDescent="0.25">
      <c r="B721" s="21"/>
      <c r="G721" s="22"/>
      <c r="H721" s="22"/>
      <c r="I721" s="28"/>
      <c r="J721" s="28"/>
    </row>
    <row r="722" spans="2:10" x14ac:dyDescent="0.25">
      <c r="B722" s="21"/>
      <c r="G722" s="22"/>
      <c r="H722" s="22"/>
      <c r="I722" s="28"/>
      <c r="J722" s="28"/>
    </row>
    <row r="723" spans="2:10" x14ac:dyDescent="0.25">
      <c r="B723" s="21"/>
      <c r="G723" s="22"/>
      <c r="H723" s="22"/>
      <c r="I723" s="28"/>
      <c r="J723" s="28"/>
    </row>
    <row r="724" spans="2:10" x14ac:dyDescent="0.25">
      <c r="B724" s="21"/>
      <c r="G724" s="22"/>
      <c r="H724" s="22"/>
      <c r="I724" s="28"/>
      <c r="J724" s="28"/>
    </row>
    <row r="725" spans="2:10" x14ac:dyDescent="0.25">
      <c r="B725" s="21"/>
      <c r="G725" s="22"/>
      <c r="H725" s="22"/>
      <c r="I725" s="28"/>
      <c r="J725" s="28"/>
    </row>
    <row r="726" spans="2:10" x14ac:dyDescent="0.25">
      <c r="B726" s="21"/>
      <c r="G726" s="22"/>
      <c r="H726" s="22"/>
      <c r="I726" s="28"/>
      <c r="J726" s="28"/>
    </row>
    <row r="727" spans="2:10" x14ac:dyDescent="0.25">
      <c r="B727" s="21"/>
      <c r="G727" s="22"/>
      <c r="H727" s="22"/>
      <c r="I727" s="28"/>
      <c r="J727" s="28"/>
    </row>
    <row r="728" spans="2:10" x14ac:dyDescent="0.25">
      <c r="B728" s="21"/>
      <c r="G728" s="22"/>
      <c r="H728" s="22"/>
      <c r="I728" s="28"/>
      <c r="J728" s="28"/>
    </row>
    <row r="729" spans="2:10" x14ac:dyDescent="0.25">
      <c r="B729" s="21"/>
      <c r="G729" s="22"/>
      <c r="H729" s="22"/>
      <c r="I729" s="28"/>
      <c r="J729" s="28"/>
    </row>
    <row r="730" spans="2:10" x14ac:dyDescent="0.25">
      <c r="B730" s="21"/>
      <c r="G730" s="22"/>
      <c r="H730" s="22"/>
      <c r="I730" s="28"/>
      <c r="J730" s="28"/>
    </row>
    <row r="731" spans="2:10" x14ac:dyDescent="0.25">
      <c r="B731" s="21"/>
      <c r="G731" s="22"/>
      <c r="H731" s="22"/>
      <c r="I731" s="28"/>
      <c r="J731" s="28"/>
    </row>
    <row r="732" spans="2:10" x14ac:dyDescent="0.25">
      <c r="B732" s="21"/>
      <c r="G732" s="22"/>
      <c r="H732" s="22"/>
      <c r="I732" s="28"/>
      <c r="J732" s="28"/>
    </row>
    <row r="733" spans="2:10" x14ac:dyDescent="0.25">
      <c r="B733" s="21"/>
      <c r="G733" s="22"/>
      <c r="H733" s="22"/>
      <c r="I733" s="28"/>
      <c r="J733" s="28"/>
    </row>
    <row r="734" spans="2:10" x14ac:dyDescent="0.25">
      <c r="B734" s="21"/>
      <c r="G734" s="22"/>
      <c r="H734" s="22"/>
      <c r="I734" s="28"/>
      <c r="J734" s="28"/>
    </row>
    <row r="735" spans="2:10" x14ac:dyDescent="0.25">
      <c r="B735" s="21"/>
      <c r="G735" s="22"/>
      <c r="H735" s="22"/>
      <c r="I735" s="28"/>
      <c r="J735" s="28"/>
    </row>
    <row r="736" spans="2:10" x14ac:dyDescent="0.25">
      <c r="B736" s="21"/>
      <c r="G736" s="22"/>
      <c r="H736" s="22"/>
      <c r="I736" s="28"/>
      <c r="J736" s="28"/>
    </row>
    <row r="737" spans="2:10" x14ac:dyDescent="0.25">
      <c r="B737" s="21"/>
      <c r="G737" s="22"/>
      <c r="H737" s="22"/>
      <c r="I737" s="28"/>
      <c r="J737" s="28"/>
    </row>
    <row r="738" spans="2:10" x14ac:dyDescent="0.25">
      <c r="B738" s="21"/>
      <c r="G738" s="22"/>
      <c r="H738" s="22"/>
      <c r="I738" s="28"/>
      <c r="J738" s="28"/>
    </row>
    <row r="739" spans="2:10" x14ac:dyDescent="0.25">
      <c r="B739" s="21"/>
      <c r="G739" s="22"/>
      <c r="H739" s="22"/>
      <c r="I739" s="28"/>
      <c r="J739" s="28"/>
    </row>
    <row r="740" spans="2:10" x14ac:dyDescent="0.25">
      <c r="B740" s="21"/>
      <c r="G740" s="22"/>
      <c r="H740" s="22"/>
      <c r="I740" s="28"/>
      <c r="J740" s="28"/>
    </row>
    <row r="741" spans="2:10" x14ac:dyDescent="0.25">
      <c r="B741" s="21"/>
      <c r="G741" s="22"/>
      <c r="H741" s="22"/>
      <c r="I741" s="28"/>
      <c r="J741" s="28"/>
    </row>
    <row r="742" spans="2:10" x14ac:dyDescent="0.25">
      <c r="B742" s="21"/>
      <c r="G742" s="22"/>
      <c r="H742" s="22"/>
      <c r="I742" s="28"/>
      <c r="J742" s="28"/>
    </row>
    <row r="743" spans="2:10" x14ac:dyDescent="0.25">
      <c r="B743" s="21"/>
      <c r="G743" s="22"/>
      <c r="H743" s="22"/>
      <c r="I743" s="28"/>
      <c r="J743" s="28"/>
    </row>
    <row r="744" spans="2:10" x14ac:dyDescent="0.25">
      <c r="B744" s="21"/>
      <c r="G744" s="22"/>
      <c r="H744" s="22"/>
      <c r="I744" s="28"/>
      <c r="J744" s="28"/>
    </row>
    <row r="745" spans="2:10" x14ac:dyDescent="0.25">
      <c r="B745" s="21"/>
      <c r="G745" s="22"/>
      <c r="H745" s="22"/>
      <c r="I745" s="28"/>
      <c r="J745" s="28"/>
    </row>
    <row r="746" spans="2:10" x14ac:dyDescent="0.25">
      <c r="B746" s="21"/>
      <c r="G746" s="22"/>
      <c r="H746" s="22"/>
      <c r="I746" s="28"/>
      <c r="J746" s="28"/>
    </row>
    <row r="747" spans="2:10" x14ac:dyDescent="0.25">
      <c r="B747" s="21"/>
      <c r="G747" s="22"/>
      <c r="H747" s="22"/>
      <c r="I747" s="28"/>
      <c r="J747" s="28"/>
    </row>
    <row r="748" spans="2:10" x14ac:dyDescent="0.25">
      <c r="B748" s="21"/>
      <c r="G748" s="22"/>
      <c r="H748" s="22"/>
      <c r="I748" s="28"/>
      <c r="J748" s="28"/>
    </row>
    <row r="749" spans="2:10" x14ac:dyDescent="0.25">
      <c r="B749" s="21"/>
      <c r="G749" s="22"/>
      <c r="H749" s="22"/>
      <c r="I749" s="28"/>
      <c r="J749" s="28"/>
    </row>
    <row r="750" spans="2:10" x14ac:dyDescent="0.25">
      <c r="B750" s="21"/>
      <c r="G750" s="22"/>
      <c r="H750" s="22"/>
      <c r="I750" s="28"/>
      <c r="J750" s="28"/>
    </row>
    <row r="751" spans="2:10" x14ac:dyDescent="0.25">
      <c r="B751" s="21"/>
      <c r="G751" s="22"/>
      <c r="H751" s="22"/>
      <c r="I751" s="28"/>
      <c r="J751" s="28"/>
    </row>
    <row r="752" spans="2:10" x14ac:dyDescent="0.25">
      <c r="B752" s="21"/>
      <c r="G752" s="22"/>
      <c r="H752" s="22"/>
      <c r="I752" s="28"/>
      <c r="J752" s="28"/>
    </row>
    <row r="753" spans="2:10" x14ac:dyDescent="0.25">
      <c r="B753" s="21"/>
      <c r="G753" s="22"/>
      <c r="H753" s="22"/>
      <c r="I753" s="28"/>
      <c r="J753" s="28"/>
    </row>
    <row r="754" spans="2:10" x14ac:dyDescent="0.25">
      <c r="B754" s="21"/>
      <c r="G754" s="22"/>
      <c r="H754" s="22"/>
      <c r="I754" s="28"/>
      <c r="J754" s="28"/>
    </row>
    <row r="755" spans="2:10" x14ac:dyDescent="0.25">
      <c r="B755" s="21"/>
      <c r="G755" s="22"/>
      <c r="H755" s="22"/>
      <c r="I755" s="28"/>
      <c r="J755" s="28"/>
    </row>
    <row r="756" spans="2:10" x14ac:dyDescent="0.25">
      <c r="B756" s="21"/>
      <c r="G756" s="22"/>
      <c r="H756" s="22"/>
      <c r="I756" s="28"/>
      <c r="J756" s="28"/>
    </row>
    <row r="757" spans="2:10" x14ac:dyDescent="0.25">
      <c r="B757" s="21"/>
      <c r="G757" s="22"/>
      <c r="H757" s="22"/>
      <c r="I757" s="28"/>
      <c r="J757" s="28"/>
    </row>
    <row r="758" spans="2:10" x14ac:dyDescent="0.25">
      <c r="B758" s="21"/>
      <c r="G758" s="22"/>
      <c r="H758" s="22"/>
      <c r="I758" s="28"/>
      <c r="J758" s="28"/>
    </row>
    <row r="759" spans="2:10" x14ac:dyDescent="0.25">
      <c r="B759" s="21"/>
      <c r="G759" s="22"/>
      <c r="H759" s="22"/>
      <c r="I759" s="28"/>
      <c r="J759" s="28"/>
    </row>
    <row r="760" spans="2:10" x14ac:dyDescent="0.25">
      <c r="B760" s="21"/>
      <c r="G760" s="22"/>
      <c r="H760" s="22"/>
      <c r="I760" s="28"/>
      <c r="J760" s="28"/>
    </row>
    <row r="761" spans="2:10" x14ac:dyDescent="0.25">
      <c r="B761" s="21"/>
      <c r="G761" s="22"/>
      <c r="H761" s="22"/>
      <c r="I761" s="28"/>
      <c r="J761" s="28"/>
    </row>
    <row r="762" spans="2:10" x14ac:dyDescent="0.25">
      <c r="B762" s="21"/>
      <c r="G762" s="22"/>
      <c r="H762" s="22"/>
      <c r="I762" s="28"/>
      <c r="J762" s="28"/>
    </row>
    <row r="763" spans="2:10" x14ac:dyDescent="0.25">
      <c r="B763" s="21"/>
      <c r="G763" s="22"/>
      <c r="H763" s="22"/>
      <c r="I763" s="28"/>
      <c r="J763" s="28"/>
    </row>
    <row r="764" spans="2:10" x14ac:dyDescent="0.25">
      <c r="B764" s="21"/>
      <c r="G764" s="22"/>
      <c r="H764" s="22"/>
      <c r="I764" s="28"/>
      <c r="J764" s="28"/>
    </row>
    <row r="765" spans="2:10" x14ac:dyDescent="0.25">
      <c r="B765" s="21"/>
      <c r="G765" s="22"/>
      <c r="H765" s="22"/>
      <c r="I765" s="28"/>
      <c r="J765" s="28"/>
    </row>
    <row r="766" spans="2:10" x14ac:dyDescent="0.25">
      <c r="B766" s="21"/>
      <c r="G766" s="22"/>
      <c r="H766" s="22"/>
      <c r="I766" s="28"/>
      <c r="J766" s="28"/>
    </row>
    <row r="767" spans="2:10" x14ac:dyDescent="0.25">
      <c r="B767" s="21"/>
      <c r="G767" s="22"/>
      <c r="H767" s="22"/>
      <c r="I767" s="28"/>
      <c r="J767" s="28"/>
    </row>
    <row r="768" spans="2:10" x14ac:dyDescent="0.25">
      <c r="B768" s="21"/>
      <c r="G768" s="22"/>
      <c r="H768" s="22"/>
      <c r="I768" s="28"/>
      <c r="J768" s="28"/>
    </row>
    <row r="769" spans="2:10" x14ac:dyDescent="0.25">
      <c r="B769" s="21"/>
      <c r="G769" s="22"/>
      <c r="H769" s="22"/>
      <c r="I769" s="28"/>
      <c r="J769" s="28"/>
    </row>
    <row r="770" spans="2:10" x14ac:dyDescent="0.25">
      <c r="B770" s="21"/>
      <c r="G770" s="22"/>
      <c r="H770" s="22"/>
      <c r="I770" s="28"/>
      <c r="J770" s="28"/>
    </row>
    <row r="771" spans="2:10" x14ac:dyDescent="0.25">
      <c r="B771" s="21"/>
      <c r="G771" s="22"/>
      <c r="H771" s="22"/>
      <c r="I771" s="28"/>
      <c r="J771" s="28"/>
    </row>
    <row r="772" spans="2:10" x14ac:dyDescent="0.25">
      <c r="B772" s="21"/>
      <c r="G772" s="22"/>
      <c r="H772" s="22"/>
      <c r="I772" s="28"/>
      <c r="J772" s="28"/>
    </row>
    <row r="773" spans="2:10" x14ac:dyDescent="0.25">
      <c r="B773" s="21"/>
      <c r="G773" s="22"/>
      <c r="H773" s="22"/>
      <c r="I773" s="28"/>
      <c r="J773" s="28"/>
    </row>
    <row r="774" spans="2:10" x14ac:dyDescent="0.25">
      <c r="B774" s="21"/>
      <c r="G774" s="22"/>
      <c r="H774" s="22"/>
      <c r="I774" s="28"/>
      <c r="J774" s="28"/>
    </row>
    <row r="775" spans="2:10" x14ac:dyDescent="0.25">
      <c r="B775" s="21"/>
      <c r="G775" s="22"/>
      <c r="H775" s="22"/>
      <c r="I775" s="28"/>
      <c r="J775" s="28"/>
    </row>
    <row r="776" spans="2:10" x14ac:dyDescent="0.25">
      <c r="B776" s="21"/>
      <c r="G776" s="22"/>
      <c r="H776" s="22"/>
      <c r="I776" s="28"/>
      <c r="J776" s="28"/>
    </row>
    <row r="777" spans="2:10" x14ac:dyDescent="0.25">
      <c r="B777" s="21"/>
      <c r="G777" s="22"/>
      <c r="H777" s="22"/>
      <c r="I777" s="28"/>
      <c r="J777" s="28"/>
    </row>
    <row r="778" spans="2:10" x14ac:dyDescent="0.25">
      <c r="B778" s="21"/>
      <c r="G778" s="22"/>
      <c r="H778" s="22"/>
      <c r="I778" s="28"/>
      <c r="J778" s="28"/>
    </row>
    <row r="779" spans="2:10" x14ac:dyDescent="0.25">
      <c r="B779" s="21"/>
      <c r="G779" s="22"/>
      <c r="H779" s="22"/>
      <c r="I779" s="28"/>
      <c r="J779" s="28"/>
    </row>
    <row r="780" spans="2:10" x14ac:dyDescent="0.25">
      <c r="B780" s="21"/>
      <c r="G780" s="22"/>
      <c r="H780" s="22"/>
      <c r="I780" s="28"/>
      <c r="J780" s="28"/>
    </row>
    <row r="781" spans="2:10" x14ac:dyDescent="0.25">
      <c r="B781" s="21"/>
      <c r="G781" s="22"/>
      <c r="H781" s="22"/>
      <c r="I781" s="28"/>
      <c r="J781" s="28"/>
    </row>
    <row r="782" spans="2:10" x14ac:dyDescent="0.25">
      <c r="B782" s="21"/>
      <c r="G782" s="22"/>
      <c r="H782" s="22"/>
      <c r="I782" s="28"/>
      <c r="J782" s="28"/>
    </row>
    <row r="783" spans="2:10" x14ac:dyDescent="0.25">
      <c r="B783" s="21"/>
      <c r="G783" s="22"/>
      <c r="H783" s="22"/>
      <c r="I783" s="28"/>
      <c r="J783" s="28"/>
    </row>
    <row r="784" spans="2:10" x14ac:dyDescent="0.25">
      <c r="B784" s="21"/>
      <c r="G784" s="22"/>
      <c r="H784" s="22"/>
      <c r="I784" s="28"/>
      <c r="J784" s="28"/>
    </row>
    <row r="785" spans="2:10" x14ac:dyDescent="0.25">
      <c r="B785" s="21"/>
      <c r="G785" s="22"/>
      <c r="H785" s="22"/>
      <c r="I785" s="28"/>
      <c r="J785" s="28"/>
    </row>
    <row r="786" spans="2:10" x14ac:dyDescent="0.25">
      <c r="B786" s="21"/>
      <c r="G786" s="22"/>
      <c r="H786" s="22"/>
      <c r="I786" s="28"/>
      <c r="J786" s="28"/>
    </row>
    <row r="787" spans="2:10" x14ac:dyDescent="0.25">
      <c r="B787" s="21"/>
      <c r="G787" s="22"/>
      <c r="H787" s="22"/>
      <c r="I787" s="28"/>
      <c r="J787" s="28"/>
    </row>
    <row r="788" spans="2:10" x14ac:dyDescent="0.25">
      <c r="B788" s="21"/>
      <c r="G788" s="22"/>
      <c r="H788" s="22"/>
      <c r="I788" s="28"/>
      <c r="J788" s="28"/>
    </row>
    <row r="789" spans="2:10" x14ac:dyDescent="0.25">
      <c r="B789" s="21"/>
      <c r="G789" s="22"/>
      <c r="H789" s="22"/>
      <c r="I789" s="28"/>
      <c r="J789" s="28"/>
    </row>
    <row r="790" spans="2:10" x14ac:dyDescent="0.25">
      <c r="B790" s="21"/>
      <c r="G790" s="22"/>
      <c r="H790" s="22"/>
      <c r="I790" s="28"/>
      <c r="J790" s="28"/>
    </row>
    <row r="791" spans="2:10" x14ac:dyDescent="0.25">
      <c r="B791" s="21"/>
      <c r="G791" s="22"/>
      <c r="H791" s="22"/>
      <c r="I791" s="28"/>
      <c r="J791" s="28"/>
    </row>
    <row r="792" spans="2:10" x14ac:dyDescent="0.25">
      <c r="B792" s="21"/>
      <c r="G792" s="22"/>
      <c r="H792" s="22"/>
      <c r="I792" s="28"/>
      <c r="J792" s="28"/>
    </row>
    <row r="793" spans="2:10" x14ac:dyDescent="0.25">
      <c r="B793" s="21"/>
      <c r="G793" s="22"/>
      <c r="H793" s="22"/>
      <c r="I793" s="28"/>
      <c r="J793" s="28"/>
    </row>
    <row r="794" spans="2:10" x14ac:dyDescent="0.25">
      <c r="B794" s="21"/>
      <c r="G794" s="22"/>
      <c r="H794" s="22"/>
      <c r="I794" s="28"/>
      <c r="J794" s="28"/>
    </row>
    <row r="795" spans="2:10" x14ac:dyDescent="0.25">
      <c r="B795" s="21"/>
      <c r="G795" s="22"/>
      <c r="H795" s="22"/>
      <c r="I795" s="28"/>
      <c r="J795" s="28"/>
    </row>
    <row r="796" spans="2:10" x14ac:dyDescent="0.25">
      <c r="B796" s="21"/>
      <c r="G796" s="22"/>
      <c r="H796" s="22"/>
      <c r="I796" s="28"/>
      <c r="J796" s="28"/>
    </row>
    <row r="797" spans="2:10" x14ac:dyDescent="0.25">
      <c r="B797" s="21"/>
      <c r="G797" s="22"/>
      <c r="H797" s="22"/>
      <c r="I797" s="28"/>
      <c r="J797" s="28"/>
    </row>
    <row r="798" spans="2:10" x14ac:dyDescent="0.25">
      <c r="B798" s="21"/>
      <c r="G798" s="22"/>
      <c r="H798" s="22"/>
      <c r="I798" s="28"/>
      <c r="J798" s="28"/>
    </row>
    <row r="799" spans="2:10" x14ac:dyDescent="0.25">
      <c r="B799" s="21"/>
      <c r="G799" s="22"/>
      <c r="H799" s="22"/>
      <c r="I799" s="28"/>
      <c r="J799" s="28"/>
    </row>
    <row r="800" spans="2:10" x14ac:dyDescent="0.25">
      <c r="B800" s="21"/>
      <c r="G800" s="22"/>
      <c r="H800" s="22"/>
      <c r="I800" s="28"/>
      <c r="J800" s="28"/>
    </row>
    <row r="801" spans="2:10" x14ac:dyDescent="0.25">
      <c r="B801" s="21"/>
      <c r="G801" s="22"/>
      <c r="H801" s="22"/>
      <c r="I801" s="28"/>
      <c r="J801" s="28"/>
    </row>
    <row r="802" spans="2:10" x14ac:dyDescent="0.25">
      <c r="B802" s="21"/>
      <c r="G802" s="22"/>
      <c r="H802" s="22"/>
      <c r="I802" s="28"/>
      <c r="J802" s="28"/>
    </row>
    <row r="803" spans="2:10" x14ac:dyDescent="0.25">
      <c r="B803" s="21"/>
      <c r="G803" s="22"/>
      <c r="H803" s="22"/>
      <c r="I803" s="28"/>
      <c r="J803" s="28"/>
    </row>
    <row r="804" spans="2:10" x14ac:dyDescent="0.25">
      <c r="B804" s="21"/>
      <c r="G804" s="22"/>
      <c r="H804" s="22"/>
      <c r="I804" s="28"/>
      <c r="J804" s="28"/>
    </row>
    <row r="805" spans="2:10" x14ac:dyDescent="0.25">
      <c r="B805" s="21"/>
      <c r="G805" s="22"/>
      <c r="H805" s="22"/>
      <c r="I805" s="28"/>
      <c r="J805" s="28"/>
    </row>
    <row r="806" spans="2:10" x14ac:dyDescent="0.25">
      <c r="B806" s="21"/>
      <c r="G806" s="22"/>
      <c r="H806" s="22"/>
      <c r="I806" s="28"/>
      <c r="J806" s="28"/>
    </row>
    <row r="807" spans="2:10" x14ac:dyDescent="0.25">
      <c r="B807" s="21"/>
      <c r="G807" s="22"/>
      <c r="H807" s="22"/>
      <c r="I807" s="28"/>
      <c r="J807" s="28"/>
    </row>
    <row r="808" spans="2:10" x14ac:dyDescent="0.25">
      <c r="B808" s="21"/>
      <c r="G808" s="22"/>
      <c r="H808" s="22"/>
      <c r="I808" s="28"/>
      <c r="J808" s="28"/>
    </row>
    <row r="809" spans="2:10" x14ac:dyDescent="0.25">
      <c r="B809" s="21"/>
      <c r="G809" s="22"/>
      <c r="H809" s="22"/>
      <c r="I809" s="28"/>
      <c r="J809" s="28"/>
    </row>
    <row r="810" spans="2:10" x14ac:dyDescent="0.25">
      <c r="B810" s="21"/>
      <c r="G810" s="22"/>
      <c r="H810" s="22"/>
      <c r="I810" s="28"/>
      <c r="J810" s="28"/>
    </row>
    <row r="811" spans="2:10" x14ac:dyDescent="0.25">
      <c r="B811" s="21"/>
      <c r="G811" s="22"/>
      <c r="H811" s="22"/>
      <c r="I811" s="28"/>
      <c r="J811" s="28"/>
    </row>
    <row r="812" spans="2:10" x14ac:dyDescent="0.25">
      <c r="B812" s="21"/>
      <c r="G812" s="22"/>
      <c r="H812" s="22"/>
      <c r="I812" s="28"/>
      <c r="J812" s="28"/>
    </row>
    <row r="813" spans="2:10" x14ac:dyDescent="0.25">
      <c r="B813" s="21"/>
      <c r="G813" s="22"/>
      <c r="H813" s="22"/>
      <c r="I813" s="28"/>
      <c r="J813" s="28"/>
    </row>
    <row r="814" spans="2:10" x14ac:dyDescent="0.25">
      <c r="B814" s="21"/>
      <c r="G814" s="22"/>
      <c r="H814" s="22"/>
      <c r="I814" s="28"/>
      <c r="J814" s="28"/>
    </row>
    <row r="815" spans="2:10" x14ac:dyDescent="0.25">
      <c r="B815" s="21"/>
      <c r="G815" s="22"/>
      <c r="H815" s="22"/>
      <c r="I815" s="28"/>
      <c r="J815" s="28"/>
    </row>
    <row r="816" spans="2:10" x14ac:dyDescent="0.25">
      <c r="B816" s="21"/>
      <c r="G816" s="22"/>
      <c r="H816" s="22"/>
      <c r="I816" s="28"/>
      <c r="J816" s="28"/>
    </row>
    <row r="817" spans="2:10" x14ac:dyDescent="0.25">
      <c r="B817" s="21"/>
      <c r="G817" s="22"/>
      <c r="H817" s="22"/>
      <c r="I817" s="28"/>
      <c r="J817" s="28"/>
    </row>
    <row r="818" spans="2:10" x14ac:dyDescent="0.25">
      <c r="B818" s="21"/>
      <c r="G818" s="22"/>
      <c r="H818" s="22"/>
      <c r="I818" s="28"/>
      <c r="J818" s="28"/>
    </row>
    <row r="819" spans="2:10" x14ac:dyDescent="0.25">
      <c r="B819" s="21"/>
      <c r="G819" s="22"/>
      <c r="H819" s="22"/>
      <c r="I819" s="28"/>
      <c r="J819" s="28"/>
    </row>
    <row r="820" spans="2:10" x14ac:dyDescent="0.25">
      <c r="B820" s="21"/>
      <c r="G820" s="22"/>
      <c r="H820" s="22"/>
      <c r="I820" s="28"/>
      <c r="J820" s="28"/>
    </row>
    <row r="821" spans="2:10" x14ac:dyDescent="0.25">
      <c r="B821" s="21"/>
      <c r="G821" s="22"/>
      <c r="H821" s="22"/>
      <c r="I821" s="28"/>
      <c r="J821" s="28"/>
    </row>
    <row r="822" spans="2:10" x14ac:dyDescent="0.25">
      <c r="B822" s="21"/>
      <c r="G822" s="22"/>
      <c r="H822" s="22"/>
      <c r="I822" s="28"/>
      <c r="J822" s="28"/>
    </row>
    <row r="823" spans="2:10" x14ac:dyDescent="0.25">
      <c r="B823" s="21"/>
      <c r="G823" s="22"/>
      <c r="H823" s="22"/>
      <c r="I823" s="28"/>
      <c r="J823" s="28"/>
    </row>
    <row r="824" spans="2:10" x14ac:dyDescent="0.25">
      <c r="B824" s="21"/>
      <c r="G824" s="22"/>
      <c r="H824" s="22"/>
      <c r="I824" s="28"/>
      <c r="J824" s="28"/>
    </row>
    <row r="825" spans="2:10" x14ac:dyDescent="0.25">
      <c r="B825" s="21"/>
      <c r="G825" s="22"/>
      <c r="H825" s="22"/>
      <c r="I825" s="28"/>
      <c r="J825" s="28"/>
    </row>
    <row r="826" spans="2:10" x14ac:dyDescent="0.25">
      <c r="B826" s="21"/>
      <c r="G826" s="22"/>
      <c r="H826" s="22"/>
      <c r="I826" s="28"/>
      <c r="J826" s="28"/>
    </row>
    <row r="827" spans="2:10" x14ac:dyDescent="0.25">
      <c r="B827" s="21"/>
      <c r="G827" s="22"/>
      <c r="H827" s="22"/>
      <c r="I827" s="28"/>
      <c r="J827" s="28"/>
    </row>
    <row r="828" spans="2:10" x14ac:dyDescent="0.25">
      <c r="B828" s="21"/>
      <c r="G828" s="22"/>
      <c r="H828" s="22"/>
      <c r="I828" s="28"/>
      <c r="J828" s="28"/>
    </row>
    <row r="829" spans="2:10" x14ac:dyDescent="0.25">
      <c r="B829" s="21"/>
      <c r="G829" s="22"/>
      <c r="H829" s="22"/>
      <c r="I829" s="28"/>
      <c r="J829" s="28"/>
    </row>
    <row r="830" spans="2:10" x14ac:dyDescent="0.25">
      <c r="B830" s="21"/>
      <c r="G830" s="22"/>
      <c r="H830" s="22"/>
      <c r="I830" s="28"/>
      <c r="J830" s="28"/>
    </row>
    <row r="831" spans="2:10" x14ac:dyDescent="0.25">
      <c r="B831" s="21"/>
      <c r="G831" s="22"/>
      <c r="H831" s="22"/>
      <c r="I831" s="28"/>
      <c r="J831" s="28"/>
    </row>
    <row r="832" spans="2:10" x14ac:dyDescent="0.25">
      <c r="B832" s="21"/>
      <c r="G832" s="22"/>
      <c r="H832" s="22"/>
      <c r="I832" s="28"/>
      <c r="J832" s="28"/>
    </row>
    <row r="833" spans="2:10" x14ac:dyDescent="0.25">
      <c r="B833" s="21"/>
      <c r="G833" s="22"/>
      <c r="H833" s="22"/>
      <c r="I833" s="28"/>
      <c r="J833" s="28"/>
    </row>
    <row r="834" spans="2:10" x14ac:dyDescent="0.25">
      <c r="B834" s="21"/>
      <c r="G834" s="22"/>
      <c r="H834" s="22"/>
      <c r="I834" s="28"/>
      <c r="J834" s="28"/>
    </row>
    <row r="835" spans="2:10" x14ac:dyDescent="0.25">
      <c r="B835" s="21"/>
      <c r="G835" s="22"/>
      <c r="H835" s="22"/>
      <c r="I835" s="28"/>
      <c r="J835" s="28"/>
    </row>
    <row r="836" spans="2:10" x14ac:dyDescent="0.25">
      <c r="B836" s="21"/>
      <c r="G836" s="22"/>
      <c r="H836" s="22"/>
      <c r="I836" s="28"/>
      <c r="J836" s="28"/>
    </row>
    <row r="837" spans="2:10" x14ac:dyDescent="0.25">
      <c r="B837" s="21"/>
      <c r="G837" s="22"/>
      <c r="H837" s="22"/>
      <c r="I837" s="28"/>
      <c r="J837" s="28"/>
    </row>
    <row r="838" spans="2:10" x14ac:dyDescent="0.25">
      <c r="B838" s="21"/>
      <c r="G838" s="22"/>
      <c r="H838" s="22"/>
      <c r="I838" s="28"/>
      <c r="J838" s="28"/>
    </row>
    <row r="839" spans="2:10" x14ac:dyDescent="0.25">
      <c r="B839" s="21"/>
      <c r="G839" s="22"/>
      <c r="H839" s="22"/>
      <c r="I839" s="28"/>
      <c r="J839" s="28"/>
    </row>
    <row r="840" spans="2:10" x14ac:dyDescent="0.25">
      <c r="B840" s="21"/>
      <c r="G840" s="22"/>
      <c r="H840" s="22"/>
      <c r="I840" s="28"/>
      <c r="J840" s="28"/>
    </row>
    <row r="841" spans="2:10" x14ac:dyDescent="0.25">
      <c r="B841" s="21"/>
      <c r="G841" s="22"/>
      <c r="H841" s="22"/>
      <c r="I841" s="28"/>
      <c r="J841" s="28"/>
    </row>
    <row r="842" spans="2:10" x14ac:dyDescent="0.25">
      <c r="B842" s="21"/>
      <c r="G842" s="22"/>
      <c r="H842" s="22"/>
      <c r="I842" s="28"/>
      <c r="J842" s="28"/>
    </row>
    <row r="843" spans="2:10" x14ac:dyDescent="0.25">
      <c r="B843" s="21"/>
      <c r="G843" s="22"/>
      <c r="H843" s="22"/>
      <c r="I843" s="28"/>
      <c r="J843" s="28"/>
    </row>
    <row r="844" spans="2:10" x14ac:dyDescent="0.25">
      <c r="B844" s="21"/>
      <c r="G844" s="22"/>
      <c r="H844" s="22"/>
      <c r="I844" s="28"/>
      <c r="J844" s="28"/>
    </row>
    <row r="845" spans="2:10" x14ac:dyDescent="0.25">
      <c r="B845" s="21"/>
      <c r="G845" s="22"/>
      <c r="H845" s="22"/>
      <c r="I845" s="28"/>
      <c r="J845" s="28"/>
    </row>
    <row r="846" spans="2:10" x14ac:dyDescent="0.25">
      <c r="B846" s="21"/>
      <c r="G846" s="22"/>
      <c r="H846" s="22"/>
      <c r="I846" s="28"/>
      <c r="J846" s="28"/>
    </row>
    <row r="847" spans="2:10" x14ac:dyDescent="0.25">
      <c r="B847" s="21"/>
      <c r="G847" s="22"/>
      <c r="H847" s="22"/>
      <c r="I847" s="28"/>
      <c r="J847" s="28"/>
    </row>
    <row r="848" spans="2:10" x14ac:dyDescent="0.25">
      <c r="B848" s="21"/>
      <c r="G848" s="22"/>
      <c r="H848" s="22"/>
      <c r="I848" s="28"/>
      <c r="J848" s="28"/>
    </row>
    <row r="849" spans="2:10" x14ac:dyDescent="0.25">
      <c r="B849" s="21"/>
      <c r="G849" s="22"/>
      <c r="H849" s="22"/>
      <c r="I849" s="28"/>
      <c r="J849" s="28"/>
    </row>
    <row r="850" spans="2:10" x14ac:dyDescent="0.25">
      <c r="B850" s="21"/>
      <c r="G850" s="22"/>
      <c r="H850" s="22"/>
      <c r="I850" s="28"/>
      <c r="J850" s="28"/>
    </row>
    <row r="851" spans="2:10" x14ac:dyDescent="0.25">
      <c r="B851" s="21"/>
      <c r="G851" s="22"/>
      <c r="H851" s="22"/>
      <c r="I851" s="28"/>
      <c r="J851" s="28"/>
    </row>
    <row r="852" spans="2:10" x14ac:dyDescent="0.25">
      <c r="B852" s="21"/>
      <c r="G852" s="22"/>
      <c r="H852" s="22"/>
      <c r="I852" s="28"/>
      <c r="J852" s="28"/>
    </row>
    <row r="853" spans="2:10" x14ac:dyDescent="0.25">
      <c r="B853" s="21"/>
      <c r="G853" s="22"/>
      <c r="H853" s="22"/>
      <c r="I853" s="28"/>
      <c r="J853" s="28"/>
    </row>
    <row r="854" spans="2:10" x14ac:dyDescent="0.25">
      <c r="B854" s="21"/>
      <c r="G854" s="22"/>
      <c r="H854" s="22"/>
      <c r="I854" s="28"/>
      <c r="J854" s="28"/>
    </row>
    <row r="855" spans="2:10" x14ac:dyDescent="0.25">
      <c r="B855" s="21"/>
      <c r="G855" s="22"/>
      <c r="H855" s="22"/>
      <c r="I855" s="28"/>
      <c r="J855" s="28"/>
    </row>
    <row r="856" spans="2:10" x14ac:dyDescent="0.25">
      <c r="B856" s="21"/>
      <c r="G856" s="22"/>
      <c r="H856" s="22"/>
      <c r="I856" s="28"/>
      <c r="J856" s="28"/>
    </row>
    <row r="857" spans="2:10" x14ac:dyDescent="0.25">
      <c r="B857" s="21"/>
      <c r="G857" s="22"/>
      <c r="H857" s="22"/>
      <c r="I857" s="28"/>
      <c r="J857" s="28"/>
    </row>
    <row r="858" spans="2:10" x14ac:dyDescent="0.25">
      <c r="B858" s="21"/>
      <c r="G858" s="22"/>
      <c r="H858" s="22"/>
      <c r="I858" s="28"/>
      <c r="J858" s="28"/>
    </row>
    <row r="859" spans="2:10" x14ac:dyDescent="0.25">
      <c r="B859" s="21"/>
      <c r="G859" s="22"/>
      <c r="H859" s="22"/>
      <c r="I859" s="28"/>
      <c r="J859" s="28"/>
    </row>
    <row r="860" spans="2:10" x14ac:dyDescent="0.25">
      <c r="B860" s="21"/>
      <c r="G860" s="22"/>
      <c r="H860" s="22"/>
      <c r="I860" s="28"/>
      <c r="J860" s="28"/>
    </row>
    <row r="861" spans="2:10" x14ac:dyDescent="0.25">
      <c r="B861" s="21"/>
      <c r="G861" s="22"/>
      <c r="H861" s="22"/>
      <c r="I861" s="28"/>
      <c r="J861" s="28"/>
    </row>
    <row r="862" spans="2:10" x14ac:dyDescent="0.25">
      <c r="B862" s="21"/>
      <c r="G862" s="22"/>
      <c r="H862" s="22"/>
      <c r="I862" s="28"/>
      <c r="J862" s="28"/>
    </row>
    <row r="863" spans="2:10" x14ac:dyDescent="0.25">
      <c r="B863" s="21"/>
      <c r="G863" s="22"/>
      <c r="H863" s="22"/>
      <c r="I863" s="28"/>
      <c r="J863" s="28"/>
    </row>
    <row r="864" spans="2:10" x14ac:dyDescent="0.25">
      <c r="B864" s="21"/>
      <c r="G864" s="22"/>
      <c r="H864" s="22"/>
      <c r="I864" s="28"/>
      <c r="J864" s="28"/>
    </row>
    <row r="865" spans="2:10" x14ac:dyDescent="0.25">
      <c r="B865" s="21"/>
      <c r="G865" s="22"/>
      <c r="H865" s="22"/>
      <c r="I865" s="28"/>
      <c r="J865" s="28"/>
    </row>
    <row r="866" spans="2:10" x14ac:dyDescent="0.25">
      <c r="B866" s="21"/>
      <c r="G866" s="22"/>
      <c r="H866" s="22"/>
      <c r="I866" s="28"/>
      <c r="J866" s="28"/>
    </row>
    <row r="867" spans="2:10" x14ac:dyDescent="0.25">
      <c r="B867" s="21"/>
      <c r="G867" s="22"/>
      <c r="H867" s="22"/>
      <c r="I867" s="28"/>
      <c r="J867" s="28"/>
    </row>
    <row r="868" spans="2:10" x14ac:dyDescent="0.25">
      <c r="B868" s="21"/>
      <c r="G868" s="22"/>
      <c r="H868" s="22"/>
      <c r="I868" s="28"/>
      <c r="J868" s="28"/>
    </row>
    <row r="869" spans="2:10" x14ac:dyDescent="0.25">
      <c r="B869" s="21"/>
      <c r="G869" s="22"/>
      <c r="H869" s="22"/>
      <c r="I869" s="28"/>
      <c r="J869" s="28"/>
    </row>
    <row r="870" spans="2:10" x14ac:dyDescent="0.25">
      <c r="B870" s="21"/>
      <c r="G870" s="22"/>
      <c r="H870" s="22"/>
      <c r="I870" s="28"/>
      <c r="J870" s="28"/>
    </row>
    <row r="871" spans="2:10" x14ac:dyDescent="0.25">
      <c r="B871" s="21"/>
      <c r="G871" s="22"/>
      <c r="H871" s="22"/>
      <c r="I871" s="28"/>
      <c r="J871" s="28"/>
    </row>
    <row r="872" spans="2:10" x14ac:dyDescent="0.25">
      <c r="B872" s="21"/>
      <c r="G872" s="22"/>
      <c r="H872" s="22"/>
      <c r="I872" s="28"/>
      <c r="J872" s="28"/>
    </row>
    <row r="873" spans="2:10" x14ac:dyDescent="0.25">
      <c r="B873" s="21"/>
      <c r="G873" s="22"/>
      <c r="H873" s="22"/>
      <c r="I873" s="28"/>
      <c r="J873" s="28"/>
    </row>
    <row r="874" spans="2:10" x14ac:dyDescent="0.25">
      <c r="B874" s="21"/>
      <c r="G874" s="22"/>
      <c r="H874" s="22"/>
      <c r="I874" s="28"/>
      <c r="J874" s="28"/>
    </row>
    <row r="875" spans="2:10" x14ac:dyDescent="0.25">
      <c r="B875" s="21"/>
      <c r="G875" s="22"/>
      <c r="H875" s="22"/>
      <c r="I875" s="28"/>
      <c r="J875" s="28"/>
    </row>
    <row r="876" spans="2:10" x14ac:dyDescent="0.25">
      <c r="B876" s="21"/>
      <c r="G876" s="22"/>
      <c r="H876" s="22"/>
      <c r="I876" s="28"/>
      <c r="J876" s="28"/>
    </row>
    <row r="877" spans="2:10" x14ac:dyDescent="0.25">
      <c r="B877" s="21"/>
      <c r="G877" s="22"/>
      <c r="H877" s="22"/>
      <c r="I877" s="28"/>
      <c r="J877" s="28"/>
    </row>
    <row r="878" spans="2:10" x14ac:dyDescent="0.25">
      <c r="B878" s="21"/>
      <c r="G878" s="22"/>
      <c r="H878" s="22"/>
      <c r="I878" s="28"/>
      <c r="J878" s="28"/>
    </row>
    <row r="879" spans="2:10" x14ac:dyDescent="0.25">
      <c r="B879" s="21"/>
      <c r="G879" s="22"/>
      <c r="H879" s="22"/>
      <c r="I879" s="28"/>
      <c r="J879" s="28"/>
    </row>
    <row r="880" spans="2:10" x14ac:dyDescent="0.25">
      <c r="B880" s="21"/>
      <c r="G880" s="22"/>
      <c r="H880" s="22"/>
      <c r="I880" s="28"/>
      <c r="J880" s="28"/>
    </row>
    <row r="881" spans="2:10" x14ac:dyDescent="0.25">
      <c r="B881" s="21"/>
      <c r="G881" s="22"/>
      <c r="H881" s="22"/>
      <c r="I881" s="28"/>
      <c r="J881" s="28"/>
    </row>
    <row r="882" spans="2:10" x14ac:dyDescent="0.25">
      <c r="B882" s="21"/>
      <c r="G882" s="22"/>
      <c r="H882" s="22"/>
      <c r="I882" s="28"/>
      <c r="J882" s="28"/>
    </row>
    <row r="883" spans="2:10" x14ac:dyDescent="0.25">
      <c r="B883" s="21"/>
      <c r="G883" s="22"/>
      <c r="H883" s="22"/>
      <c r="I883" s="28"/>
      <c r="J883" s="28"/>
    </row>
    <row r="884" spans="2:10" x14ac:dyDescent="0.25">
      <c r="B884" s="21"/>
      <c r="G884" s="22"/>
      <c r="H884" s="22"/>
      <c r="I884" s="28"/>
      <c r="J884" s="28"/>
    </row>
    <row r="885" spans="2:10" x14ac:dyDescent="0.25">
      <c r="B885" s="21"/>
      <c r="G885" s="22"/>
      <c r="H885" s="22"/>
      <c r="I885" s="28"/>
      <c r="J885" s="28"/>
    </row>
    <row r="886" spans="2:10" x14ac:dyDescent="0.25">
      <c r="B886" s="21"/>
      <c r="G886" s="22"/>
      <c r="H886" s="22"/>
      <c r="I886" s="28"/>
      <c r="J886" s="28"/>
    </row>
    <row r="887" spans="2:10" x14ac:dyDescent="0.25">
      <c r="B887" s="21"/>
      <c r="G887" s="22"/>
      <c r="H887" s="22"/>
      <c r="I887" s="28"/>
      <c r="J887" s="28"/>
    </row>
    <row r="888" spans="2:10" x14ac:dyDescent="0.25">
      <c r="B888" s="21"/>
      <c r="G888" s="22"/>
      <c r="H888" s="22"/>
      <c r="I888" s="28"/>
      <c r="J888" s="28"/>
    </row>
    <row r="889" spans="2:10" x14ac:dyDescent="0.25">
      <c r="B889" s="21"/>
      <c r="G889" s="22"/>
      <c r="H889" s="22"/>
      <c r="I889" s="28"/>
      <c r="J889" s="28"/>
    </row>
    <row r="890" spans="2:10" x14ac:dyDescent="0.25">
      <c r="B890" s="21"/>
      <c r="G890" s="22"/>
      <c r="H890" s="22"/>
      <c r="I890" s="28"/>
      <c r="J890" s="28"/>
    </row>
    <row r="891" spans="2:10" x14ac:dyDescent="0.25">
      <c r="B891" s="21"/>
      <c r="G891" s="22"/>
      <c r="H891" s="22"/>
      <c r="I891" s="28"/>
      <c r="J891" s="28"/>
    </row>
    <row r="892" spans="2:10" x14ac:dyDescent="0.25">
      <c r="B892" s="21"/>
      <c r="G892" s="22"/>
      <c r="H892" s="22"/>
      <c r="I892" s="28"/>
      <c r="J892" s="28"/>
    </row>
    <row r="893" spans="2:10" x14ac:dyDescent="0.25">
      <c r="B893" s="21"/>
      <c r="G893" s="22"/>
      <c r="H893" s="22"/>
      <c r="I893" s="28"/>
      <c r="J893" s="28"/>
    </row>
    <row r="894" spans="2:10" x14ac:dyDescent="0.25">
      <c r="B894" s="21"/>
      <c r="G894" s="22"/>
      <c r="H894" s="22"/>
      <c r="I894" s="28"/>
      <c r="J894" s="28"/>
    </row>
    <row r="895" spans="2:10" x14ac:dyDescent="0.25">
      <c r="B895" s="21"/>
      <c r="G895" s="22"/>
      <c r="H895" s="22"/>
      <c r="I895" s="28"/>
      <c r="J895" s="28"/>
    </row>
    <row r="896" spans="2:10" x14ac:dyDescent="0.25">
      <c r="B896" s="21"/>
      <c r="G896" s="22"/>
      <c r="H896" s="22"/>
      <c r="I896" s="28"/>
      <c r="J896" s="28"/>
    </row>
    <row r="897" spans="2:10" x14ac:dyDescent="0.25">
      <c r="B897" s="21"/>
      <c r="G897" s="22"/>
      <c r="H897" s="22"/>
      <c r="I897" s="28"/>
      <c r="J897" s="28"/>
    </row>
    <row r="898" spans="2:10" x14ac:dyDescent="0.25">
      <c r="B898" s="21"/>
      <c r="G898" s="22"/>
      <c r="H898" s="22"/>
      <c r="I898" s="28"/>
      <c r="J898" s="28"/>
    </row>
    <row r="899" spans="2:10" x14ac:dyDescent="0.25">
      <c r="B899" s="21"/>
      <c r="G899" s="22"/>
      <c r="H899" s="22"/>
      <c r="I899" s="28"/>
      <c r="J899" s="28"/>
    </row>
    <row r="900" spans="2:10" x14ac:dyDescent="0.25">
      <c r="B900" s="21"/>
      <c r="G900" s="22"/>
      <c r="H900" s="22"/>
      <c r="I900" s="28"/>
      <c r="J900" s="28"/>
    </row>
    <row r="901" spans="2:10" x14ac:dyDescent="0.25">
      <c r="B901" s="21"/>
      <c r="G901" s="22"/>
      <c r="H901" s="22"/>
      <c r="I901" s="28"/>
      <c r="J901" s="28"/>
    </row>
    <row r="902" spans="2:10" x14ac:dyDescent="0.25">
      <c r="B902" s="21"/>
      <c r="G902" s="22"/>
      <c r="H902" s="22"/>
      <c r="I902" s="28"/>
      <c r="J902" s="28"/>
    </row>
    <row r="903" spans="2:10" x14ac:dyDescent="0.25">
      <c r="B903" s="21"/>
      <c r="G903" s="22"/>
      <c r="H903" s="22"/>
      <c r="I903" s="28"/>
      <c r="J903" s="28"/>
    </row>
    <row r="904" spans="2:10" x14ac:dyDescent="0.25">
      <c r="B904" s="21"/>
      <c r="G904" s="22"/>
      <c r="H904" s="22"/>
      <c r="I904" s="28"/>
      <c r="J904" s="28"/>
    </row>
    <row r="905" spans="2:10" x14ac:dyDescent="0.25">
      <c r="B905" s="21"/>
      <c r="G905" s="22"/>
      <c r="H905" s="22"/>
      <c r="I905" s="28"/>
      <c r="J905" s="28"/>
    </row>
    <row r="906" spans="2:10" x14ac:dyDescent="0.25">
      <c r="B906" s="21"/>
      <c r="G906" s="22"/>
      <c r="H906" s="22"/>
      <c r="I906" s="28"/>
      <c r="J906" s="28"/>
    </row>
    <row r="907" spans="2:10" x14ac:dyDescent="0.25">
      <c r="B907" s="21"/>
      <c r="G907" s="22"/>
      <c r="H907" s="22"/>
      <c r="I907" s="28"/>
      <c r="J907" s="28"/>
    </row>
    <row r="908" spans="2:10" x14ac:dyDescent="0.25">
      <c r="B908" s="21"/>
      <c r="G908" s="22"/>
      <c r="H908" s="22"/>
      <c r="I908" s="28"/>
      <c r="J908" s="28"/>
    </row>
    <row r="909" spans="2:10" x14ac:dyDescent="0.25">
      <c r="B909" s="21"/>
      <c r="G909" s="22"/>
      <c r="H909" s="22"/>
      <c r="I909" s="28"/>
      <c r="J909" s="28"/>
    </row>
    <row r="910" spans="2:10" x14ac:dyDescent="0.25">
      <c r="B910" s="21"/>
      <c r="G910" s="22"/>
      <c r="H910" s="22"/>
      <c r="I910" s="28"/>
      <c r="J910" s="28"/>
    </row>
    <row r="911" spans="2:10" x14ac:dyDescent="0.25">
      <c r="B911" s="21"/>
      <c r="G911" s="22"/>
      <c r="H911" s="22"/>
      <c r="I911" s="28"/>
      <c r="J911" s="28"/>
    </row>
    <row r="912" spans="2:10" x14ac:dyDescent="0.25">
      <c r="B912" s="21"/>
      <c r="G912" s="22"/>
      <c r="H912" s="22"/>
      <c r="I912" s="28"/>
      <c r="J912" s="28"/>
    </row>
    <row r="913" spans="2:10" x14ac:dyDescent="0.25">
      <c r="B913" s="21"/>
      <c r="G913" s="22"/>
      <c r="H913" s="22"/>
      <c r="I913" s="28"/>
      <c r="J913" s="28"/>
    </row>
    <row r="914" spans="2:10" x14ac:dyDescent="0.25">
      <c r="B914" s="21"/>
      <c r="G914" s="22"/>
      <c r="H914" s="22"/>
      <c r="I914" s="28"/>
      <c r="J914" s="28"/>
    </row>
    <row r="915" spans="2:10" x14ac:dyDescent="0.25">
      <c r="B915" s="21"/>
      <c r="G915" s="22"/>
      <c r="H915" s="22"/>
      <c r="I915" s="28"/>
      <c r="J915" s="28"/>
    </row>
    <row r="916" spans="2:10" x14ac:dyDescent="0.25">
      <c r="B916" s="21"/>
      <c r="G916" s="22"/>
      <c r="H916" s="22"/>
      <c r="I916" s="28"/>
      <c r="J916" s="28"/>
    </row>
    <row r="917" spans="2:10" x14ac:dyDescent="0.25">
      <c r="B917" s="21"/>
      <c r="G917" s="22"/>
      <c r="H917" s="22"/>
      <c r="I917" s="28"/>
      <c r="J917" s="28"/>
    </row>
    <row r="918" spans="2:10" x14ac:dyDescent="0.25">
      <c r="B918" s="21"/>
      <c r="G918" s="22"/>
      <c r="H918" s="22"/>
      <c r="I918" s="28"/>
      <c r="J918" s="28"/>
    </row>
    <row r="919" spans="2:10" x14ac:dyDescent="0.25">
      <c r="B919" s="21"/>
      <c r="G919" s="22"/>
      <c r="H919" s="22"/>
      <c r="I919" s="28"/>
      <c r="J919" s="28"/>
    </row>
    <row r="920" spans="2:10" x14ac:dyDescent="0.25">
      <c r="B920" s="21"/>
      <c r="G920" s="22"/>
      <c r="H920" s="22"/>
      <c r="I920" s="28"/>
      <c r="J920" s="28"/>
    </row>
    <row r="921" spans="2:10" x14ac:dyDescent="0.25">
      <c r="B921" s="21"/>
      <c r="G921" s="22"/>
      <c r="H921" s="22"/>
      <c r="I921" s="28"/>
      <c r="J921" s="28"/>
    </row>
    <row r="922" spans="2:10" x14ac:dyDescent="0.25">
      <c r="B922" s="21"/>
      <c r="G922" s="22"/>
      <c r="H922" s="22"/>
      <c r="I922" s="28"/>
      <c r="J922" s="28"/>
    </row>
    <row r="923" spans="2:10" x14ac:dyDescent="0.25">
      <c r="B923" s="21"/>
      <c r="G923" s="22"/>
      <c r="H923" s="22"/>
      <c r="I923" s="28"/>
      <c r="J923" s="28"/>
    </row>
    <row r="924" spans="2:10" x14ac:dyDescent="0.25">
      <c r="B924" s="21"/>
      <c r="G924" s="22"/>
      <c r="H924" s="22"/>
      <c r="I924" s="28"/>
      <c r="J924" s="28"/>
    </row>
    <row r="925" spans="2:10" x14ac:dyDescent="0.25">
      <c r="B925" s="21"/>
      <c r="G925" s="22"/>
      <c r="H925" s="22"/>
      <c r="I925" s="28"/>
      <c r="J925" s="28"/>
    </row>
    <row r="926" spans="2:10" x14ac:dyDescent="0.25">
      <c r="B926" s="21"/>
      <c r="G926" s="22"/>
      <c r="H926" s="22"/>
      <c r="I926" s="28"/>
      <c r="J926" s="28"/>
    </row>
    <row r="927" spans="2:10" x14ac:dyDescent="0.25">
      <c r="B927" s="21"/>
      <c r="G927" s="22"/>
      <c r="H927" s="22"/>
      <c r="I927" s="28"/>
      <c r="J927" s="28"/>
    </row>
    <row r="928" spans="2:10" x14ac:dyDescent="0.25">
      <c r="B928" s="21"/>
      <c r="G928" s="22"/>
      <c r="H928" s="22"/>
      <c r="I928" s="28"/>
      <c r="J928" s="28"/>
    </row>
    <row r="929" spans="2:10" x14ac:dyDescent="0.25">
      <c r="B929" s="21"/>
      <c r="G929" s="22"/>
      <c r="H929" s="22"/>
      <c r="I929" s="28"/>
      <c r="J929" s="28"/>
    </row>
    <row r="930" spans="2:10" x14ac:dyDescent="0.25">
      <c r="B930" s="21"/>
      <c r="G930" s="22"/>
      <c r="H930" s="22"/>
      <c r="I930" s="28"/>
      <c r="J930" s="28"/>
    </row>
    <row r="931" spans="2:10" x14ac:dyDescent="0.25">
      <c r="B931" s="21"/>
      <c r="G931" s="22"/>
      <c r="H931" s="22"/>
      <c r="I931" s="28"/>
      <c r="J931" s="28"/>
    </row>
    <row r="932" spans="2:10" x14ac:dyDescent="0.25">
      <c r="B932" s="21"/>
      <c r="G932" s="22"/>
      <c r="H932" s="22"/>
      <c r="I932" s="28"/>
      <c r="J932" s="28"/>
    </row>
    <row r="933" spans="2:10" x14ac:dyDescent="0.25">
      <c r="B933" s="21"/>
      <c r="G933" s="22"/>
      <c r="H933" s="22"/>
      <c r="I933" s="28"/>
      <c r="J933" s="28"/>
    </row>
    <row r="934" spans="2:10" x14ac:dyDescent="0.25">
      <c r="B934" s="21"/>
      <c r="G934" s="22"/>
      <c r="H934" s="22"/>
      <c r="I934" s="28"/>
      <c r="J934" s="28"/>
    </row>
    <row r="935" spans="2:10" x14ac:dyDescent="0.25">
      <c r="B935" s="21"/>
      <c r="G935" s="22"/>
      <c r="H935" s="22"/>
      <c r="I935" s="28"/>
      <c r="J935" s="28"/>
    </row>
    <row r="936" spans="2:10" x14ac:dyDescent="0.25">
      <c r="B936" s="21"/>
      <c r="G936" s="22"/>
      <c r="H936" s="22"/>
      <c r="I936" s="28"/>
      <c r="J936" s="28"/>
    </row>
    <row r="937" spans="2:10" x14ac:dyDescent="0.25">
      <c r="B937" s="21"/>
      <c r="G937" s="22"/>
      <c r="H937" s="22"/>
      <c r="I937" s="28"/>
      <c r="J937" s="28"/>
    </row>
    <row r="938" spans="2:10" x14ac:dyDescent="0.25">
      <c r="B938" s="21"/>
      <c r="G938" s="22"/>
      <c r="H938" s="22"/>
      <c r="I938" s="28"/>
      <c r="J938" s="28"/>
    </row>
    <row r="939" spans="2:10" x14ac:dyDescent="0.25">
      <c r="B939" s="21"/>
      <c r="G939" s="22"/>
      <c r="H939" s="22"/>
      <c r="I939" s="28"/>
      <c r="J939" s="28"/>
    </row>
    <row r="940" spans="2:10" x14ac:dyDescent="0.25">
      <c r="B940" s="21"/>
      <c r="G940" s="22"/>
      <c r="H940" s="22"/>
      <c r="I940" s="28"/>
      <c r="J940" s="28"/>
    </row>
    <row r="941" spans="2:10" x14ac:dyDescent="0.25">
      <c r="B941" s="21"/>
      <c r="G941" s="22"/>
      <c r="H941" s="22"/>
      <c r="I941" s="28"/>
      <c r="J941" s="28"/>
    </row>
    <row r="942" spans="2:10" x14ac:dyDescent="0.25">
      <c r="B942" s="21"/>
      <c r="G942" s="22"/>
      <c r="H942" s="22"/>
      <c r="I942" s="28"/>
      <c r="J942" s="28"/>
    </row>
    <row r="943" spans="2:10" x14ac:dyDescent="0.25">
      <c r="B943" s="21"/>
      <c r="G943" s="22"/>
      <c r="H943" s="22"/>
      <c r="I943" s="28"/>
      <c r="J943" s="28"/>
    </row>
    <row r="944" spans="2:10" x14ac:dyDescent="0.25">
      <c r="B944" s="21"/>
      <c r="G944" s="22"/>
      <c r="H944" s="22"/>
      <c r="I944" s="28"/>
      <c r="J944" s="28"/>
    </row>
    <row r="945" spans="2:10" x14ac:dyDescent="0.25">
      <c r="B945" s="21"/>
      <c r="G945" s="22"/>
      <c r="H945" s="22"/>
      <c r="I945" s="28"/>
      <c r="J945" s="28"/>
    </row>
    <row r="946" spans="2:10" x14ac:dyDescent="0.25">
      <c r="B946" s="21"/>
      <c r="G946" s="22"/>
      <c r="H946" s="22"/>
      <c r="I946" s="28"/>
      <c r="J946" s="28"/>
    </row>
    <row r="947" spans="2:10" x14ac:dyDescent="0.25">
      <c r="B947" s="21"/>
      <c r="G947" s="22"/>
      <c r="H947" s="22"/>
      <c r="I947" s="28"/>
      <c r="J947" s="28"/>
    </row>
    <row r="948" spans="2:10" x14ac:dyDescent="0.25">
      <c r="B948" s="21"/>
      <c r="G948" s="22"/>
      <c r="H948" s="22"/>
      <c r="I948" s="28"/>
      <c r="J948" s="28"/>
    </row>
    <row r="949" spans="2:10" x14ac:dyDescent="0.25">
      <c r="B949" s="21"/>
      <c r="G949" s="22"/>
      <c r="H949" s="22"/>
      <c r="I949" s="28"/>
      <c r="J949" s="28"/>
    </row>
    <row r="950" spans="2:10" x14ac:dyDescent="0.25">
      <c r="B950" s="21"/>
      <c r="G950" s="22"/>
      <c r="H950" s="22"/>
      <c r="I950" s="28"/>
      <c r="J950" s="28"/>
    </row>
    <row r="951" spans="2:10" x14ac:dyDescent="0.25">
      <c r="B951" s="21"/>
      <c r="G951" s="22"/>
      <c r="H951" s="22"/>
      <c r="I951" s="28"/>
      <c r="J951" s="28"/>
    </row>
    <row r="952" spans="2:10" x14ac:dyDescent="0.25">
      <c r="B952" s="21"/>
      <c r="G952" s="22"/>
      <c r="H952" s="22"/>
      <c r="I952" s="28"/>
      <c r="J952" s="28"/>
    </row>
    <row r="953" spans="2:10" x14ac:dyDescent="0.25">
      <c r="B953" s="21"/>
      <c r="G953" s="22"/>
      <c r="H953" s="22"/>
      <c r="I953" s="28"/>
      <c r="J953" s="28"/>
    </row>
    <row r="954" spans="2:10" x14ac:dyDescent="0.25">
      <c r="B954" s="21"/>
      <c r="G954" s="22"/>
      <c r="H954" s="22"/>
      <c r="I954" s="28"/>
      <c r="J954" s="28"/>
    </row>
    <row r="955" spans="2:10" x14ac:dyDescent="0.25">
      <c r="B955" s="21"/>
      <c r="G955" s="22"/>
      <c r="H955" s="22"/>
      <c r="I955" s="28"/>
      <c r="J955" s="28"/>
    </row>
    <row r="956" spans="2:10" x14ac:dyDescent="0.25">
      <c r="B956" s="21"/>
      <c r="G956" s="22"/>
      <c r="H956" s="22"/>
      <c r="I956" s="28"/>
      <c r="J956" s="28"/>
    </row>
    <row r="957" spans="2:10" x14ac:dyDescent="0.25">
      <c r="B957" s="21"/>
      <c r="G957" s="22"/>
      <c r="H957" s="22"/>
      <c r="I957" s="28"/>
      <c r="J957" s="28"/>
    </row>
    <row r="958" spans="2:10" x14ac:dyDescent="0.25">
      <c r="B958" s="21"/>
      <c r="G958" s="22"/>
      <c r="H958" s="22"/>
      <c r="I958" s="28"/>
      <c r="J958" s="28"/>
    </row>
    <row r="959" spans="2:10" x14ac:dyDescent="0.25">
      <c r="B959" s="21"/>
      <c r="G959" s="22"/>
      <c r="H959" s="22"/>
      <c r="I959" s="28"/>
      <c r="J959" s="28"/>
    </row>
    <row r="960" spans="2:10" x14ac:dyDescent="0.25">
      <c r="B960" s="21"/>
      <c r="G960" s="22"/>
      <c r="H960" s="22"/>
      <c r="I960" s="28"/>
      <c r="J960" s="28"/>
    </row>
    <row r="961" spans="2:10" x14ac:dyDescent="0.25">
      <c r="B961" s="21"/>
      <c r="G961" s="22"/>
      <c r="H961" s="22"/>
      <c r="I961" s="28"/>
      <c r="J961" s="28"/>
    </row>
    <row r="962" spans="2:10" x14ac:dyDescent="0.25">
      <c r="B962" s="21"/>
      <c r="G962" s="22"/>
      <c r="H962" s="22"/>
      <c r="I962" s="28"/>
      <c r="J962" s="28"/>
    </row>
    <row r="963" spans="2:10" x14ac:dyDescent="0.25">
      <c r="B963" s="21"/>
      <c r="G963" s="22"/>
      <c r="H963" s="22"/>
      <c r="I963" s="28"/>
      <c r="J963" s="28"/>
    </row>
    <row r="964" spans="2:10" x14ac:dyDescent="0.25">
      <c r="B964" s="21"/>
      <c r="G964" s="22"/>
      <c r="H964" s="22"/>
      <c r="I964" s="28"/>
      <c r="J964" s="28"/>
    </row>
    <row r="965" spans="2:10" x14ac:dyDescent="0.25">
      <c r="B965" s="21"/>
      <c r="G965" s="22"/>
      <c r="H965" s="22"/>
      <c r="I965" s="28"/>
      <c r="J965" s="28"/>
    </row>
    <row r="966" spans="2:10" x14ac:dyDescent="0.25">
      <c r="B966" s="21"/>
      <c r="G966" s="22"/>
      <c r="H966" s="22"/>
      <c r="I966" s="28"/>
      <c r="J966" s="28"/>
    </row>
    <row r="967" spans="2:10" x14ac:dyDescent="0.25">
      <c r="B967" s="21"/>
      <c r="G967" s="22"/>
      <c r="H967" s="22"/>
      <c r="I967" s="28"/>
      <c r="J967" s="28"/>
    </row>
    <row r="968" spans="2:10" x14ac:dyDescent="0.25">
      <c r="B968" s="21"/>
      <c r="G968" s="22"/>
      <c r="H968" s="22"/>
      <c r="I968" s="28"/>
      <c r="J968" s="28"/>
    </row>
    <row r="969" spans="2:10" x14ac:dyDescent="0.25">
      <c r="B969" s="21"/>
      <c r="G969" s="22"/>
      <c r="H969" s="22"/>
      <c r="I969" s="28"/>
      <c r="J969" s="28"/>
    </row>
    <row r="970" spans="2:10" x14ac:dyDescent="0.25">
      <c r="B970" s="21"/>
      <c r="G970" s="22"/>
      <c r="H970" s="22"/>
      <c r="I970" s="28"/>
      <c r="J970" s="28"/>
    </row>
    <row r="971" spans="2:10" x14ac:dyDescent="0.25">
      <c r="B971" s="21"/>
      <c r="G971" s="22"/>
      <c r="H971" s="22"/>
      <c r="I971" s="28"/>
      <c r="J971" s="28"/>
    </row>
    <row r="972" spans="2:10" x14ac:dyDescent="0.25">
      <c r="B972" s="21"/>
      <c r="G972" s="22"/>
      <c r="H972" s="22"/>
      <c r="I972" s="28"/>
      <c r="J972" s="28"/>
    </row>
    <row r="973" spans="2:10" x14ac:dyDescent="0.25">
      <c r="B973" s="21"/>
      <c r="G973" s="22"/>
      <c r="H973" s="22"/>
      <c r="I973" s="28"/>
      <c r="J973" s="28"/>
    </row>
    <row r="974" spans="2:10" x14ac:dyDescent="0.25">
      <c r="B974" s="21"/>
      <c r="G974" s="22"/>
      <c r="H974" s="22"/>
      <c r="I974" s="28"/>
      <c r="J974" s="28"/>
    </row>
    <row r="975" spans="2:10" x14ac:dyDescent="0.25">
      <c r="B975" s="21"/>
      <c r="G975" s="22"/>
      <c r="H975" s="22"/>
      <c r="I975" s="28"/>
      <c r="J975" s="28"/>
    </row>
    <row r="976" spans="2:10" x14ac:dyDescent="0.25">
      <c r="B976" s="21"/>
      <c r="G976" s="22"/>
      <c r="H976" s="22"/>
      <c r="I976" s="28"/>
      <c r="J976" s="28"/>
    </row>
    <row r="977" spans="2:10" x14ac:dyDescent="0.25">
      <c r="B977" s="21"/>
      <c r="G977" s="22"/>
      <c r="H977" s="22"/>
      <c r="I977" s="28"/>
      <c r="J977" s="28"/>
    </row>
    <row r="978" spans="2:10" x14ac:dyDescent="0.25">
      <c r="B978" s="21"/>
      <c r="G978" s="22"/>
      <c r="H978" s="22"/>
      <c r="I978" s="28"/>
      <c r="J978" s="28"/>
    </row>
    <row r="979" spans="2:10" x14ac:dyDescent="0.25">
      <c r="B979" s="21"/>
      <c r="G979" s="22"/>
      <c r="H979" s="22"/>
      <c r="I979" s="28"/>
      <c r="J979" s="28"/>
    </row>
    <row r="980" spans="2:10" x14ac:dyDescent="0.25">
      <c r="B980" s="21"/>
      <c r="G980" s="22"/>
      <c r="H980" s="22"/>
      <c r="I980" s="28"/>
      <c r="J980" s="28"/>
    </row>
    <row r="981" spans="2:10" x14ac:dyDescent="0.25">
      <c r="B981" s="21"/>
      <c r="G981" s="22"/>
      <c r="H981" s="22"/>
      <c r="I981" s="28"/>
      <c r="J981" s="28"/>
    </row>
    <row r="982" spans="2:10" x14ac:dyDescent="0.25">
      <c r="B982" s="21"/>
      <c r="G982" s="22"/>
      <c r="H982" s="22"/>
      <c r="I982" s="28"/>
      <c r="J982" s="28"/>
    </row>
    <row r="983" spans="2:10" x14ac:dyDescent="0.25">
      <c r="B983" s="21"/>
      <c r="G983" s="22"/>
      <c r="H983" s="22"/>
      <c r="I983" s="28"/>
      <c r="J983" s="28"/>
    </row>
    <row r="984" spans="2:10" x14ac:dyDescent="0.25">
      <c r="B984" s="21"/>
      <c r="G984" s="22"/>
      <c r="H984" s="22"/>
      <c r="I984" s="28"/>
      <c r="J984" s="28"/>
    </row>
    <row r="985" spans="2:10" x14ac:dyDescent="0.25">
      <c r="B985" s="21"/>
      <c r="G985" s="22"/>
      <c r="H985" s="22"/>
      <c r="I985" s="28"/>
      <c r="J985" s="28"/>
    </row>
    <row r="986" spans="2:10" x14ac:dyDescent="0.25">
      <c r="B986" s="21"/>
      <c r="G986" s="22"/>
      <c r="H986" s="22"/>
      <c r="I986" s="28"/>
      <c r="J986" s="28"/>
    </row>
    <row r="987" spans="2:10" x14ac:dyDescent="0.25">
      <c r="B987" s="21"/>
      <c r="G987" s="22"/>
      <c r="H987" s="22"/>
      <c r="I987" s="28"/>
      <c r="J987" s="28"/>
    </row>
    <row r="988" spans="2:10" x14ac:dyDescent="0.25">
      <c r="B988" s="21"/>
      <c r="G988" s="22"/>
      <c r="H988" s="22"/>
      <c r="I988" s="28"/>
      <c r="J988" s="28"/>
    </row>
    <row r="989" spans="2:10" x14ac:dyDescent="0.25">
      <c r="B989" s="21"/>
      <c r="G989" s="22"/>
      <c r="H989" s="22"/>
      <c r="I989" s="28"/>
      <c r="J989" s="28"/>
    </row>
    <row r="990" spans="2:10" x14ac:dyDescent="0.25">
      <c r="B990" s="21"/>
      <c r="G990" s="22"/>
      <c r="H990" s="22"/>
      <c r="I990" s="28"/>
      <c r="J990" s="28"/>
    </row>
    <row r="991" spans="2:10" x14ac:dyDescent="0.25">
      <c r="B991" s="21"/>
      <c r="G991" s="22"/>
      <c r="H991" s="22"/>
      <c r="I991" s="28"/>
      <c r="J991" s="28"/>
    </row>
    <row r="992" spans="2:10" x14ac:dyDescent="0.25">
      <c r="B992" s="21"/>
      <c r="G992" s="22"/>
      <c r="H992" s="22"/>
      <c r="I992" s="28"/>
      <c r="J992" s="28"/>
    </row>
    <row r="993" spans="2:10" x14ac:dyDescent="0.25">
      <c r="B993" s="21"/>
      <c r="G993" s="22"/>
      <c r="H993" s="22"/>
      <c r="I993" s="28"/>
      <c r="J993" s="28"/>
    </row>
    <row r="994" spans="2:10" x14ac:dyDescent="0.25">
      <c r="B994" s="21"/>
      <c r="G994" s="22"/>
      <c r="H994" s="22"/>
      <c r="I994" s="28"/>
      <c r="J994" s="28"/>
    </row>
    <row r="995" spans="2:10" x14ac:dyDescent="0.25">
      <c r="B995" s="21"/>
      <c r="G995" s="22"/>
      <c r="H995" s="22"/>
      <c r="I995" s="28"/>
      <c r="J995" s="28"/>
    </row>
    <row r="996" spans="2:10" x14ac:dyDescent="0.25">
      <c r="B996" s="21"/>
      <c r="G996" s="22"/>
      <c r="H996" s="22"/>
      <c r="I996" s="28"/>
      <c r="J996" s="28"/>
    </row>
    <row r="997" spans="2:10" x14ac:dyDescent="0.25">
      <c r="B997" s="21"/>
      <c r="G997" s="22"/>
      <c r="H997" s="22"/>
      <c r="I997" s="28"/>
      <c r="J997" s="28"/>
    </row>
    <row r="998" spans="2:10" x14ac:dyDescent="0.25">
      <c r="B998" s="21"/>
      <c r="G998" s="22"/>
      <c r="H998" s="22"/>
      <c r="I998" s="28"/>
      <c r="J998" s="28"/>
    </row>
    <row r="999" spans="2:10" x14ac:dyDescent="0.25">
      <c r="B999" s="21"/>
      <c r="G999" s="22"/>
      <c r="H999" s="22"/>
      <c r="I999" s="28"/>
      <c r="J999" s="28"/>
    </row>
    <row r="1000" spans="2:10" x14ac:dyDescent="0.25">
      <c r="B1000" s="21"/>
      <c r="G1000" s="22"/>
      <c r="H1000" s="22"/>
      <c r="I1000" s="28"/>
      <c r="J1000" s="28"/>
    </row>
    <row r="1001" spans="2:10" x14ac:dyDescent="0.25">
      <c r="B1001" s="21"/>
      <c r="G1001" s="22"/>
      <c r="H1001" s="22"/>
      <c r="I1001" s="28"/>
      <c r="J1001" s="28"/>
    </row>
    <row r="1002" spans="2:10" x14ac:dyDescent="0.25">
      <c r="B1002" s="21"/>
      <c r="G1002" s="22"/>
      <c r="H1002" s="22"/>
      <c r="I1002" s="28"/>
      <c r="J1002" s="28"/>
    </row>
    <row r="1003" spans="2:10" x14ac:dyDescent="0.25">
      <c r="B1003" s="21"/>
      <c r="G1003" s="22"/>
      <c r="H1003" s="22"/>
      <c r="I1003" s="28"/>
      <c r="J1003" s="28"/>
    </row>
    <row r="1004" spans="2:10" x14ac:dyDescent="0.25">
      <c r="B1004" s="21"/>
      <c r="G1004" s="22"/>
      <c r="H1004" s="22"/>
      <c r="I1004" s="28"/>
      <c r="J1004" s="28"/>
    </row>
    <row r="1005" spans="2:10" x14ac:dyDescent="0.25">
      <c r="B1005" s="21"/>
      <c r="G1005" s="22"/>
      <c r="H1005" s="22"/>
      <c r="I1005" s="28"/>
      <c r="J1005" s="28"/>
    </row>
    <row r="1006" spans="2:10" x14ac:dyDescent="0.25">
      <c r="B1006" s="21"/>
      <c r="G1006" s="22"/>
      <c r="H1006" s="22"/>
      <c r="I1006" s="28"/>
      <c r="J1006" s="28"/>
    </row>
    <row r="1007" spans="2:10" x14ac:dyDescent="0.25">
      <c r="B1007" s="21"/>
      <c r="G1007" s="22"/>
      <c r="H1007" s="22"/>
      <c r="I1007" s="28"/>
      <c r="J1007" s="28"/>
    </row>
    <row r="1008" spans="2:10" x14ac:dyDescent="0.25">
      <c r="B1008" s="21"/>
      <c r="G1008" s="22"/>
      <c r="H1008" s="22"/>
      <c r="I1008" s="28"/>
      <c r="J1008" s="28"/>
    </row>
    <row r="1009" spans="2:10" x14ac:dyDescent="0.25">
      <c r="B1009" s="21"/>
      <c r="G1009" s="22"/>
      <c r="H1009" s="22"/>
      <c r="I1009" s="28"/>
      <c r="J1009" s="28"/>
    </row>
    <row r="1010" spans="2:10" x14ac:dyDescent="0.25">
      <c r="B1010" s="21"/>
      <c r="G1010" s="22"/>
      <c r="H1010" s="22"/>
      <c r="I1010" s="28"/>
      <c r="J1010" s="28"/>
    </row>
    <row r="1011" spans="2:10" x14ac:dyDescent="0.25">
      <c r="B1011" s="21"/>
      <c r="G1011" s="22"/>
      <c r="H1011" s="22"/>
      <c r="I1011" s="28"/>
      <c r="J1011" s="28"/>
    </row>
    <row r="1012" spans="2:10" x14ac:dyDescent="0.25">
      <c r="B1012" s="21"/>
      <c r="G1012" s="22"/>
      <c r="H1012" s="22"/>
      <c r="I1012" s="28"/>
      <c r="J1012" s="28"/>
    </row>
    <row r="1013" spans="2:10" x14ac:dyDescent="0.25">
      <c r="B1013" s="21"/>
      <c r="G1013" s="22"/>
      <c r="H1013" s="22"/>
      <c r="I1013" s="28"/>
      <c r="J1013" s="28"/>
    </row>
    <row r="1014" spans="2:10" x14ac:dyDescent="0.25">
      <c r="B1014" s="21"/>
      <c r="G1014" s="22"/>
      <c r="H1014" s="22"/>
      <c r="I1014" s="28"/>
      <c r="J1014" s="28"/>
    </row>
    <row r="1015" spans="2:10" x14ac:dyDescent="0.25">
      <c r="B1015" s="21"/>
      <c r="G1015" s="22"/>
      <c r="H1015" s="22"/>
      <c r="I1015" s="28"/>
      <c r="J1015" s="28"/>
    </row>
    <row r="1016" spans="2:10" x14ac:dyDescent="0.25">
      <c r="B1016" s="21"/>
      <c r="G1016" s="22"/>
      <c r="H1016" s="22"/>
      <c r="I1016" s="28"/>
      <c r="J1016" s="28"/>
    </row>
    <row r="1017" spans="2:10" x14ac:dyDescent="0.25">
      <c r="B1017" s="21"/>
      <c r="G1017" s="22"/>
      <c r="H1017" s="22"/>
      <c r="I1017" s="28"/>
      <c r="J1017" s="28"/>
    </row>
    <row r="1018" spans="2:10" x14ac:dyDescent="0.25">
      <c r="B1018" s="21"/>
      <c r="G1018" s="22"/>
      <c r="H1018" s="22"/>
      <c r="I1018" s="28"/>
      <c r="J1018" s="28"/>
    </row>
    <row r="1019" spans="2:10" x14ac:dyDescent="0.25">
      <c r="B1019" s="21"/>
      <c r="G1019" s="22"/>
      <c r="H1019" s="22"/>
      <c r="I1019" s="28"/>
      <c r="J1019" s="28"/>
    </row>
    <row r="1020" spans="2:10" x14ac:dyDescent="0.25">
      <c r="B1020" s="21"/>
      <c r="G1020" s="22"/>
      <c r="H1020" s="22"/>
      <c r="I1020" s="28"/>
      <c r="J1020" s="28"/>
    </row>
    <row r="1021" spans="2:10" x14ac:dyDescent="0.25">
      <c r="B1021" s="21"/>
      <c r="G1021" s="22"/>
      <c r="H1021" s="22"/>
      <c r="I1021" s="28"/>
      <c r="J1021" s="28"/>
    </row>
    <row r="1022" spans="2:10" x14ac:dyDescent="0.25">
      <c r="B1022" s="21"/>
      <c r="G1022" s="22"/>
      <c r="H1022" s="22"/>
      <c r="I1022" s="28"/>
      <c r="J1022" s="28"/>
    </row>
    <row r="1023" spans="2:10" x14ac:dyDescent="0.25">
      <c r="B1023" s="21"/>
      <c r="G1023" s="22"/>
      <c r="H1023" s="22"/>
      <c r="I1023" s="28"/>
      <c r="J1023" s="28"/>
    </row>
    <row r="1024" spans="2:10" x14ac:dyDescent="0.25">
      <c r="B1024" s="21"/>
      <c r="G1024" s="22"/>
      <c r="H1024" s="22"/>
      <c r="I1024" s="28"/>
      <c r="J1024" s="28"/>
    </row>
    <row r="1025" spans="2:10" x14ac:dyDescent="0.25">
      <c r="B1025" s="21"/>
      <c r="G1025" s="22"/>
      <c r="H1025" s="22"/>
      <c r="I1025" s="28"/>
      <c r="J1025" s="28"/>
    </row>
    <row r="1026" spans="2:10" x14ac:dyDescent="0.25">
      <c r="B1026" s="21"/>
      <c r="G1026" s="22"/>
      <c r="H1026" s="22"/>
      <c r="I1026" s="28"/>
      <c r="J1026" s="28"/>
    </row>
    <row r="1027" spans="2:10" x14ac:dyDescent="0.25">
      <c r="B1027" s="21"/>
      <c r="G1027" s="22"/>
      <c r="H1027" s="22"/>
      <c r="I1027" s="28"/>
      <c r="J1027" s="28"/>
    </row>
    <row r="1028" spans="2:10" x14ac:dyDescent="0.25">
      <c r="B1028" s="21"/>
      <c r="G1028" s="22"/>
      <c r="H1028" s="22"/>
      <c r="I1028" s="28"/>
      <c r="J1028" s="28"/>
    </row>
    <row r="1029" spans="2:10" x14ac:dyDescent="0.25">
      <c r="B1029" s="21"/>
      <c r="G1029" s="22"/>
      <c r="H1029" s="22"/>
      <c r="I1029" s="28"/>
      <c r="J1029" s="28"/>
    </row>
    <row r="1030" spans="2:10" x14ac:dyDescent="0.25">
      <c r="B1030" s="21"/>
      <c r="G1030" s="22"/>
      <c r="H1030" s="22"/>
      <c r="I1030" s="28"/>
      <c r="J1030" s="28"/>
    </row>
    <row r="1031" spans="2:10" x14ac:dyDescent="0.25">
      <c r="B1031" s="21"/>
      <c r="G1031" s="22"/>
      <c r="H1031" s="22"/>
      <c r="I1031" s="28"/>
      <c r="J1031" s="28"/>
    </row>
    <row r="1032" spans="2:10" x14ac:dyDescent="0.25">
      <c r="B1032" s="21"/>
      <c r="G1032" s="22"/>
      <c r="H1032" s="22"/>
      <c r="I1032" s="28"/>
      <c r="J1032" s="28"/>
    </row>
    <row r="1033" spans="2:10" x14ac:dyDescent="0.25">
      <c r="B1033" s="21"/>
      <c r="G1033" s="22"/>
      <c r="H1033" s="22"/>
      <c r="I1033" s="28"/>
      <c r="J1033" s="28"/>
    </row>
    <row r="1034" spans="2:10" x14ac:dyDescent="0.25">
      <c r="B1034" s="21"/>
      <c r="G1034" s="22"/>
      <c r="H1034" s="22"/>
      <c r="I1034" s="28"/>
      <c r="J1034" s="28"/>
    </row>
    <row r="1035" spans="2:10" x14ac:dyDescent="0.25">
      <c r="B1035" s="21"/>
      <c r="G1035" s="22"/>
      <c r="H1035" s="22"/>
      <c r="I1035" s="28"/>
      <c r="J1035" s="28"/>
    </row>
    <row r="1036" spans="2:10" x14ac:dyDescent="0.25">
      <c r="B1036" s="21"/>
      <c r="G1036" s="22"/>
      <c r="H1036" s="22"/>
      <c r="I1036" s="28"/>
      <c r="J1036" s="28"/>
    </row>
    <row r="1037" spans="2:10" x14ac:dyDescent="0.25">
      <c r="B1037" s="21"/>
      <c r="G1037" s="22"/>
      <c r="H1037" s="22"/>
      <c r="I1037" s="28"/>
      <c r="J1037" s="28"/>
    </row>
    <row r="1038" spans="2:10" x14ac:dyDescent="0.25">
      <c r="B1038" s="21"/>
      <c r="G1038" s="22"/>
      <c r="H1038" s="22"/>
      <c r="I1038" s="28"/>
      <c r="J1038" s="28"/>
    </row>
    <row r="1039" spans="2:10" x14ac:dyDescent="0.25">
      <c r="B1039" s="21"/>
      <c r="G1039" s="22"/>
      <c r="H1039" s="22"/>
      <c r="I1039" s="28"/>
      <c r="J1039" s="28"/>
    </row>
    <row r="1040" spans="2:10" x14ac:dyDescent="0.25">
      <c r="B1040" s="21"/>
      <c r="G1040" s="22"/>
      <c r="H1040" s="22"/>
      <c r="I1040" s="28"/>
      <c r="J1040" s="28"/>
    </row>
    <row r="1041" spans="2:10" x14ac:dyDescent="0.25">
      <c r="B1041" s="21"/>
      <c r="G1041" s="22"/>
      <c r="H1041" s="22"/>
      <c r="I1041" s="28"/>
      <c r="J1041" s="28"/>
    </row>
    <row r="1042" spans="2:10" x14ac:dyDescent="0.25">
      <c r="B1042" s="21"/>
      <c r="G1042" s="22"/>
      <c r="H1042" s="22"/>
      <c r="I1042" s="28"/>
      <c r="J1042" s="28"/>
    </row>
    <row r="1043" spans="2:10" x14ac:dyDescent="0.25">
      <c r="B1043" s="21"/>
      <c r="G1043" s="22"/>
      <c r="H1043" s="22"/>
      <c r="I1043" s="28"/>
      <c r="J1043" s="28"/>
    </row>
    <row r="1044" spans="2:10" x14ac:dyDescent="0.25">
      <c r="B1044" s="21"/>
      <c r="G1044" s="22"/>
      <c r="H1044" s="22"/>
      <c r="I1044" s="28"/>
      <c r="J1044" s="28"/>
    </row>
    <row r="1045" spans="2:10" x14ac:dyDescent="0.25">
      <c r="B1045" s="21"/>
      <c r="G1045" s="22"/>
      <c r="H1045" s="22"/>
      <c r="I1045" s="28"/>
      <c r="J1045" s="28"/>
    </row>
    <row r="1046" spans="2:10" x14ac:dyDescent="0.25">
      <c r="B1046" s="21"/>
      <c r="G1046" s="22"/>
      <c r="H1046" s="22"/>
      <c r="I1046" s="28"/>
      <c r="J1046" s="28"/>
    </row>
    <row r="1047" spans="2:10" x14ac:dyDescent="0.25">
      <c r="B1047" s="21"/>
      <c r="G1047" s="22"/>
      <c r="H1047" s="22"/>
      <c r="I1047" s="28"/>
      <c r="J1047" s="28"/>
    </row>
    <row r="1048" spans="2:10" x14ac:dyDescent="0.25">
      <c r="B1048" s="21"/>
      <c r="G1048" s="22"/>
      <c r="H1048" s="22"/>
      <c r="I1048" s="28"/>
      <c r="J1048" s="28"/>
    </row>
    <row r="1049" spans="2:10" x14ac:dyDescent="0.25">
      <c r="B1049" s="21"/>
      <c r="G1049" s="22"/>
      <c r="H1049" s="22"/>
      <c r="I1049" s="28"/>
      <c r="J1049" s="28"/>
    </row>
    <row r="1050" spans="2:10" x14ac:dyDescent="0.25">
      <c r="B1050" s="21"/>
      <c r="G1050" s="22"/>
      <c r="H1050" s="22"/>
      <c r="I1050" s="28"/>
      <c r="J1050" s="28"/>
    </row>
    <row r="1051" spans="2:10" x14ac:dyDescent="0.25">
      <c r="B1051" s="21"/>
      <c r="G1051" s="22"/>
      <c r="H1051" s="22"/>
      <c r="I1051" s="28"/>
      <c r="J1051" s="28"/>
    </row>
    <row r="1052" spans="2:10" x14ac:dyDescent="0.25">
      <c r="B1052" s="21"/>
      <c r="G1052" s="22"/>
      <c r="H1052" s="22"/>
      <c r="I1052" s="28"/>
      <c r="J1052" s="28"/>
    </row>
    <row r="1053" spans="2:10" x14ac:dyDescent="0.25">
      <c r="B1053" s="21"/>
      <c r="G1053" s="22"/>
      <c r="H1053" s="22"/>
      <c r="I1053" s="28"/>
      <c r="J1053" s="28"/>
    </row>
    <row r="1054" spans="2:10" x14ac:dyDescent="0.25">
      <c r="B1054" s="21"/>
      <c r="G1054" s="22"/>
      <c r="H1054" s="22"/>
      <c r="I1054" s="28"/>
      <c r="J1054" s="28"/>
    </row>
    <row r="1055" spans="2:10" x14ac:dyDescent="0.25">
      <c r="B1055" s="21"/>
      <c r="G1055" s="22"/>
      <c r="H1055" s="22"/>
      <c r="I1055" s="28"/>
      <c r="J1055" s="28"/>
    </row>
    <row r="1056" spans="2:10" x14ac:dyDescent="0.25">
      <c r="B1056" s="21"/>
      <c r="G1056" s="22"/>
      <c r="H1056" s="22"/>
      <c r="I1056" s="28"/>
      <c r="J1056" s="28"/>
    </row>
    <row r="1057" spans="2:10" x14ac:dyDescent="0.25">
      <c r="B1057" s="21"/>
      <c r="G1057" s="22"/>
      <c r="H1057" s="22"/>
      <c r="I1057" s="28"/>
      <c r="J1057" s="28"/>
    </row>
    <row r="1058" spans="2:10" x14ac:dyDescent="0.25">
      <c r="B1058" s="21"/>
      <c r="G1058" s="22"/>
      <c r="H1058" s="22"/>
      <c r="I1058" s="28"/>
      <c r="J1058" s="28"/>
    </row>
    <row r="1059" spans="2:10" x14ac:dyDescent="0.25">
      <c r="B1059" s="21"/>
      <c r="G1059" s="22"/>
      <c r="H1059" s="22"/>
      <c r="I1059" s="28"/>
      <c r="J1059" s="28"/>
    </row>
    <row r="1060" spans="2:10" x14ac:dyDescent="0.25">
      <c r="B1060" s="21"/>
      <c r="G1060" s="22"/>
      <c r="H1060" s="22"/>
      <c r="I1060" s="28"/>
      <c r="J1060" s="28"/>
    </row>
    <row r="1061" spans="2:10" x14ac:dyDescent="0.25">
      <c r="B1061" s="21"/>
      <c r="G1061" s="22"/>
      <c r="H1061" s="22"/>
      <c r="I1061" s="28"/>
      <c r="J1061" s="28"/>
    </row>
    <row r="1062" spans="2:10" x14ac:dyDescent="0.25">
      <c r="B1062" s="21"/>
      <c r="G1062" s="22"/>
      <c r="H1062" s="22"/>
      <c r="I1062" s="28"/>
      <c r="J1062" s="28"/>
    </row>
    <row r="1063" spans="2:10" x14ac:dyDescent="0.25">
      <c r="B1063" s="21"/>
      <c r="G1063" s="22"/>
      <c r="H1063" s="22"/>
      <c r="I1063" s="28"/>
      <c r="J1063" s="28"/>
    </row>
    <row r="1064" spans="2:10" x14ac:dyDescent="0.25">
      <c r="B1064" s="21"/>
      <c r="G1064" s="22"/>
      <c r="H1064" s="22"/>
      <c r="I1064" s="28"/>
      <c r="J1064" s="28"/>
    </row>
    <row r="1065" spans="2:10" x14ac:dyDescent="0.25">
      <c r="B1065" s="21"/>
      <c r="G1065" s="22"/>
      <c r="H1065" s="22"/>
      <c r="I1065" s="28"/>
      <c r="J1065" s="28"/>
    </row>
    <row r="1066" spans="2:10" x14ac:dyDescent="0.25">
      <c r="B1066" s="21"/>
      <c r="G1066" s="22"/>
      <c r="H1066" s="22"/>
      <c r="I1066" s="28"/>
      <c r="J1066" s="28"/>
    </row>
    <row r="1067" spans="2:10" x14ac:dyDescent="0.25">
      <c r="B1067" s="21"/>
      <c r="G1067" s="22"/>
      <c r="H1067" s="22"/>
      <c r="I1067" s="28"/>
      <c r="J1067" s="28"/>
    </row>
    <row r="1068" spans="2:10" x14ac:dyDescent="0.25">
      <c r="B1068" s="21"/>
      <c r="G1068" s="22"/>
      <c r="H1068" s="22"/>
      <c r="I1068" s="28"/>
      <c r="J1068" s="28"/>
    </row>
    <row r="1069" spans="2:10" x14ac:dyDescent="0.25">
      <c r="B1069" s="21"/>
      <c r="G1069" s="22"/>
      <c r="H1069" s="22"/>
      <c r="I1069" s="28"/>
      <c r="J1069" s="28"/>
    </row>
    <row r="1070" spans="2:10" x14ac:dyDescent="0.25">
      <c r="B1070" s="21"/>
      <c r="G1070" s="22"/>
      <c r="H1070" s="22"/>
      <c r="I1070" s="28"/>
      <c r="J1070" s="28"/>
    </row>
    <row r="1071" spans="2:10" x14ac:dyDescent="0.25">
      <c r="B1071" s="21"/>
      <c r="G1071" s="22"/>
      <c r="H1071" s="22"/>
      <c r="I1071" s="28"/>
      <c r="J1071" s="28"/>
    </row>
    <row r="1072" spans="2:10" x14ac:dyDescent="0.25">
      <c r="B1072" s="21"/>
      <c r="G1072" s="22"/>
      <c r="H1072" s="22"/>
      <c r="I1072" s="28"/>
      <c r="J1072" s="28"/>
    </row>
    <row r="1073" spans="2:10" x14ac:dyDescent="0.25">
      <c r="B1073" s="21"/>
      <c r="G1073" s="22"/>
      <c r="H1073" s="22"/>
      <c r="I1073" s="28"/>
      <c r="J1073" s="28"/>
    </row>
    <row r="1074" spans="2:10" x14ac:dyDescent="0.25">
      <c r="B1074" s="21"/>
      <c r="G1074" s="22"/>
      <c r="H1074" s="22"/>
      <c r="I1074" s="28"/>
      <c r="J1074" s="28"/>
    </row>
    <row r="1075" spans="2:10" x14ac:dyDescent="0.25">
      <c r="B1075" s="21"/>
      <c r="G1075" s="22"/>
      <c r="H1075" s="22"/>
      <c r="I1075" s="28"/>
      <c r="J1075" s="28"/>
    </row>
    <row r="1076" spans="2:10" x14ac:dyDescent="0.25">
      <c r="B1076" s="21"/>
      <c r="G1076" s="22"/>
      <c r="H1076" s="22"/>
      <c r="I1076" s="28"/>
      <c r="J1076" s="28"/>
    </row>
    <row r="1077" spans="2:10" x14ac:dyDescent="0.25">
      <c r="B1077" s="21"/>
      <c r="G1077" s="22"/>
      <c r="H1077" s="22"/>
      <c r="I1077" s="28"/>
      <c r="J1077" s="28"/>
    </row>
    <row r="1078" spans="2:10" x14ac:dyDescent="0.25">
      <c r="B1078" s="21"/>
      <c r="G1078" s="22"/>
      <c r="H1078" s="22"/>
      <c r="I1078" s="28"/>
      <c r="J1078" s="28"/>
    </row>
    <row r="1079" spans="2:10" x14ac:dyDescent="0.25">
      <c r="B1079" s="21"/>
      <c r="G1079" s="22"/>
      <c r="H1079" s="22"/>
      <c r="I1079" s="28"/>
      <c r="J1079" s="28"/>
    </row>
    <row r="1080" spans="2:10" x14ac:dyDescent="0.25">
      <c r="B1080" s="21"/>
      <c r="G1080" s="22"/>
      <c r="H1080" s="22"/>
      <c r="I1080" s="28"/>
      <c r="J1080" s="28"/>
    </row>
    <row r="1081" spans="2:10" x14ac:dyDescent="0.25">
      <c r="B1081" s="21"/>
      <c r="G1081" s="22"/>
      <c r="H1081" s="22"/>
      <c r="I1081" s="28"/>
      <c r="J1081" s="28"/>
    </row>
    <row r="1082" spans="2:10" x14ac:dyDescent="0.25">
      <c r="B1082" s="21"/>
      <c r="G1082" s="22"/>
      <c r="H1082" s="22"/>
      <c r="I1082" s="28"/>
      <c r="J1082" s="28"/>
    </row>
    <row r="1083" spans="2:10" x14ac:dyDescent="0.25">
      <c r="B1083" s="21"/>
      <c r="G1083" s="22"/>
      <c r="H1083" s="22"/>
      <c r="I1083" s="28"/>
      <c r="J1083" s="28"/>
    </row>
    <row r="1084" spans="2:10" x14ac:dyDescent="0.25">
      <c r="B1084" s="21"/>
      <c r="G1084" s="22"/>
      <c r="H1084" s="22"/>
      <c r="I1084" s="28"/>
      <c r="J1084" s="28"/>
    </row>
    <row r="1085" spans="2:10" x14ac:dyDescent="0.25">
      <c r="B1085" s="21"/>
      <c r="G1085" s="22"/>
      <c r="H1085" s="22"/>
      <c r="I1085" s="28"/>
      <c r="J1085" s="28"/>
    </row>
    <row r="1086" spans="2:10" x14ac:dyDescent="0.25">
      <c r="B1086" s="21"/>
      <c r="G1086" s="22"/>
      <c r="H1086" s="22"/>
      <c r="I1086" s="28"/>
      <c r="J1086" s="28"/>
    </row>
    <row r="1087" spans="2:10" x14ac:dyDescent="0.25">
      <c r="B1087" s="21"/>
      <c r="G1087" s="22"/>
      <c r="H1087" s="22"/>
      <c r="I1087" s="28"/>
      <c r="J1087" s="28"/>
    </row>
    <row r="1088" spans="2:10" x14ac:dyDescent="0.25">
      <c r="B1088" s="21"/>
      <c r="G1088" s="22"/>
      <c r="H1088" s="22"/>
      <c r="I1088" s="28"/>
      <c r="J1088" s="28"/>
    </row>
    <row r="1089" spans="2:10" x14ac:dyDescent="0.25">
      <c r="B1089" s="21"/>
      <c r="G1089" s="22"/>
      <c r="H1089" s="22"/>
      <c r="I1089" s="28"/>
      <c r="J1089" s="28"/>
    </row>
    <row r="1090" spans="2:10" x14ac:dyDescent="0.25">
      <c r="B1090" s="21"/>
      <c r="G1090" s="22"/>
      <c r="H1090" s="22"/>
      <c r="I1090" s="28"/>
      <c r="J1090" s="28"/>
    </row>
    <row r="1091" spans="2:10" x14ac:dyDescent="0.25">
      <c r="B1091" s="21"/>
      <c r="G1091" s="22"/>
      <c r="H1091" s="22"/>
      <c r="I1091" s="28"/>
      <c r="J1091" s="28"/>
    </row>
    <row r="1092" spans="2:10" x14ac:dyDescent="0.25">
      <c r="B1092" s="21"/>
      <c r="G1092" s="22"/>
      <c r="H1092" s="22"/>
      <c r="I1092" s="28"/>
      <c r="J1092" s="28"/>
    </row>
    <row r="1093" spans="2:10" x14ac:dyDescent="0.25">
      <c r="B1093" s="21"/>
      <c r="G1093" s="22"/>
      <c r="H1093" s="22"/>
      <c r="I1093" s="28"/>
      <c r="J1093" s="28"/>
    </row>
    <row r="1094" spans="2:10" x14ac:dyDescent="0.25">
      <c r="B1094" s="21"/>
      <c r="G1094" s="22"/>
      <c r="H1094" s="22"/>
      <c r="I1094" s="28"/>
      <c r="J1094" s="28"/>
    </row>
    <row r="1095" spans="2:10" x14ac:dyDescent="0.25">
      <c r="B1095" s="21"/>
      <c r="G1095" s="22"/>
      <c r="H1095" s="22"/>
      <c r="I1095" s="28"/>
      <c r="J1095" s="28"/>
    </row>
    <row r="1096" spans="2:10" x14ac:dyDescent="0.25">
      <c r="B1096" s="21"/>
      <c r="G1096" s="22"/>
      <c r="H1096" s="22"/>
      <c r="I1096" s="28"/>
      <c r="J1096" s="28"/>
    </row>
    <row r="1097" spans="2:10" x14ac:dyDescent="0.25">
      <c r="B1097" s="21"/>
      <c r="G1097" s="22"/>
      <c r="H1097" s="22"/>
      <c r="I1097" s="28"/>
      <c r="J1097" s="28"/>
    </row>
    <row r="1098" spans="2:10" x14ac:dyDescent="0.25">
      <c r="B1098" s="21"/>
      <c r="G1098" s="22"/>
      <c r="H1098" s="22"/>
      <c r="I1098" s="28"/>
      <c r="J1098" s="28"/>
    </row>
    <row r="1099" spans="2:10" x14ac:dyDescent="0.25">
      <c r="B1099" s="21"/>
      <c r="G1099" s="22"/>
      <c r="H1099" s="22"/>
      <c r="I1099" s="28"/>
      <c r="J1099" s="28"/>
    </row>
    <row r="1100" spans="2:10" x14ac:dyDescent="0.25">
      <c r="B1100" s="21"/>
      <c r="G1100" s="22"/>
      <c r="H1100" s="22"/>
      <c r="I1100" s="28"/>
      <c r="J1100" s="28"/>
    </row>
    <row r="1101" spans="2:10" x14ac:dyDescent="0.25">
      <c r="B1101" s="21"/>
      <c r="G1101" s="22"/>
      <c r="H1101" s="22"/>
      <c r="I1101" s="28"/>
      <c r="J1101" s="28"/>
    </row>
    <row r="1102" spans="2:10" x14ac:dyDescent="0.25">
      <c r="B1102" s="21"/>
      <c r="G1102" s="22"/>
      <c r="H1102" s="22"/>
      <c r="I1102" s="28"/>
      <c r="J1102" s="28"/>
    </row>
    <row r="1103" spans="2:10" x14ac:dyDescent="0.25">
      <c r="B1103" s="21"/>
      <c r="G1103" s="22"/>
      <c r="H1103" s="22"/>
      <c r="I1103" s="28"/>
      <c r="J1103" s="28"/>
    </row>
    <row r="1104" spans="2:10" x14ac:dyDescent="0.25">
      <c r="B1104" s="21"/>
      <c r="G1104" s="22"/>
      <c r="H1104" s="22"/>
      <c r="I1104" s="28"/>
      <c r="J1104" s="28"/>
    </row>
    <row r="1105" spans="2:10" x14ac:dyDescent="0.25">
      <c r="B1105" s="21"/>
      <c r="G1105" s="22"/>
      <c r="H1105" s="22"/>
      <c r="I1105" s="28"/>
      <c r="J1105" s="28"/>
    </row>
    <row r="1106" spans="2:10" x14ac:dyDescent="0.25">
      <c r="B1106" s="21"/>
      <c r="G1106" s="22"/>
      <c r="H1106" s="22"/>
      <c r="I1106" s="28"/>
      <c r="J1106" s="28"/>
    </row>
    <row r="1107" spans="2:10" x14ac:dyDescent="0.25">
      <c r="B1107" s="21"/>
      <c r="G1107" s="22"/>
      <c r="H1107" s="22"/>
      <c r="I1107" s="28"/>
      <c r="J1107" s="28"/>
    </row>
    <row r="1108" spans="2:10" x14ac:dyDescent="0.25">
      <c r="B1108" s="21"/>
      <c r="G1108" s="22"/>
      <c r="H1108" s="22"/>
      <c r="I1108" s="28"/>
      <c r="J1108" s="28"/>
    </row>
    <row r="1109" spans="2:10" x14ac:dyDescent="0.25">
      <c r="B1109" s="21"/>
      <c r="G1109" s="22"/>
      <c r="H1109" s="22"/>
      <c r="I1109" s="28"/>
      <c r="J1109" s="28"/>
    </row>
    <row r="1110" spans="2:10" x14ac:dyDescent="0.25">
      <c r="B1110" s="21"/>
      <c r="G1110" s="22"/>
      <c r="H1110" s="22"/>
      <c r="I1110" s="28"/>
      <c r="J1110" s="28"/>
    </row>
    <row r="1111" spans="2:10" x14ac:dyDescent="0.25">
      <c r="B1111" s="21"/>
      <c r="G1111" s="22"/>
      <c r="H1111" s="22"/>
      <c r="I1111" s="28"/>
      <c r="J1111" s="28"/>
    </row>
    <row r="1112" spans="2:10" x14ac:dyDescent="0.25">
      <c r="B1112" s="21"/>
      <c r="G1112" s="22"/>
      <c r="H1112" s="22"/>
      <c r="I1112" s="28"/>
      <c r="J1112" s="28"/>
    </row>
    <row r="1113" spans="2:10" x14ac:dyDescent="0.25">
      <c r="B1113" s="21"/>
      <c r="G1113" s="22"/>
      <c r="H1113" s="22"/>
      <c r="I1113" s="28"/>
      <c r="J1113" s="28"/>
    </row>
    <row r="1114" spans="2:10" x14ac:dyDescent="0.25">
      <c r="B1114" s="21"/>
      <c r="G1114" s="22"/>
      <c r="H1114" s="22"/>
      <c r="I1114" s="28"/>
      <c r="J1114" s="28"/>
    </row>
    <row r="1115" spans="2:10" x14ac:dyDescent="0.25">
      <c r="B1115" s="21"/>
      <c r="G1115" s="22"/>
      <c r="H1115" s="22"/>
      <c r="I1115" s="28"/>
      <c r="J1115" s="28"/>
    </row>
    <row r="1116" spans="2:10" x14ac:dyDescent="0.25">
      <c r="B1116" s="21"/>
      <c r="G1116" s="22"/>
      <c r="H1116" s="22"/>
      <c r="I1116" s="28"/>
      <c r="J1116" s="28"/>
    </row>
    <row r="1117" spans="2:10" x14ac:dyDescent="0.25">
      <c r="B1117" s="21"/>
      <c r="G1117" s="22"/>
      <c r="H1117" s="22"/>
      <c r="I1117" s="28"/>
      <c r="J1117" s="28"/>
    </row>
    <row r="1118" spans="2:10" x14ac:dyDescent="0.25">
      <c r="B1118" s="21"/>
      <c r="G1118" s="22"/>
      <c r="H1118" s="22"/>
      <c r="I1118" s="28"/>
      <c r="J1118" s="28"/>
    </row>
    <row r="1119" spans="2:10" x14ac:dyDescent="0.25">
      <c r="B1119" s="21"/>
      <c r="G1119" s="22"/>
      <c r="H1119" s="22"/>
      <c r="I1119" s="28"/>
      <c r="J1119" s="28"/>
    </row>
    <row r="1120" spans="2:10" x14ac:dyDescent="0.25">
      <c r="B1120" s="21"/>
      <c r="G1120" s="22"/>
      <c r="H1120" s="22"/>
      <c r="I1120" s="28"/>
      <c r="J1120" s="28"/>
    </row>
    <row r="1121" spans="2:10" x14ac:dyDescent="0.25">
      <c r="B1121" s="21"/>
      <c r="G1121" s="22"/>
      <c r="H1121" s="22"/>
      <c r="I1121" s="28"/>
      <c r="J1121" s="28"/>
    </row>
    <row r="1122" spans="2:10" x14ac:dyDescent="0.25">
      <c r="B1122" s="21"/>
      <c r="G1122" s="22"/>
      <c r="H1122" s="22"/>
      <c r="I1122" s="28"/>
      <c r="J1122" s="28"/>
    </row>
    <row r="1123" spans="2:10" x14ac:dyDescent="0.25">
      <c r="B1123" s="21"/>
      <c r="G1123" s="22"/>
      <c r="H1123" s="22"/>
      <c r="I1123" s="28"/>
      <c r="J1123" s="28"/>
    </row>
    <row r="1124" spans="2:10" x14ac:dyDescent="0.25">
      <c r="B1124" s="21"/>
      <c r="G1124" s="22"/>
      <c r="H1124" s="22"/>
      <c r="I1124" s="28"/>
      <c r="J1124" s="28"/>
    </row>
    <row r="1125" spans="2:10" x14ac:dyDescent="0.25">
      <c r="B1125" s="21"/>
      <c r="G1125" s="22"/>
      <c r="H1125" s="22"/>
      <c r="I1125" s="28"/>
      <c r="J1125" s="28"/>
    </row>
    <row r="1126" spans="2:10" x14ac:dyDescent="0.25">
      <c r="B1126" s="21"/>
      <c r="G1126" s="22"/>
      <c r="H1126" s="22"/>
      <c r="I1126" s="28"/>
      <c r="J1126" s="28"/>
    </row>
    <row r="1127" spans="2:10" x14ac:dyDescent="0.25">
      <c r="B1127" s="21"/>
      <c r="G1127" s="22"/>
      <c r="H1127" s="22"/>
      <c r="I1127" s="28"/>
      <c r="J1127" s="28"/>
    </row>
    <row r="1128" spans="2:10" x14ac:dyDescent="0.25">
      <c r="B1128" s="21"/>
      <c r="G1128" s="22"/>
      <c r="H1128" s="22"/>
      <c r="I1128" s="28"/>
      <c r="J1128" s="28"/>
    </row>
    <row r="1129" spans="2:10" x14ac:dyDescent="0.25">
      <c r="B1129" s="21"/>
      <c r="G1129" s="22"/>
      <c r="H1129" s="22"/>
      <c r="I1129" s="28"/>
      <c r="J1129" s="28"/>
    </row>
    <row r="1130" spans="2:10" x14ac:dyDescent="0.25">
      <c r="B1130" s="21"/>
      <c r="G1130" s="22"/>
      <c r="H1130" s="22"/>
      <c r="I1130" s="28"/>
      <c r="J1130" s="28"/>
    </row>
    <row r="1131" spans="2:10" x14ac:dyDescent="0.25">
      <c r="B1131" s="21"/>
      <c r="G1131" s="22"/>
      <c r="H1131" s="22"/>
      <c r="I1131" s="28"/>
      <c r="J1131" s="28"/>
    </row>
    <row r="1132" spans="2:10" x14ac:dyDescent="0.25">
      <c r="B1132" s="21"/>
      <c r="G1132" s="22"/>
      <c r="H1132" s="22"/>
      <c r="I1132" s="28"/>
      <c r="J1132" s="28"/>
    </row>
    <row r="1133" spans="2:10" x14ac:dyDescent="0.25">
      <c r="B1133" s="21"/>
      <c r="G1133" s="22"/>
      <c r="H1133" s="22"/>
      <c r="I1133" s="28"/>
      <c r="J1133" s="28"/>
    </row>
    <row r="1134" spans="2:10" x14ac:dyDescent="0.25">
      <c r="B1134" s="21"/>
      <c r="G1134" s="22"/>
      <c r="H1134" s="22"/>
      <c r="I1134" s="28"/>
      <c r="J1134" s="28"/>
    </row>
    <row r="1135" spans="2:10" x14ac:dyDescent="0.25">
      <c r="B1135" s="21"/>
      <c r="G1135" s="22"/>
      <c r="H1135" s="22"/>
      <c r="I1135" s="28"/>
      <c r="J1135" s="28"/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allowBlank="1" showInputMessage="1" showErrorMessage="1" errorTitle="Preenchimento incorreto" error="Para preencher este campo, é necessário selecionar o valor a partir do menu flutuante que surge ao clicar na célula." sqref="D9:E221" xr:uid="{ADE8C2D3-8C23-455E-9267-615B724340A7}"/>
  </dataValidations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Preenchimento incorreto" error="Para preencher este campo, é necessário selecionar o valor a partir do menu flutuante que surge ao clicar na célula." xr:uid="{A3DFAE61-0256-4F44-97BB-56A9E2717173}">
          <x14:formula1>
            <xm:f>'BCKSTG-ANALYSIS'!$B$20:$B$37</xm:f>
          </x14:formula1>
          <xm:sqref>C9:C221</xm:sqref>
        </x14:dataValidation>
        <x14:dataValidation type="list" allowBlank="1" showInputMessage="1" showErrorMessage="1" errorTitle="Preenchimento incorreto" error="Para preencher este campo, é necessário selecionar o valor a partir do menu flutuante que surge ao clicar na célula." xr:uid="{D39E7B11-F46E-4287-BFB6-E39A8799FB3A}">
          <x14:formula1>
            <xm:f>'BCKSTG-ANALYSIS'!$B$47:$B$48</xm:f>
          </x14:formula1>
          <xm:sqref>F9:F221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AAC0-D2F8-4764-BBD4-64FC6B8CE272}">
  <sheetPr codeName="Planilha4"/>
  <dimension ref="B1:AQ269"/>
  <sheetViews>
    <sheetView showGridLines="0" workbookViewId="0">
      <selection activeCell="AL2" sqref="AL2:AM2"/>
    </sheetView>
  </sheetViews>
  <sheetFormatPr defaultColWidth="8.85546875" defaultRowHeight="15" x14ac:dyDescent="0.25"/>
  <cols>
    <col min="1" max="1" width="1.7109375" style="3" customWidth="1"/>
    <col min="2" max="2" width="44.42578125" style="5" customWidth="1"/>
    <col min="3" max="6" width="22.28515625" style="3" customWidth="1"/>
    <col min="7" max="7" width="1.7109375" style="3" customWidth="1"/>
    <col min="8" max="8" width="44.42578125" style="5" customWidth="1"/>
    <col min="9" max="12" width="22.28515625" style="3" customWidth="1"/>
    <col min="13" max="13" width="1.7109375" style="3" customWidth="1"/>
    <col min="14" max="14" width="19.28515625" style="5" bestFit="1" customWidth="1"/>
    <col min="15" max="15" width="33" style="3" bestFit="1" customWidth="1"/>
    <col min="16" max="16" width="1.7109375" style="3" customWidth="1"/>
    <col min="17" max="17" width="44.42578125" style="5" customWidth="1"/>
    <col min="18" max="18" width="20.140625" style="3" bestFit="1" customWidth="1"/>
    <col min="19" max="19" width="19.85546875" style="3" bestFit="1" customWidth="1"/>
    <col min="20" max="20" width="18.42578125" style="3" bestFit="1" customWidth="1"/>
    <col min="21" max="21" width="1.7109375" style="3" customWidth="1"/>
    <col min="22" max="23" width="12.42578125" style="3" bestFit="1" customWidth="1"/>
    <col min="24" max="24" width="1.7109375" style="3" customWidth="1"/>
    <col min="25" max="25" width="11.140625" style="3" customWidth="1"/>
    <col min="26" max="26" width="1.7109375" style="3" customWidth="1"/>
    <col min="27" max="27" width="11.140625" style="3" customWidth="1"/>
    <col min="28" max="28" width="1.7109375" style="3" customWidth="1"/>
    <col min="29" max="29" width="44.42578125" style="5" customWidth="1"/>
    <col min="30" max="30" width="33.28515625" style="3" customWidth="1"/>
    <col min="31" max="31" width="1.7109375" style="3" customWidth="1"/>
    <col min="32" max="32" width="41.85546875" style="23" bestFit="1" customWidth="1"/>
    <col min="33" max="33" width="33.28515625" style="3" customWidth="1"/>
    <col min="34" max="34" width="1.7109375" style="3" customWidth="1"/>
    <col min="35" max="35" width="44.42578125" style="3" customWidth="1"/>
    <col min="36" max="36" width="33.28515625" style="3" customWidth="1"/>
    <col min="37" max="37" width="1.7109375" style="3" customWidth="1"/>
    <col min="38" max="38" width="44.42578125" style="3" customWidth="1"/>
    <col min="39" max="39" width="38.85546875" style="3" customWidth="1"/>
    <col min="40" max="40" width="1.7109375" style="3" customWidth="1"/>
    <col min="41" max="41" width="38.7109375" style="3" bestFit="1" customWidth="1"/>
    <col min="42" max="42" width="38.85546875" style="3" customWidth="1"/>
    <col min="43" max="16384" width="8.85546875" style="3"/>
  </cols>
  <sheetData>
    <row r="1" spans="2:43" ht="9" customHeight="1" x14ac:dyDescent="0.25"/>
    <row r="2" spans="2:43" s="27" customFormat="1" ht="14.45" customHeight="1" x14ac:dyDescent="0.25">
      <c r="B2" s="69" t="s">
        <v>80</v>
      </c>
      <c r="C2" s="69"/>
      <c r="D2" s="69"/>
      <c r="E2" s="69"/>
      <c r="F2" s="42"/>
      <c r="H2" s="69" t="s">
        <v>82</v>
      </c>
      <c r="I2" s="69"/>
      <c r="J2" s="69"/>
      <c r="K2" s="69"/>
      <c r="L2" s="42"/>
      <c r="N2" s="69" t="s">
        <v>88</v>
      </c>
      <c r="O2" s="69"/>
      <c r="Q2" s="69" t="s">
        <v>98</v>
      </c>
      <c r="R2" s="69"/>
      <c r="S2" s="69"/>
      <c r="T2" s="69"/>
      <c r="AC2" s="69" t="s">
        <v>106</v>
      </c>
      <c r="AD2" s="69"/>
      <c r="AF2" s="69" t="s">
        <v>108</v>
      </c>
      <c r="AG2" s="69"/>
      <c r="AI2" s="69" t="s">
        <v>123</v>
      </c>
      <c r="AJ2" s="69"/>
      <c r="AL2" s="69" t="s">
        <v>122</v>
      </c>
      <c r="AM2" s="69"/>
      <c r="AO2" s="69" t="s">
        <v>142</v>
      </c>
      <c r="AP2" s="69"/>
    </row>
    <row r="3" spans="2:43" ht="9" customHeight="1" x14ac:dyDescent="0.25">
      <c r="AI3" s="5"/>
      <c r="AL3" s="5"/>
      <c r="AO3" s="5"/>
    </row>
    <row r="4" spans="2:43" ht="30" x14ac:dyDescent="0.25">
      <c r="B4" s="9" t="s">
        <v>77</v>
      </c>
      <c r="C4" s="9" t="s">
        <v>75</v>
      </c>
      <c r="E4"/>
      <c r="F4"/>
      <c r="G4"/>
      <c r="H4" s="9" t="s">
        <v>81</v>
      </c>
      <c r="I4" s="9" t="s">
        <v>75</v>
      </c>
      <c r="K4"/>
      <c r="L4"/>
      <c r="M4"/>
      <c r="N4" s="9" t="s">
        <v>76</v>
      </c>
      <c r="O4" s="3" t="s">
        <v>81</v>
      </c>
      <c r="P4" s="2"/>
      <c r="Q4" s="9" t="s">
        <v>76</v>
      </c>
      <c r="R4" s="3" t="s">
        <v>94</v>
      </c>
      <c r="S4" s="3" t="s">
        <v>92</v>
      </c>
      <c r="T4" s="3" t="s">
        <v>93</v>
      </c>
      <c r="V4" s="70" t="s">
        <v>95</v>
      </c>
      <c r="W4" s="70"/>
      <c r="Y4" s="4" t="s">
        <v>96</v>
      </c>
      <c r="AA4" s="4" t="s">
        <v>97</v>
      </c>
      <c r="AC4" s="9" t="s">
        <v>76</v>
      </c>
      <c r="AD4" s="3" t="s">
        <v>81</v>
      </c>
      <c r="AE4" s="2"/>
      <c r="AF4" s="24" t="s">
        <v>107</v>
      </c>
      <c r="AG4" s="8" t="s">
        <v>77</v>
      </c>
      <c r="AI4" s="9" t="s">
        <v>76</v>
      </c>
      <c r="AJ4" s="3" t="s">
        <v>81</v>
      </c>
      <c r="AK4"/>
      <c r="AL4" s="9" t="s">
        <v>76</v>
      </c>
      <c r="AM4" s="3" t="s">
        <v>77</v>
      </c>
      <c r="AO4" s="9" t="s">
        <v>76</v>
      </c>
      <c r="AP4" s="3" t="s">
        <v>136</v>
      </c>
      <c r="AQ4"/>
    </row>
    <row r="5" spans="2:43" x14ac:dyDescent="0.25">
      <c r="B5" s="9" t="s">
        <v>76</v>
      </c>
      <c r="C5" s="3" t="s">
        <v>16</v>
      </c>
      <c r="D5" s="3" t="s">
        <v>74</v>
      </c>
      <c r="E5"/>
      <c r="F5"/>
      <c r="G5"/>
      <c r="H5" s="9" t="s">
        <v>76</v>
      </c>
      <c r="I5" s="3" t="s">
        <v>16</v>
      </c>
      <c r="J5" s="3" t="s">
        <v>74</v>
      </c>
      <c r="K5"/>
      <c r="L5"/>
      <c r="M5"/>
      <c r="N5" s="56">
        <v>45979</v>
      </c>
      <c r="O5" s="3">
        <v>10</v>
      </c>
      <c r="P5" s="2"/>
      <c r="Q5" s="3" t="s">
        <v>4</v>
      </c>
      <c r="R5" s="6">
        <v>4.5916666666666668</v>
      </c>
      <c r="S5" s="6">
        <v>19.131944444444446</v>
      </c>
      <c r="T5" s="6">
        <v>80.868055555555557</v>
      </c>
      <c r="V5" s="3">
        <v>84.77</v>
      </c>
      <c r="W5" s="3">
        <v>353</v>
      </c>
      <c r="Y5" s="13">
        <f t="shared" ref="Y5:Y36" si="0">ABS((ROUNDUP(V5/24, 0)*24 - V5)/24 - 1)*100</f>
        <v>53.208333333333321</v>
      </c>
      <c r="AA5" s="13">
        <f t="shared" ref="AA5:AA36" si="1">(ABS((ROUNDUP(V5/24, 0)*24 - V5)/24 - 1) + IF(V5 &gt; 24, MID(ROUNDUP(V5/24, 2), 1, 1), 0))*100</f>
        <v>353.20833333333337</v>
      </c>
      <c r="AC5" s="3" t="s">
        <v>4</v>
      </c>
      <c r="AD5" s="17">
        <v>1</v>
      </c>
      <c r="AE5" s="2"/>
      <c r="AF5" s="26" t="s">
        <v>13</v>
      </c>
      <c r="AG5" s="25">
        <v>18.000000000000004</v>
      </c>
      <c r="AI5" s="3" t="s">
        <v>4</v>
      </c>
      <c r="AJ5" s="17">
        <v>1</v>
      </c>
      <c r="AK5"/>
      <c r="AL5" s="3" t="s">
        <v>4</v>
      </c>
      <c r="AM5" s="6">
        <v>4.5916666666666668</v>
      </c>
      <c r="AO5" s="3" t="s">
        <v>4</v>
      </c>
      <c r="AP5" s="6">
        <v>19.408333333333331</v>
      </c>
      <c r="AQ5"/>
    </row>
    <row r="6" spans="2:43" x14ac:dyDescent="0.25">
      <c r="B6" s="3" t="s">
        <v>4</v>
      </c>
      <c r="C6" s="6">
        <v>4.5916666666666668</v>
      </c>
      <c r="D6" s="6">
        <v>4.5916666666666668</v>
      </c>
      <c r="E6"/>
      <c r="F6"/>
      <c r="G6"/>
      <c r="H6" s="3" t="s">
        <v>4</v>
      </c>
      <c r="I6" s="3">
        <v>1</v>
      </c>
      <c r="J6" s="3">
        <v>1</v>
      </c>
      <c r="K6"/>
      <c r="L6"/>
      <c r="M6"/>
      <c r="N6" s="3" t="s">
        <v>16</v>
      </c>
      <c r="O6" s="3">
        <v>10</v>
      </c>
      <c r="P6" s="2"/>
      <c r="Q6" s="3" t="s">
        <v>16</v>
      </c>
      <c r="R6" s="6">
        <v>4.5916666666666668</v>
      </c>
      <c r="S6" s="6">
        <v>19.131944444444446</v>
      </c>
      <c r="T6" s="6">
        <v>80.868055555555557</v>
      </c>
      <c r="V6" s="3">
        <v>84.77</v>
      </c>
      <c r="W6" s="3">
        <v>353</v>
      </c>
      <c r="Y6" s="13">
        <f t="shared" si="0"/>
        <v>53.208333333333321</v>
      </c>
      <c r="AA6" s="13">
        <f t="shared" si="1"/>
        <v>353.20833333333337</v>
      </c>
      <c r="AC6" s="3" t="s">
        <v>15</v>
      </c>
      <c r="AD6" s="17">
        <v>1</v>
      </c>
      <c r="AE6" s="2"/>
      <c r="AF6" s="8" t="s">
        <v>16</v>
      </c>
      <c r="AG6" s="25">
        <v>18.000000000000004</v>
      </c>
      <c r="AI6" s="3" t="s">
        <v>15</v>
      </c>
      <c r="AJ6" s="17">
        <v>1</v>
      </c>
      <c r="AK6"/>
      <c r="AL6" s="3" t="s">
        <v>15</v>
      </c>
      <c r="AM6" s="6">
        <v>4.6500000000000004</v>
      </c>
      <c r="AO6" s="3" t="s">
        <v>15</v>
      </c>
      <c r="AP6" s="6">
        <v>19.350000000000001</v>
      </c>
      <c r="AQ6"/>
    </row>
    <row r="7" spans="2:43" x14ac:dyDescent="0.25">
      <c r="B7" s="56">
        <v>46034</v>
      </c>
      <c r="C7" s="6">
        <v>4.5916666666666668</v>
      </c>
      <c r="D7" s="6">
        <v>4.5916666666666668</v>
      </c>
      <c r="E7"/>
      <c r="F7"/>
      <c r="G7"/>
      <c r="H7" s="56">
        <v>46034</v>
      </c>
      <c r="I7" s="3">
        <v>1</v>
      </c>
      <c r="J7" s="3">
        <v>1</v>
      </c>
      <c r="K7"/>
      <c r="L7"/>
      <c r="M7"/>
      <c r="N7" s="56">
        <v>46034</v>
      </c>
      <c r="O7" s="3">
        <v>2</v>
      </c>
      <c r="P7" s="2"/>
      <c r="Q7" s="56">
        <v>46034</v>
      </c>
      <c r="R7" s="6">
        <v>4.5916666666666668</v>
      </c>
      <c r="S7" s="6">
        <v>19.131944444444446</v>
      </c>
      <c r="T7" s="6">
        <v>80.868055555555557</v>
      </c>
      <c r="V7" s="3">
        <v>20.6</v>
      </c>
      <c r="W7" s="3">
        <v>86</v>
      </c>
      <c r="Y7" s="13">
        <f t="shared" si="0"/>
        <v>85.833333333333343</v>
      </c>
      <c r="AA7" s="13">
        <f t="shared" si="1"/>
        <v>85.833333333333343</v>
      </c>
      <c r="AC7" s="3" t="s">
        <v>7</v>
      </c>
      <c r="AD7" s="17">
        <v>2</v>
      </c>
      <c r="AE7" s="2"/>
      <c r="AF7" s="26" t="s">
        <v>4</v>
      </c>
      <c r="AG7" s="25">
        <v>471.05416666666679</v>
      </c>
      <c r="AI7" s="3" t="s">
        <v>7</v>
      </c>
      <c r="AJ7" s="17">
        <v>2</v>
      </c>
      <c r="AK7"/>
      <c r="AL7" s="3" t="s">
        <v>7</v>
      </c>
      <c r="AM7" s="6">
        <v>8.3166666666666664</v>
      </c>
      <c r="AO7" s="3" t="s">
        <v>7</v>
      </c>
      <c r="AP7" s="6">
        <v>39.683333333333337</v>
      </c>
      <c r="AQ7"/>
    </row>
    <row r="8" spans="2:43" x14ac:dyDescent="0.25">
      <c r="B8" s="3" t="s">
        <v>15</v>
      </c>
      <c r="C8" s="6">
        <v>4.6500000000000004</v>
      </c>
      <c r="D8" s="6">
        <v>4.6500000000000004</v>
      </c>
      <c r="E8"/>
      <c r="F8"/>
      <c r="G8"/>
      <c r="H8" s="3" t="s">
        <v>15</v>
      </c>
      <c r="I8" s="3">
        <v>1</v>
      </c>
      <c r="J8" s="3">
        <v>1</v>
      </c>
      <c r="K8"/>
      <c r="L8"/>
      <c r="M8"/>
      <c r="N8" s="3" t="s">
        <v>16</v>
      </c>
      <c r="O8" s="3">
        <v>2</v>
      </c>
      <c r="P8" s="2"/>
      <c r="Q8" s="3" t="s">
        <v>15</v>
      </c>
      <c r="R8" s="6">
        <v>4.6500000000000004</v>
      </c>
      <c r="S8" s="6">
        <v>19.375</v>
      </c>
      <c r="T8" s="6">
        <v>80.625</v>
      </c>
      <c r="V8" s="3">
        <v>24</v>
      </c>
      <c r="W8" s="3">
        <v>100</v>
      </c>
      <c r="Y8" s="13">
        <f t="shared" si="0"/>
        <v>100</v>
      </c>
      <c r="AA8" s="13">
        <f t="shared" si="1"/>
        <v>100</v>
      </c>
      <c r="AC8" s="3" t="s">
        <v>14</v>
      </c>
      <c r="AD8" s="17">
        <v>1</v>
      </c>
      <c r="AE8" s="2"/>
      <c r="AF8" s="8" t="s">
        <v>17</v>
      </c>
      <c r="AG8" s="25">
        <v>84.765833333333333</v>
      </c>
      <c r="AI8" s="3" t="s">
        <v>14</v>
      </c>
      <c r="AJ8" s="17">
        <v>1</v>
      </c>
      <c r="AK8"/>
      <c r="AL8" s="3" t="s">
        <v>14</v>
      </c>
      <c r="AM8" s="6">
        <v>5.8916666666666657</v>
      </c>
      <c r="AO8" s="3" t="s">
        <v>14</v>
      </c>
      <c r="AP8" s="6">
        <v>18.108333333333334</v>
      </c>
      <c r="AQ8"/>
    </row>
    <row r="9" spans="2:43" x14ac:dyDescent="0.25">
      <c r="B9" s="56">
        <v>45979</v>
      </c>
      <c r="C9" s="6">
        <v>4.6500000000000004</v>
      </c>
      <c r="D9" s="6">
        <v>4.6500000000000004</v>
      </c>
      <c r="E9"/>
      <c r="F9"/>
      <c r="G9"/>
      <c r="H9" s="56">
        <v>45979</v>
      </c>
      <c r="I9" s="3">
        <v>1</v>
      </c>
      <c r="J9" s="3">
        <v>1</v>
      </c>
      <c r="K9"/>
      <c r="L9"/>
      <c r="M9"/>
      <c r="N9" s="56">
        <v>46035</v>
      </c>
      <c r="O9" s="3">
        <v>2</v>
      </c>
      <c r="P9" s="2"/>
      <c r="Q9" s="3" t="s">
        <v>16</v>
      </c>
      <c r="R9" s="6">
        <v>4.6500000000000004</v>
      </c>
      <c r="S9" s="6">
        <v>19.375</v>
      </c>
      <c r="T9" s="6">
        <v>80.625</v>
      </c>
      <c r="V9" s="3">
        <v>24</v>
      </c>
      <c r="W9" s="3">
        <v>100</v>
      </c>
      <c r="Y9" s="13">
        <f t="shared" si="0"/>
        <v>100</v>
      </c>
      <c r="AA9" s="13">
        <f t="shared" si="1"/>
        <v>100</v>
      </c>
      <c r="AC9" s="3" t="s">
        <v>5</v>
      </c>
      <c r="AD9" s="17">
        <v>2</v>
      </c>
      <c r="AE9" s="2"/>
      <c r="AF9" s="8" t="s">
        <v>16</v>
      </c>
      <c r="AG9" s="25">
        <v>386.28833333333347</v>
      </c>
      <c r="AI9" s="3" t="s">
        <v>5</v>
      </c>
      <c r="AJ9" s="17">
        <v>2</v>
      </c>
      <c r="AK9"/>
      <c r="AL9" s="3" t="s">
        <v>5</v>
      </c>
      <c r="AM9" s="6">
        <v>9.7749999999999986</v>
      </c>
      <c r="AO9" s="3" t="s">
        <v>5</v>
      </c>
      <c r="AP9" s="6">
        <v>38.225000000000001</v>
      </c>
      <c r="AQ9"/>
    </row>
    <row r="10" spans="2:43" x14ac:dyDescent="0.25">
      <c r="B10" s="3" t="s">
        <v>7</v>
      </c>
      <c r="C10" s="6">
        <v>8.3166666666666664</v>
      </c>
      <c r="D10" s="6">
        <v>8.3166666666666664</v>
      </c>
      <c r="E10"/>
      <c r="F10"/>
      <c r="G10"/>
      <c r="H10" s="3" t="s">
        <v>7</v>
      </c>
      <c r="I10" s="3">
        <v>2</v>
      </c>
      <c r="J10" s="3">
        <v>2</v>
      </c>
      <c r="K10"/>
      <c r="L10"/>
      <c r="M10"/>
      <c r="N10" s="3" t="s">
        <v>16</v>
      </c>
      <c r="O10" s="3">
        <v>2</v>
      </c>
      <c r="P10" s="2"/>
      <c r="Q10" s="56">
        <v>45979</v>
      </c>
      <c r="R10" s="6">
        <v>4.6500000000000004</v>
      </c>
      <c r="S10" s="6">
        <v>19.375</v>
      </c>
      <c r="T10" s="6">
        <v>80.625</v>
      </c>
      <c r="V10" s="3">
        <v>16.170000000000002</v>
      </c>
      <c r="W10" s="3">
        <v>67</v>
      </c>
      <c r="Y10" s="13">
        <f t="shared" si="0"/>
        <v>67.375</v>
      </c>
      <c r="AA10" s="13">
        <f t="shared" si="1"/>
        <v>67.375</v>
      </c>
      <c r="AC10" s="3" t="s">
        <v>12</v>
      </c>
      <c r="AD10" s="17">
        <v>1</v>
      </c>
      <c r="AE10" s="2"/>
      <c r="AF10" s="26" t="s">
        <v>15</v>
      </c>
      <c r="AG10" s="25">
        <v>81.549583333333331</v>
      </c>
      <c r="AI10" s="3" t="s">
        <v>12</v>
      </c>
      <c r="AJ10" s="17">
        <v>1</v>
      </c>
      <c r="AK10"/>
      <c r="AL10" s="3" t="s">
        <v>12</v>
      </c>
      <c r="AM10" s="6">
        <v>5.7250000000000005</v>
      </c>
      <c r="AO10" s="3" t="s">
        <v>12</v>
      </c>
      <c r="AP10" s="6">
        <v>18.274999999999999</v>
      </c>
      <c r="AQ10"/>
    </row>
    <row r="11" spans="2:43" x14ac:dyDescent="0.25">
      <c r="B11" s="56">
        <v>45979</v>
      </c>
      <c r="C11" s="6">
        <v>4.6500000000000004</v>
      </c>
      <c r="D11" s="6">
        <v>4.6500000000000004</v>
      </c>
      <c r="E11"/>
      <c r="F11"/>
      <c r="G11"/>
      <c r="H11" s="56">
        <v>45979</v>
      </c>
      <c r="I11" s="3">
        <v>1</v>
      </c>
      <c r="J11" s="3">
        <v>1</v>
      </c>
      <c r="K11"/>
      <c r="L11"/>
      <c r="M11"/>
      <c r="N11" s="56">
        <v>46036</v>
      </c>
      <c r="O11" s="3">
        <v>2</v>
      </c>
      <c r="P11" s="2"/>
      <c r="Q11" s="3" t="s">
        <v>7</v>
      </c>
      <c r="R11" s="6">
        <v>8.3166666666666664</v>
      </c>
      <c r="S11" s="6">
        <v>34.652777777777779</v>
      </c>
      <c r="T11" s="6">
        <v>65.347222222222229</v>
      </c>
      <c r="V11" s="6">
        <v>84.765833333333333</v>
      </c>
      <c r="W11" s="13">
        <v>353.19097222222223</v>
      </c>
      <c r="Y11" s="13">
        <f t="shared" si="0"/>
        <v>53.190972222222221</v>
      </c>
      <c r="AA11" s="13">
        <f t="shared" si="1"/>
        <v>353.19097222222223</v>
      </c>
      <c r="AC11" s="3" t="s">
        <v>8</v>
      </c>
      <c r="AD11" s="17">
        <v>2</v>
      </c>
      <c r="AE11" s="2"/>
      <c r="AF11" s="8" t="s">
        <v>17</v>
      </c>
      <c r="AG11" s="25">
        <v>42.382916666666667</v>
      </c>
      <c r="AI11" s="3" t="s">
        <v>8</v>
      </c>
      <c r="AJ11" s="17">
        <v>2</v>
      </c>
      <c r="AK11"/>
      <c r="AL11" s="3" t="s">
        <v>8</v>
      </c>
      <c r="AM11" s="6">
        <v>9.1416666666666675</v>
      </c>
      <c r="AO11" s="3" t="s">
        <v>8</v>
      </c>
      <c r="AP11" s="6">
        <v>38.858333333333334</v>
      </c>
      <c r="AQ11"/>
    </row>
    <row r="12" spans="2:43" x14ac:dyDescent="0.25">
      <c r="B12" s="56">
        <v>46035</v>
      </c>
      <c r="C12" s="6">
        <v>3.666666666666667</v>
      </c>
      <c r="D12" s="6">
        <v>3.666666666666667</v>
      </c>
      <c r="E12"/>
      <c r="F12"/>
      <c r="G12"/>
      <c r="H12" s="56">
        <v>46035</v>
      </c>
      <c r="I12" s="3">
        <v>1</v>
      </c>
      <c r="J12" s="3">
        <v>1</v>
      </c>
      <c r="K12"/>
      <c r="L12"/>
      <c r="M12"/>
      <c r="N12" s="3" t="s">
        <v>16</v>
      </c>
      <c r="O12" s="3">
        <v>2</v>
      </c>
      <c r="P12" s="2"/>
      <c r="Q12" s="3" t="s">
        <v>16</v>
      </c>
      <c r="R12" s="6">
        <v>8.3166666666666664</v>
      </c>
      <c r="S12" s="6">
        <v>34.652777777777779</v>
      </c>
      <c r="T12" s="6">
        <v>65.347222222222229</v>
      </c>
      <c r="V12" s="6">
        <v>84.765833333333333</v>
      </c>
      <c r="W12" s="13">
        <v>353.19097222222223</v>
      </c>
      <c r="Y12" s="13">
        <f t="shared" si="0"/>
        <v>53.190972222222221</v>
      </c>
      <c r="AA12" s="13">
        <f t="shared" si="1"/>
        <v>353.19097222222223</v>
      </c>
      <c r="AC12" s="3" t="s">
        <v>6</v>
      </c>
      <c r="AD12" s="17">
        <v>2</v>
      </c>
      <c r="AE12" s="2"/>
      <c r="AF12" s="8" t="s">
        <v>16</v>
      </c>
      <c r="AG12" s="25">
        <v>39.166666666666664</v>
      </c>
      <c r="AI12" s="3" t="s">
        <v>6</v>
      </c>
      <c r="AJ12" s="17">
        <v>2</v>
      </c>
      <c r="AK12"/>
      <c r="AL12" s="3" t="s">
        <v>6</v>
      </c>
      <c r="AM12" s="6">
        <v>16.316666666666666</v>
      </c>
      <c r="AO12" s="3" t="s">
        <v>6</v>
      </c>
      <c r="AP12" s="6">
        <v>31.68333333333333</v>
      </c>
      <c r="AQ12"/>
    </row>
    <row r="13" spans="2:43" ht="30" x14ac:dyDescent="0.25">
      <c r="B13" s="3" t="s">
        <v>14</v>
      </c>
      <c r="C13" s="6">
        <v>5.8916666666666657</v>
      </c>
      <c r="D13" s="6">
        <v>5.8916666666666657</v>
      </c>
      <c r="E13"/>
      <c r="F13"/>
      <c r="G13"/>
      <c r="H13" s="3" t="s">
        <v>14</v>
      </c>
      <c r="I13" s="3">
        <v>1</v>
      </c>
      <c r="J13" s="3">
        <v>1</v>
      </c>
      <c r="K13"/>
      <c r="L13"/>
      <c r="M13"/>
      <c r="N13" s="56">
        <v>46037</v>
      </c>
      <c r="O13" s="3">
        <v>2</v>
      </c>
      <c r="P13" s="2"/>
      <c r="Q13" s="56">
        <v>45979</v>
      </c>
      <c r="R13" s="6">
        <v>4.6500000000000004</v>
      </c>
      <c r="S13" s="6">
        <v>19.375</v>
      </c>
      <c r="T13" s="6">
        <v>80.625</v>
      </c>
      <c r="V13" s="6">
        <v>20.599722222222219</v>
      </c>
      <c r="W13" s="13">
        <v>85.83217592592591</v>
      </c>
      <c r="Y13" s="13">
        <f t="shared" si="0"/>
        <v>85.83217592592591</v>
      </c>
      <c r="AA13" s="13">
        <f t="shared" si="1"/>
        <v>85.83217592592591</v>
      </c>
      <c r="AC13" s="3" t="s">
        <v>10</v>
      </c>
      <c r="AD13" s="17">
        <v>1</v>
      </c>
      <c r="AE13" s="2"/>
      <c r="AF13" s="26" t="s">
        <v>7</v>
      </c>
      <c r="AG13" s="25">
        <v>120.54958334326744</v>
      </c>
      <c r="AI13" s="3" t="s">
        <v>10</v>
      </c>
      <c r="AJ13" s="17">
        <v>1</v>
      </c>
      <c r="AK13"/>
      <c r="AL13" s="3" t="s">
        <v>10</v>
      </c>
      <c r="AM13" s="6">
        <v>3.6333333333333333</v>
      </c>
      <c r="AO13" s="3" t="s">
        <v>10</v>
      </c>
      <c r="AP13" s="6">
        <v>20.366666666666667</v>
      </c>
      <c r="AQ13"/>
    </row>
    <row r="14" spans="2:43" x14ac:dyDescent="0.25">
      <c r="B14" s="56">
        <v>45979</v>
      </c>
      <c r="C14" s="6">
        <v>5.8916666666666657</v>
      </c>
      <c r="D14" s="6">
        <v>5.8916666666666657</v>
      </c>
      <c r="E14"/>
      <c r="F14"/>
      <c r="G14"/>
      <c r="H14" s="56">
        <v>45979</v>
      </c>
      <c r="I14" s="3">
        <v>1</v>
      </c>
      <c r="J14" s="3">
        <v>1</v>
      </c>
      <c r="K14"/>
      <c r="L14"/>
      <c r="M14"/>
      <c r="N14" s="3" t="s">
        <v>16</v>
      </c>
      <c r="O14" s="3">
        <v>2</v>
      </c>
      <c r="P14" s="2"/>
      <c r="Q14" s="56">
        <v>46035</v>
      </c>
      <c r="R14" s="6">
        <v>3.666666666666667</v>
      </c>
      <c r="S14" s="6">
        <v>15.277777777777779</v>
      </c>
      <c r="T14" s="6">
        <v>84.722222222222229</v>
      </c>
      <c r="V14" s="6">
        <v>23.999722222222221</v>
      </c>
      <c r="W14" s="13">
        <v>99.998842592592581</v>
      </c>
      <c r="Y14" s="13">
        <f t="shared" si="0"/>
        <v>99.998842592592581</v>
      </c>
      <c r="AA14" s="13">
        <f t="shared" si="1"/>
        <v>99.998842592592581</v>
      </c>
      <c r="AC14" s="3" t="s">
        <v>11</v>
      </c>
      <c r="AD14" s="17">
        <v>1</v>
      </c>
      <c r="AE14" s="2"/>
      <c r="AF14" s="8" t="s">
        <v>17</v>
      </c>
      <c r="AG14" s="25">
        <v>42.382916666666667</v>
      </c>
      <c r="AI14" s="3" t="s">
        <v>11</v>
      </c>
      <c r="AJ14" s="17">
        <v>1</v>
      </c>
      <c r="AK14"/>
      <c r="AL14" s="3" t="s">
        <v>11</v>
      </c>
      <c r="AM14" s="6">
        <v>3.6333333333333333</v>
      </c>
      <c r="AO14" s="3" t="s">
        <v>11</v>
      </c>
      <c r="AP14" s="6">
        <v>20.366666666666667</v>
      </c>
      <c r="AQ14"/>
    </row>
    <row r="15" spans="2:43" x14ac:dyDescent="0.25">
      <c r="B15" s="3" t="s">
        <v>5</v>
      </c>
      <c r="C15" s="6">
        <v>9.7749999999999986</v>
      </c>
      <c r="D15" s="6">
        <v>9.7749999999999986</v>
      </c>
      <c r="E15"/>
      <c r="F15"/>
      <c r="G15"/>
      <c r="H15" s="3" t="s">
        <v>5</v>
      </c>
      <c r="I15" s="3">
        <v>2</v>
      </c>
      <c r="J15" s="3">
        <v>2</v>
      </c>
      <c r="K15"/>
      <c r="L15"/>
      <c r="M15"/>
      <c r="N15" s="56">
        <v>46038</v>
      </c>
      <c r="O15" s="3">
        <v>2</v>
      </c>
      <c r="P15" s="2"/>
      <c r="Q15" s="3" t="s">
        <v>14</v>
      </c>
      <c r="R15" s="6">
        <v>5.8916666666666657</v>
      </c>
      <c r="S15" s="6">
        <v>24.548611111111107</v>
      </c>
      <c r="T15" s="6">
        <v>75.451388888888886</v>
      </c>
      <c r="V15" s="6">
        <v>23.999722222222221</v>
      </c>
      <c r="W15" s="13">
        <v>99.998842592592581</v>
      </c>
      <c r="Y15" s="13">
        <f t="shared" si="0"/>
        <v>99.998842592592581</v>
      </c>
      <c r="AA15" s="13">
        <f t="shared" si="1"/>
        <v>99.998842592592581</v>
      </c>
      <c r="AC15" s="3" t="s">
        <v>9</v>
      </c>
      <c r="AD15" s="17">
        <v>1</v>
      </c>
      <c r="AE15" s="2"/>
      <c r="AF15" s="8" t="s">
        <v>16</v>
      </c>
      <c r="AG15" s="25">
        <v>78.166666676600784</v>
      </c>
      <c r="AI15" s="3" t="s">
        <v>9</v>
      </c>
      <c r="AJ15" s="17">
        <v>1</v>
      </c>
      <c r="AK15"/>
      <c r="AL15" s="3" t="s">
        <v>9</v>
      </c>
      <c r="AM15" s="6">
        <v>3.6333333333333333</v>
      </c>
      <c r="AO15" s="3" t="s">
        <v>9</v>
      </c>
      <c r="AP15" s="6">
        <v>20.366666666666667</v>
      </c>
      <c r="AQ15"/>
    </row>
    <row r="16" spans="2:43" ht="30" x14ac:dyDescent="0.25">
      <c r="B16" s="56">
        <v>45979</v>
      </c>
      <c r="C16" s="6">
        <v>5.8916666666666657</v>
      </c>
      <c r="D16" s="6">
        <v>5.8916666666666657</v>
      </c>
      <c r="E16"/>
      <c r="F16"/>
      <c r="G16"/>
      <c r="H16" s="56">
        <v>45979</v>
      </c>
      <c r="I16" s="3">
        <v>1</v>
      </c>
      <c r="J16" s="3">
        <v>1</v>
      </c>
      <c r="K16"/>
      <c r="L16"/>
      <c r="M16"/>
      <c r="N16" s="3" t="s">
        <v>16</v>
      </c>
      <c r="O16" s="3">
        <v>2</v>
      </c>
      <c r="P16" s="2"/>
      <c r="Q16" s="3" t="s">
        <v>16</v>
      </c>
      <c r="R16" s="6">
        <v>5.8916666666666657</v>
      </c>
      <c r="S16" s="6">
        <v>24.548611111111107</v>
      </c>
      <c r="T16" s="6">
        <v>75.451388888888886</v>
      </c>
      <c r="V16" s="6">
        <v>16.166666666666668</v>
      </c>
      <c r="W16" s="13">
        <v>67.361111111111114</v>
      </c>
      <c r="Y16" s="13">
        <f t="shared" si="0"/>
        <v>67.361111111111114</v>
      </c>
      <c r="AA16" s="13">
        <f t="shared" si="1"/>
        <v>67.361111111111114</v>
      </c>
      <c r="AC16" s="3" t="s">
        <v>178</v>
      </c>
      <c r="AD16" s="17"/>
      <c r="AE16" s="2"/>
      <c r="AF16" s="26" t="s">
        <v>14</v>
      </c>
      <c r="AG16" s="25">
        <v>80.816296296296287</v>
      </c>
      <c r="AI16" s="3" t="s">
        <v>178</v>
      </c>
      <c r="AJ16" s="17">
        <v>1</v>
      </c>
      <c r="AK16"/>
      <c r="AL16" s="3" t="s">
        <v>178</v>
      </c>
      <c r="AM16" s="6">
        <v>4.6166666666666671</v>
      </c>
      <c r="AO16" s="3" t="s">
        <v>178</v>
      </c>
      <c r="AP16" s="6">
        <v>19.383333333333333</v>
      </c>
    </row>
    <row r="17" spans="2:42" ht="30" x14ac:dyDescent="0.25">
      <c r="B17" s="56">
        <v>46036</v>
      </c>
      <c r="C17" s="6">
        <v>3.8833333333333329</v>
      </c>
      <c r="D17" s="6">
        <v>3.8833333333333329</v>
      </c>
      <c r="E17"/>
      <c r="F17"/>
      <c r="G17"/>
      <c r="H17" s="56">
        <v>46036</v>
      </c>
      <c r="I17" s="3">
        <v>1</v>
      </c>
      <c r="J17" s="3">
        <v>1</v>
      </c>
      <c r="K17"/>
      <c r="L17"/>
      <c r="M17"/>
      <c r="N17" s="5" t="s">
        <v>74</v>
      </c>
      <c r="O17" s="3">
        <v>20</v>
      </c>
      <c r="P17" s="2"/>
      <c r="Q17" s="56">
        <v>45979</v>
      </c>
      <c r="R17" s="6">
        <v>5.8916666666666657</v>
      </c>
      <c r="S17" s="6">
        <v>24.548611111111107</v>
      </c>
      <c r="T17" s="6">
        <v>75.451388888888886</v>
      </c>
      <c r="V17" s="6">
        <v>87.865833333333327</v>
      </c>
      <c r="W17" s="13">
        <v>366.10763888888886</v>
      </c>
      <c r="Y17" s="13">
        <f t="shared" si="0"/>
        <v>66.107638888888857</v>
      </c>
      <c r="AA17" s="13">
        <f t="shared" si="1"/>
        <v>366.10763888888886</v>
      </c>
      <c r="AC17" s="3" t="s">
        <v>16</v>
      </c>
      <c r="AD17" s="17">
        <v>1</v>
      </c>
      <c r="AE17" s="2"/>
      <c r="AF17" s="8" t="s">
        <v>17</v>
      </c>
      <c r="AG17" s="25">
        <v>38.949629629629626</v>
      </c>
      <c r="AI17" s="3" t="s">
        <v>179</v>
      </c>
      <c r="AJ17" s="17">
        <v>1</v>
      </c>
      <c r="AK17"/>
      <c r="AL17" s="3" t="s">
        <v>179</v>
      </c>
      <c r="AM17" s="6">
        <v>3.6000000000000005</v>
      </c>
      <c r="AO17" s="3" t="s">
        <v>179</v>
      </c>
      <c r="AP17" s="6">
        <v>20.399999999999999</v>
      </c>
    </row>
    <row r="18" spans="2:42" ht="30" x14ac:dyDescent="0.25">
      <c r="B18" s="3" t="s">
        <v>12</v>
      </c>
      <c r="C18" s="6">
        <v>5.7250000000000005</v>
      </c>
      <c r="D18" s="6">
        <v>5.7250000000000005</v>
      </c>
      <c r="E18"/>
      <c r="F18"/>
      <c r="G18"/>
      <c r="H18" s="3" t="s">
        <v>12</v>
      </c>
      <c r="I18" s="3">
        <v>1</v>
      </c>
      <c r="J18" s="3">
        <v>1</v>
      </c>
      <c r="K18"/>
      <c r="L18"/>
      <c r="M18"/>
      <c r="N18"/>
      <c r="O18"/>
      <c r="P18" s="2"/>
      <c r="Q18" s="3" t="s">
        <v>5</v>
      </c>
      <c r="R18" s="6">
        <v>9.7749999999999986</v>
      </c>
      <c r="S18" s="6">
        <v>40.729166666666657</v>
      </c>
      <c r="T18" s="6">
        <v>59.270833333333343</v>
      </c>
      <c r="V18" s="6">
        <v>84.765833333333333</v>
      </c>
      <c r="W18" s="13">
        <v>353.19097222222223</v>
      </c>
      <c r="Y18" s="13">
        <f t="shared" si="0"/>
        <v>53.190972222222221</v>
      </c>
      <c r="AA18" s="13">
        <f t="shared" si="1"/>
        <v>353.19097222222223</v>
      </c>
      <c r="AC18" s="3" t="s">
        <v>179</v>
      </c>
      <c r="AD18" s="17"/>
      <c r="AE18" s="2"/>
      <c r="AF18" s="8" t="s">
        <v>16</v>
      </c>
      <c r="AG18" s="25">
        <v>41.866666666666667</v>
      </c>
      <c r="AI18" s="3" t="s">
        <v>180</v>
      </c>
      <c r="AJ18" s="17">
        <v>1</v>
      </c>
      <c r="AK18"/>
      <c r="AL18" s="3" t="s">
        <v>180</v>
      </c>
      <c r="AM18" s="6">
        <v>3.8999999999999995</v>
      </c>
      <c r="AO18" s="3" t="s">
        <v>180</v>
      </c>
      <c r="AP18" s="6">
        <v>20.100000000000001</v>
      </c>
    </row>
    <row r="19" spans="2:42" ht="30" x14ac:dyDescent="0.25">
      <c r="B19" s="56">
        <v>45979</v>
      </c>
      <c r="C19" s="6">
        <v>5.7250000000000005</v>
      </c>
      <c r="D19" s="6">
        <v>5.7250000000000005</v>
      </c>
      <c r="E19"/>
      <c r="F19"/>
      <c r="G19"/>
      <c r="H19" s="56">
        <v>45979</v>
      </c>
      <c r="I19" s="3">
        <v>1</v>
      </c>
      <c r="J19" s="3">
        <v>1</v>
      </c>
      <c r="K19"/>
      <c r="L19"/>
      <c r="M19"/>
      <c r="N19"/>
      <c r="O19"/>
      <c r="P19" s="2"/>
      <c r="Q19" s="3" t="s">
        <v>16</v>
      </c>
      <c r="R19" s="6">
        <v>9.7749999999999986</v>
      </c>
      <c r="S19" s="6">
        <v>40.729166666666657</v>
      </c>
      <c r="T19" s="6">
        <v>59.270833333333343</v>
      </c>
      <c r="V19" s="6">
        <v>20.599722222222219</v>
      </c>
      <c r="W19" s="13">
        <v>85.83217592592591</v>
      </c>
      <c r="Y19" s="13">
        <f t="shared" si="0"/>
        <v>85.83217592592591</v>
      </c>
      <c r="AA19" s="13">
        <f t="shared" si="1"/>
        <v>85.83217592592591</v>
      </c>
      <c r="AC19" s="3" t="s">
        <v>16</v>
      </c>
      <c r="AD19" s="17">
        <v>1</v>
      </c>
      <c r="AE19" s="2"/>
      <c r="AF19" s="26" t="s">
        <v>5</v>
      </c>
      <c r="AG19" s="25">
        <v>143.91592592773037</v>
      </c>
      <c r="AI19" s="3" t="s">
        <v>181</v>
      </c>
      <c r="AJ19" s="17">
        <v>1</v>
      </c>
      <c r="AK19"/>
      <c r="AL19" s="3" t="s">
        <v>181</v>
      </c>
      <c r="AM19" s="6">
        <v>3.4499999999999997</v>
      </c>
      <c r="AO19" s="3" t="s">
        <v>181</v>
      </c>
      <c r="AP19" s="6">
        <v>20.55</v>
      </c>
    </row>
    <row r="20" spans="2:42" ht="30" x14ac:dyDescent="0.25">
      <c r="B20" s="3" t="s">
        <v>8</v>
      </c>
      <c r="C20" s="6">
        <v>9.1416666666666675</v>
      </c>
      <c r="D20" s="6">
        <v>9.1416666666666675</v>
      </c>
      <c r="E20"/>
      <c r="F20"/>
      <c r="G20"/>
      <c r="H20" s="3" t="s">
        <v>8</v>
      </c>
      <c r="I20" s="3">
        <v>2</v>
      </c>
      <c r="J20" s="3">
        <v>2</v>
      </c>
      <c r="K20"/>
      <c r="L20"/>
      <c r="M20"/>
      <c r="N20"/>
      <c r="O20"/>
      <c r="P20" s="2"/>
      <c r="Q20" s="56">
        <v>45979</v>
      </c>
      <c r="R20" s="6">
        <v>5.8916666666666657</v>
      </c>
      <c r="S20" s="6">
        <v>24.548611111111107</v>
      </c>
      <c r="T20" s="6">
        <v>75.451388888888886</v>
      </c>
      <c r="V20" s="6">
        <v>23.999722222222221</v>
      </c>
      <c r="W20" s="13">
        <v>99.998842592592581</v>
      </c>
      <c r="Y20" s="13">
        <f t="shared" si="0"/>
        <v>99.998842592592581</v>
      </c>
      <c r="AA20" s="13">
        <f t="shared" si="1"/>
        <v>99.998842592592581</v>
      </c>
      <c r="AC20" s="3" t="s">
        <v>180</v>
      </c>
      <c r="AD20" s="17"/>
      <c r="AE20" s="2"/>
      <c r="AF20" s="8" t="s">
        <v>17</v>
      </c>
      <c r="AG20" s="25">
        <v>45.8162037037037</v>
      </c>
      <c r="AI20" s="3" t="s">
        <v>182</v>
      </c>
      <c r="AJ20" s="17">
        <v>1</v>
      </c>
      <c r="AK20"/>
      <c r="AL20" s="3" t="s">
        <v>182</v>
      </c>
      <c r="AM20" s="6">
        <v>4.8833333333333329</v>
      </c>
      <c r="AO20" s="3" t="s">
        <v>182</v>
      </c>
      <c r="AP20" s="6">
        <v>19.116666666666667</v>
      </c>
    </row>
    <row r="21" spans="2:42" x14ac:dyDescent="0.25">
      <c r="B21" s="56">
        <v>45979</v>
      </c>
      <c r="C21" s="6">
        <v>5.7250000000000005</v>
      </c>
      <c r="D21" s="6">
        <v>5.7250000000000005</v>
      </c>
      <c r="E21"/>
      <c r="F21"/>
      <c r="G21"/>
      <c r="H21" s="56">
        <v>45979</v>
      </c>
      <c r="I21" s="3">
        <v>1</v>
      </c>
      <c r="J21" s="3">
        <v>1</v>
      </c>
      <c r="K21"/>
      <c r="L21"/>
      <c r="M21"/>
      <c r="N21"/>
      <c r="O21"/>
      <c r="P21" s="2"/>
      <c r="Q21" s="56">
        <v>46036</v>
      </c>
      <c r="R21" s="6">
        <v>3.8833333333333329</v>
      </c>
      <c r="S21" s="6">
        <v>16.180555555555554</v>
      </c>
      <c r="T21" s="6">
        <v>83.819444444444443</v>
      </c>
      <c r="V21" s="6">
        <v>23.999722222222221</v>
      </c>
      <c r="W21" s="13">
        <v>99.998842592592581</v>
      </c>
      <c r="Y21" s="13">
        <f t="shared" si="0"/>
        <v>99.998842592592581</v>
      </c>
      <c r="AA21" s="13">
        <f t="shared" si="1"/>
        <v>99.998842592592581</v>
      </c>
      <c r="AC21" s="3" t="s">
        <v>16</v>
      </c>
      <c r="AD21" s="17">
        <v>1</v>
      </c>
      <c r="AE21" s="2"/>
      <c r="AF21" s="8" t="s">
        <v>16</v>
      </c>
      <c r="AG21" s="25">
        <v>98.099722224026664</v>
      </c>
      <c r="AI21"/>
      <c r="AJ21"/>
      <c r="AK21"/>
      <c r="AL21"/>
      <c r="AM21"/>
      <c r="AO21"/>
      <c r="AP21"/>
    </row>
    <row r="22" spans="2:42" x14ac:dyDescent="0.25">
      <c r="B22" s="56">
        <v>46037</v>
      </c>
      <c r="C22" s="6">
        <v>3.4166666666666665</v>
      </c>
      <c r="D22" s="6">
        <v>3.4166666666666665</v>
      </c>
      <c r="E22"/>
      <c r="F22"/>
      <c r="G22"/>
      <c r="H22" s="56">
        <v>46037</v>
      </c>
      <c r="I22" s="3">
        <v>1</v>
      </c>
      <c r="J22" s="3">
        <v>1</v>
      </c>
      <c r="K22"/>
      <c r="L22"/>
      <c r="M22"/>
      <c r="N22"/>
      <c r="O22"/>
      <c r="P22" s="2"/>
      <c r="Q22" s="3" t="s">
        <v>12</v>
      </c>
      <c r="R22" s="6">
        <v>5.7250000000000005</v>
      </c>
      <c r="S22" s="6">
        <v>23.854166666666668</v>
      </c>
      <c r="T22" s="6">
        <v>76.145833333333329</v>
      </c>
      <c r="V22" s="6">
        <v>16.166666666666668</v>
      </c>
      <c r="W22" s="13">
        <v>67.361111111111114</v>
      </c>
      <c r="Y22" s="13">
        <f t="shared" si="0"/>
        <v>67.361111111111114</v>
      </c>
      <c r="AA22" s="13">
        <f t="shared" si="1"/>
        <v>67.361111111111114</v>
      </c>
      <c r="AC22" s="3" t="s">
        <v>181</v>
      </c>
      <c r="AD22" s="17"/>
      <c r="AE22" s="2"/>
      <c r="AF22" s="26" t="s">
        <v>12</v>
      </c>
      <c r="AG22" s="25">
        <v>80.10444443202681</v>
      </c>
      <c r="AI22"/>
      <c r="AL22"/>
      <c r="AO22"/>
    </row>
    <row r="23" spans="2:42" x14ac:dyDescent="0.25">
      <c r="B23" s="3" t="s">
        <v>6</v>
      </c>
      <c r="C23" s="6">
        <v>16.316666666666666</v>
      </c>
      <c r="D23" s="6">
        <v>16.316666666666666</v>
      </c>
      <c r="E23"/>
      <c r="F23"/>
      <c r="G23"/>
      <c r="H23" s="3" t="s">
        <v>6</v>
      </c>
      <c r="I23" s="3">
        <v>2</v>
      </c>
      <c r="J23" s="3">
        <v>2</v>
      </c>
      <c r="K23"/>
      <c r="L23"/>
      <c r="M23"/>
      <c r="N23"/>
      <c r="O23"/>
      <c r="P23" s="2"/>
      <c r="Q23" s="3" t="s">
        <v>16</v>
      </c>
      <c r="R23" s="6">
        <v>5.7250000000000005</v>
      </c>
      <c r="S23" s="6">
        <v>23.854166666666668</v>
      </c>
      <c r="T23" s="6">
        <v>76.145833333333329</v>
      </c>
      <c r="V23" s="6">
        <v>3.0999999999999996</v>
      </c>
      <c r="W23" s="13">
        <v>12.916666666666664</v>
      </c>
      <c r="Y23" s="13">
        <f t="shared" si="0"/>
        <v>12.916666666666677</v>
      </c>
      <c r="AA23" s="13">
        <f t="shared" si="1"/>
        <v>12.916666666666677</v>
      </c>
      <c r="AC23" s="3" t="s">
        <v>16</v>
      </c>
      <c r="AD23" s="17">
        <v>1</v>
      </c>
      <c r="AE23" s="2"/>
      <c r="AF23" s="8" t="s">
        <v>17</v>
      </c>
      <c r="AG23" s="25">
        <v>42.382916666666667</v>
      </c>
      <c r="AI23"/>
      <c r="AL23"/>
      <c r="AO23"/>
    </row>
    <row r="24" spans="2:42" x14ac:dyDescent="0.25">
      <c r="B24" s="56">
        <v>45979</v>
      </c>
      <c r="C24" s="6">
        <v>11.450000000000001</v>
      </c>
      <c r="D24" s="6">
        <v>11.450000000000001</v>
      </c>
      <c r="E24"/>
      <c r="F24"/>
      <c r="G24"/>
      <c r="H24" s="56">
        <v>45979</v>
      </c>
      <c r="I24" s="3">
        <v>1</v>
      </c>
      <c r="J24" s="3">
        <v>1</v>
      </c>
      <c r="K24"/>
      <c r="L24"/>
      <c r="M24"/>
      <c r="N24"/>
      <c r="O24"/>
      <c r="P24" s="2"/>
      <c r="Q24" s="56">
        <v>45979</v>
      </c>
      <c r="R24" s="6">
        <v>5.7250000000000005</v>
      </c>
      <c r="S24" s="6">
        <v>23.854166666666668</v>
      </c>
      <c r="T24" s="6">
        <v>76.145833333333329</v>
      </c>
      <c r="V24" s="6">
        <v>3.0999999999999996</v>
      </c>
      <c r="W24" s="13">
        <v>12.916666666666664</v>
      </c>
      <c r="Y24" s="13">
        <f t="shared" si="0"/>
        <v>12.916666666666677</v>
      </c>
      <c r="AA24" s="13">
        <f t="shared" si="1"/>
        <v>12.916666666666677</v>
      </c>
      <c r="AC24" s="3" t="s">
        <v>182</v>
      </c>
      <c r="AD24" s="17"/>
      <c r="AE24" s="2"/>
      <c r="AF24" s="8" t="s">
        <v>16</v>
      </c>
      <c r="AG24" s="25">
        <v>37.721527765360143</v>
      </c>
      <c r="AI24"/>
      <c r="AL24"/>
      <c r="AO24"/>
    </row>
    <row r="25" spans="2:42" x14ac:dyDescent="0.25">
      <c r="B25" s="56">
        <v>46038</v>
      </c>
      <c r="C25" s="6">
        <v>4.8666666666666663</v>
      </c>
      <c r="D25" s="6">
        <v>4.8666666666666663</v>
      </c>
      <c r="E25"/>
      <c r="F25"/>
      <c r="G25"/>
      <c r="H25" s="56">
        <v>46038</v>
      </c>
      <c r="I25" s="3">
        <v>1</v>
      </c>
      <c r="J25" s="3">
        <v>1</v>
      </c>
      <c r="K25"/>
      <c r="L25"/>
      <c r="M25"/>
      <c r="N25"/>
      <c r="O25"/>
      <c r="P25" s="2"/>
      <c r="Q25" s="3" t="s">
        <v>8</v>
      </c>
      <c r="R25" s="6">
        <v>9.1416666666666675</v>
      </c>
      <c r="S25" s="6">
        <v>38.090277777777779</v>
      </c>
      <c r="T25" s="6">
        <v>61.909722222222221</v>
      </c>
      <c r="V25" s="6">
        <v>92.799166666666665</v>
      </c>
      <c r="W25" s="13">
        <v>386.66319444444446</v>
      </c>
      <c r="Y25" s="13">
        <f t="shared" si="0"/>
        <v>86.663194444444429</v>
      </c>
      <c r="AA25" s="13">
        <f t="shared" si="1"/>
        <v>386.66319444444446</v>
      </c>
      <c r="AC25" s="3" t="s">
        <v>16</v>
      </c>
      <c r="AD25" s="17">
        <v>1</v>
      </c>
      <c r="AE25" s="2"/>
      <c r="AF25" s="26" t="s">
        <v>8</v>
      </c>
      <c r="AG25" s="25">
        <v>117.62458331122994</v>
      </c>
      <c r="AI25"/>
      <c r="AL25"/>
      <c r="AO25"/>
    </row>
    <row r="26" spans="2:42" x14ac:dyDescent="0.25">
      <c r="B26" s="3" t="s">
        <v>10</v>
      </c>
      <c r="C26" s="6">
        <v>3.6333333333333333</v>
      </c>
      <c r="D26" s="6">
        <v>3.6333333333333333</v>
      </c>
      <c r="E26"/>
      <c r="F26"/>
      <c r="G26"/>
      <c r="H26" s="3" t="s">
        <v>10</v>
      </c>
      <c r="I26" s="3">
        <v>1</v>
      </c>
      <c r="J26" s="3">
        <v>1</v>
      </c>
      <c r="K26"/>
      <c r="L26"/>
      <c r="M26"/>
      <c r="N26"/>
      <c r="O26"/>
      <c r="P26" s="2"/>
      <c r="Q26" s="3" t="s">
        <v>16</v>
      </c>
      <c r="R26" s="6">
        <v>9.1416666666666675</v>
      </c>
      <c r="S26" s="6">
        <v>38.090277777777779</v>
      </c>
      <c r="T26" s="6">
        <v>61.909722222222221</v>
      </c>
      <c r="V26" s="6">
        <v>84.765833333333333</v>
      </c>
      <c r="W26" s="13">
        <v>353.19097222222223</v>
      </c>
      <c r="Y26" s="13">
        <f t="shared" si="0"/>
        <v>53.190972222222221</v>
      </c>
      <c r="AA26" s="13">
        <f t="shared" si="1"/>
        <v>353.19097222222223</v>
      </c>
      <c r="AC26"/>
      <c r="AD26"/>
      <c r="AE26" s="2"/>
      <c r="AF26" s="8" t="s">
        <v>17</v>
      </c>
      <c r="AG26" s="25">
        <v>42.382916666666667</v>
      </c>
      <c r="AI26"/>
      <c r="AL26"/>
      <c r="AO26"/>
    </row>
    <row r="27" spans="2:42" x14ac:dyDescent="0.25">
      <c r="B27" s="56">
        <v>45979</v>
      </c>
      <c r="C27" s="6">
        <v>3.6333333333333333</v>
      </c>
      <c r="D27" s="6">
        <v>3.6333333333333333</v>
      </c>
      <c r="E27"/>
      <c r="F27"/>
      <c r="G27"/>
      <c r="H27" s="56">
        <v>45979</v>
      </c>
      <c r="I27" s="3">
        <v>1</v>
      </c>
      <c r="J27" s="3">
        <v>1</v>
      </c>
      <c r="K27"/>
      <c r="L27"/>
      <c r="M27"/>
      <c r="N27"/>
      <c r="O27"/>
      <c r="P27" s="2"/>
      <c r="Q27" s="56">
        <v>45979</v>
      </c>
      <c r="R27" s="6">
        <v>5.7250000000000005</v>
      </c>
      <c r="S27" s="6">
        <v>23.854166666666668</v>
      </c>
      <c r="T27" s="6">
        <v>76.145833333333329</v>
      </c>
      <c r="V27" s="6">
        <v>20.599722222222219</v>
      </c>
      <c r="W27" s="13">
        <v>85.83217592592591</v>
      </c>
      <c r="Y27" s="13">
        <f t="shared" si="0"/>
        <v>85.83217592592591</v>
      </c>
      <c r="AA27" s="13">
        <f t="shared" si="1"/>
        <v>85.83217592592591</v>
      </c>
      <c r="AC27"/>
      <c r="AD27"/>
      <c r="AE27" s="2"/>
      <c r="AF27" s="8" t="s">
        <v>16</v>
      </c>
      <c r="AG27" s="25">
        <v>75.241666644563281</v>
      </c>
      <c r="AI27"/>
      <c r="AL27"/>
      <c r="AO27"/>
    </row>
    <row r="28" spans="2:42" x14ac:dyDescent="0.25">
      <c r="B28" s="3" t="s">
        <v>11</v>
      </c>
      <c r="C28" s="6">
        <v>3.6333333333333333</v>
      </c>
      <c r="D28" s="6">
        <v>3.6333333333333333</v>
      </c>
      <c r="E28"/>
      <c r="F28"/>
      <c r="G28"/>
      <c r="H28" s="3" t="s">
        <v>11</v>
      </c>
      <c r="I28" s="3">
        <v>1</v>
      </c>
      <c r="J28" s="3">
        <v>1</v>
      </c>
      <c r="K28"/>
      <c r="L28"/>
      <c r="M28"/>
      <c r="N28"/>
      <c r="O28"/>
      <c r="P28" s="2"/>
      <c r="Q28" s="56">
        <v>46037</v>
      </c>
      <c r="R28" s="6">
        <v>3.4166666666666665</v>
      </c>
      <c r="S28" s="6">
        <v>14.236111111111111</v>
      </c>
      <c r="T28" s="6">
        <v>85.763888888888886</v>
      </c>
      <c r="V28" s="6">
        <v>23.999722222222221</v>
      </c>
      <c r="W28" s="13">
        <v>99.998842592592581</v>
      </c>
      <c r="Y28" s="13">
        <f t="shared" si="0"/>
        <v>99.998842592592581</v>
      </c>
      <c r="AA28" s="13">
        <f t="shared" si="1"/>
        <v>99.998842592592581</v>
      </c>
      <c r="AC28"/>
      <c r="AD28"/>
      <c r="AE28" s="2"/>
      <c r="AF28" s="26" t="s">
        <v>6</v>
      </c>
      <c r="AG28" s="25">
        <v>251.98222222278099</v>
      </c>
      <c r="AI28"/>
      <c r="AL28"/>
      <c r="AO28"/>
    </row>
    <row r="29" spans="2:42" x14ac:dyDescent="0.25">
      <c r="B29" s="56">
        <v>45979</v>
      </c>
      <c r="C29" s="6">
        <v>3.6333333333333333</v>
      </c>
      <c r="D29" s="6">
        <v>3.6333333333333333</v>
      </c>
      <c r="E29"/>
      <c r="F29"/>
      <c r="G29"/>
      <c r="H29" s="56">
        <v>45979</v>
      </c>
      <c r="I29" s="3">
        <v>1</v>
      </c>
      <c r="J29" s="3">
        <v>1</v>
      </c>
      <c r="K29"/>
      <c r="L29"/>
      <c r="M29"/>
      <c r="N29"/>
      <c r="O29"/>
      <c r="P29" s="2"/>
      <c r="Q29" s="3" t="s">
        <v>6</v>
      </c>
      <c r="R29" s="6">
        <v>16.316666666666666</v>
      </c>
      <c r="S29" s="6">
        <v>67.986111111111114</v>
      </c>
      <c r="T29" s="6">
        <v>32.013888888888886</v>
      </c>
      <c r="V29" s="6">
        <v>23.999722222222221</v>
      </c>
      <c r="W29" s="13">
        <v>99.998842592592581</v>
      </c>
      <c r="Y29" s="13">
        <f t="shared" si="0"/>
        <v>99.998842592592581</v>
      </c>
      <c r="AA29" s="13">
        <f t="shared" si="1"/>
        <v>99.998842592592581</v>
      </c>
      <c r="AC29"/>
      <c r="AD29"/>
      <c r="AE29" s="2"/>
      <c r="AF29" s="8" t="s">
        <v>17</v>
      </c>
      <c r="AG29" s="25">
        <v>84.765833333333319</v>
      </c>
      <c r="AI29"/>
      <c r="AL29"/>
      <c r="AO29"/>
    </row>
    <row r="30" spans="2:42" x14ac:dyDescent="0.25">
      <c r="B30" s="3" t="s">
        <v>9</v>
      </c>
      <c r="C30" s="6">
        <v>3.6333333333333333</v>
      </c>
      <c r="D30" s="6">
        <v>3.6333333333333333</v>
      </c>
      <c r="E30"/>
      <c r="F30"/>
      <c r="G30"/>
      <c r="H30" s="3" t="s">
        <v>9</v>
      </c>
      <c r="I30" s="3">
        <v>1</v>
      </c>
      <c r="J30" s="3">
        <v>1</v>
      </c>
      <c r="K30"/>
      <c r="L30"/>
      <c r="M30"/>
      <c r="N30"/>
      <c r="O30"/>
      <c r="P30" s="2"/>
      <c r="Q30" s="3" t="s">
        <v>16</v>
      </c>
      <c r="R30" s="6">
        <v>16.316666666666666</v>
      </c>
      <c r="S30" s="6">
        <v>67.986111111111114</v>
      </c>
      <c r="T30" s="6">
        <v>32.013888888888886</v>
      </c>
      <c r="V30" s="6">
        <v>16.166666666666668</v>
      </c>
      <c r="W30" s="13">
        <v>67.361111111111114</v>
      </c>
      <c r="Y30" s="13">
        <f t="shared" si="0"/>
        <v>67.361111111111114</v>
      </c>
      <c r="AA30" s="13">
        <f t="shared" si="1"/>
        <v>67.361111111111114</v>
      </c>
      <c r="AC30"/>
      <c r="AD30"/>
      <c r="AE30" s="2"/>
      <c r="AF30" s="8" t="s">
        <v>16</v>
      </c>
      <c r="AG30" s="25">
        <v>167.21638888944767</v>
      </c>
      <c r="AI30"/>
      <c r="AL30"/>
      <c r="AO30"/>
    </row>
    <row r="31" spans="2:42" x14ac:dyDescent="0.25">
      <c r="B31" s="56">
        <v>45979</v>
      </c>
      <c r="C31" s="6">
        <v>3.6333333333333333</v>
      </c>
      <c r="D31" s="6">
        <v>3.6333333333333333</v>
      </c>
      <c r="E31"/>
      <c r="F31"/>
      <c r="G31"/>
      <c r="H31" s="56">
        <v>45979</v>
      </c>
      <c r="I31" s="3">
        <v>1</v>
      </c>
      <c r="J31" s="3">
        <v>1</v>
      </c>
      <c r="K31"/>
      <c r="L31"/>
      <c r="M31"/>
      <c r="N31"/>
      <c r="O31"/>
      <c r="P31" s="2"/>
      <c r="Q31" s="56">
        <v>45979</v>
      </c>
      <c r="R31" s="6">
        <v>11.450000000000001</v>
      </c>
      <c r="S31" s="6">
        <v>47.708333333333336</v>
      </c>
      <c r="T31" s="6">
        <v>52.291666666666664</v>
      </c>
      <c r="V31" s="6">
        <v>8.0333333333333332</v>
      </c>
      <c r="W31" s="13">
        <v>33.472222222222221</v>
      </c>
      <c r="Y31" s="13">
        <f t="shared" si="0"/>
        <v>33.472222222222229</v>
      </c>
      <c r="AA31" s="13">
        <f t="shared" si="1"/>
        <v>33.472222222222229</v>
      </c>
      <c r="AC31"/>
      <c r="AD31"/>
      <c r="AE31" s="2"/>
      <c r="AF31" s="26" t="s">
        <v>10</v>
      </c>
      <c r="AG31" s="25">
        <v>109.0563425956349</v>
      </c>
      <c r="AI31"/>
      <c r="AL31"/>
      <c r="AO31"/>
    </row>
    <row r="32" spans="2:42" x14ac:dyDescent="0.25">
      <c r="B32" s="3" t="s">
        <v>178</v>
      </c>
      <c r="C32" s="6">
        <v>4.6166666666666671</v>
      </c>
      <c r="D32" s="6">
        <v>4.6166666666666671</v>
      </c>
      <c r="E32"/>
      <c r="F32"/>
      <c r="G32"/>
      <c r="H32" s="3" t="s">
        <v>178</v>
      </c>
      <c r="I32" s="3">
        <v>1</v>
      </c>
      <c r="J32" s="3">
        <v>1</v>
      </c>
      <c r="K32"/>
      <c r="L32"/>
      <c r="M32"/>
      <c r="N32"/>
      <c r="O32"/>
      <c r="P32" s="2"/>
      <c r="Q32" s="56">
        <v>46038</v>
      </c>
      <c r="R32" s="6">
        <v>4.8666666666666663</v>
      </c>
      <c r="S32" s="6">
        <v>20.277777777777775</v>
      </c>
      <c r="T32" s="6">
        <v>79.722222222222229</v>
      </c>
      <c r="V32" s="6">
        <v>8.0333333333333332</v>
      </c>
      <c r="W32" s="13">
        <v>33.472222222222221</v>
      </c>
      <c r="Y32" s="13">
        <f t="shared" si="0"/>
        <v>33.472222222222229</v>
      </c>
      <c r="AA32" s="13">
        <f t="shared" si="1"/>
        <v>33.472222222222229</v>
      </c>
      <c r="AC32"/>
      <c r="AD32"/>
      <c r="AE32" s="2"/>
      <c r="AF32" s="8" t="s">
        <v>17</v>
      </c>
      <c r="AG32" s="25">
        <v>55.688287037037028</v>
      </c>
      <c r="AI32"/>
      <c r="AL32"/>
      <c r="AO32"/>
    </row>
    <row r="33" spans="2:41" x14ac:dyDescent="0.25">
      <c r="B33" s="56">
        <v>46034</v>
      </c>
      <c r="C33" s="6">
        <v>4.6166666666666671</v>
      </c>
      <c r="D33" s="6">
        <v>4.6166666666666671</v>
      </c>
      <c r="E33"/>
      <c r="F33"/>
      <c r="G33"/>
      <c r="H33" s="56">
        <v>46034</v>
      </c>
      <c r="I33" s="3">
        <v>1</v>
      </c>
      <c r="J33" s="3">
        <v>1</v>
      </c>
      <c r="K33"/>
      <c r="L33"/>
      <c r="M33"/>
      <c r="N33"/>
      <c r="O33"/>
      <c r="P33" s="2"/>
      <c r="Q33" s="3" t="s">
        <v>10</v>
      </c>
      <c r="R33" s="6">
        <v>3.6333333333333333</v>
      </c>
      <c r="S33" s="6">
        <v>15.138888888888888</v>
      </c>
      <c r="T33" s="6">
        <v>84.861111111111114</v>
      </c>
      <c r="V33" s="6">
        <v>105.36555555555555</v>
      </c>
      <c r="W33" s="13">
        <v>439.02314814814815</v>
      </c>
      <c r="Y33" s="13">
        <f t="shared" si="0"/>
        <v>39.023148148148103</v>
      </c>
      <c r="AA33" s="13">
        <f t="shared" si="1"/>
        <v>439.02314814814815</v>
      </c>
      <c r="AC33"/>
      <c r="AD33"/>
      <c r="AE33" s="2"/>
      <c r="AF33" s="8" t="s">
        <v>16</v>
      </c>
      <c r="AG33" s="25">
        <v>53.368055558597881</v>
      </c>
      <c r="AI33"/>
      <c r="AL33"/>
      <c r="AO33"/>
    </row>
    <row r="34" spans="2:41" x14ac:dyDescent="0.25">
      <c r="B34" s="3" t="s">
        <v>179</v>
      </c>
      <c r="C34" s="6">
        <v>3.6000000000000005</v>
      </c>
      <c r="D34" s="6">
        <v>3.6000000000000005</v>
      </c>
      <c r="E34"/>
      <c r="F34"/>
      <c r="G34"/>
      <c r="H34" s="3" t="s">
        <v>179</v>
      </c>
      <c r="I34" s="3">
        <v>1</v>
      </c>
      <c r="J34" s="3">
        <v>1</v>
      </c>
      <c r="K34"/>
      <c r="L34"/>
      <c r="M34"/>
      <c r="N34"/>
      <c r="O34"/>
      <c r="P34" s="2"/>
      <c r="Q34" s="3" t="s">
        <v>16</v>
      </c>
      <c r="R34" s="6">
        <v>3.6333333333333333</v>
      </c>
      <c r="S34" s="6">
        <v>15.138888888888888</v>
      </c>
      <c r="T34" s="6">
        <v>84.861111111111114</v>
      </c>
      <c r="V34" s="6">
        <v>105.36555555555555</v>
      </c>
      <c r="W34" s="13">
        <v>439.02314814814815</v>
      </c>
      <c r="Y34" s="13">
        <f t="shared" si="0"/>
        <v>39.023148148148103</v>
      </c>
      <c r="AA34" s="13">
        <f t="shared" si="1"/>
        <v>439.02314814814815</v>
      </c>
      <c r="AC34"/>
      <c r="AD34"/>
      <c r="AE34" s="2"/>
      <c r="AF34" s="26" t="s">
        <v>11</v>
      </c>
      <c r="AG34" s="25">
        <v>74.823287036198849</v>
      </c>
      <c r="AI34"/>
      <c r="AL34"/>
      <c r="AO34"/>
    </row>
    <row r="35" spans="2:41" x14ac:dyDescent="0.25">
      <c r="B35" s="56">
        <v>46035</v>
      </c>
      <c r="C35" s="6">
        <v>3.6000000000000005</v>
      </c>
      <c r="D35" s="6">
        <v>3.6000000000000005</v>
      </c>
      <c r="E35"/>
      <c r="F35"/>
      <c r="G35"/>
      <c r="H35" s="56">
        <v>46035</v>
      </c>
      <c r="I35" s="3">
        <v>1</v>
      </c>
      <c r="J35" s="3">
        <v>1</v>
      </c>
      <c r="K35"/>
      <c r="L35"/>
      <c r="M35"/>
      <c r="N35"/>
      <c r="O35"/>
      <c r="P35" s="2"/>
      <c r="Q35" s="56">
        <v>45979</v>
      </c>
      <c r="R35" s="6">
        <v>3.6333333333333333</v>
      </c>
      <c r="S35" s="6">
        <v>15.138888888888888</v>
      </c>
      <c r="T35" s="6">
        <v>84.861111111111114</v>
      </c>
      <c r="V35" s="6">
        <v>41.199444444444438</v>
      </c>
      <c r="W35" s="13">
        <v>171.66435185185182</v>
      </c>
      <c r="Y35" s="13">
        <f t="shared" si="0"/>
        <v>71.664351851851819</v>
      </c>
      <c r="AA35" s="13">
        <f t="shared" si="1"/>
        <v>171.66435185185182</v>
      </c>
      <c r="AC35"/>
      <c r="AD35"/>
      <c r="AE35" s="2"/>
      <c r="AF35" s="8" t="s">
        <v>17</v>
      </c>
      <c r="AG35" s="25">
        <v>31.688564814814811</v>
      </c>
      <c r="AI35"/>
      <c r="AL35"/>
      <c r="AO35"/>
    </row>
    <row r="36" spans="2:41" x14ac:dyDescent="0.25">
      <c r="B36" s="3" t="s">
        <v>180</v>
      </c>
      <c r="C36" s="6">
        <v>3.8999999999999995</v>
      </c>
      <c r="D36" s="6">
        <v>3.8999999999999995</v>
      </c>
      <c r="E36"/>
      <c r="F36"/>
      <c r="G36"/>
      <c r="H36" s="3" t="s">
        <v>180</v>
      </c>
      <c r="I36" s="3">
        <v>1</v>
      </c>
      <c r="J36" s="3">
        <v>1</v>
      </c>
      <c r="K36"/>
      <c r="L36"/>
      <c r="M36"/>
      <c r="N36"/>
      <c r="O36"/>
      <c r="P36" s="2"/>
      <c r="Q36" s="3" t="s">
        <v>11</v>
      </c>
      <c r="R36" s="6">
        <v>3.6333333333333333</v>
      </c>
      <c r="S36" s="6">
        <v>15.138888888888888</v>
      </c>
      <c r="T36" s="6">
        <v>84.861111111111114</v>
      </c>
      <c r="V36" s="6">
        <v>23.999722222222221</v>
      </c>
      <c r="W36" s="13">
        <v>99.998842592592581</v>
      </c>
      <c r="Y36" s="13">
        <f t="shared" si="0"/>
        <v>99.998842592592581</v>
      </c>
      <c r="AA36" s="13">
        <f t="shared" si="1"/>
        <v>99.998842592592581</v>
      </c>
      <c r="AC36"/>
      <c r="AD36"/>
      <c r="AE36" s="2"/>
      <c r="AF36" s="8" t="s">
        <v>16</v>
      </c>
      <c r="AG36" s="25">
        <v>43.134722221384031</v>
      </c>
      <c r="AI36"/>
      <c r="AL36"/>
      <c r="AO36"/>
    </row>
    <row r="37" spans="2:41" x14ac:dyDescent="0.25">
      <c r="B37" s="56">
        <v>46036</v>
      </c>
      <c r="C37" s="6">
        <v>3.8999999999999995</v>
      </c>
      <c r="D37" s="6">
        <v>3.8999999999999995</v>
      </c>
      <c r="E37"/>
      <c r="F37"/>
      <c r="G37"/>
      <c r="H37" s="56">
        <v>46036</v>
      </c>
      <c r="I37" s="3">
        <v>1</v>
      </c>
      <c r="J37" s="3">
        <v>1</v>
      </c>
      <c r="K37"/>
      <c r="L37"/>
      <c r="M37"/>
      <c r="N37"/>
      <c r="O37"/>
      <c r="P37" s="2"/>
      <c r="Q37" s="3" t="s">
        <v>16</v>
      </c>
      <c r="R37" s="6">
        <v>3.6333333333333333</v>
      </c>
      <c r="S37" s="6">
        <v>15.138888888888888</v>
      </c>
      <c r="T37" s="6">
        <v>84.861111111111114</v>
      </c>
      <c r="V37" s="6">
        <v>23.999722222222221</v>
      </c>
      <c r="W37" s="13">
        <v>99.998842592592581</v>
      </c>
      <c r="Y37" s="13">
        <f t="shared" ref="Y37:Y68" si="2">ABS((ROUNDUP(V37/24, 0)*24 - V37)/24 - 1)*100</f>
        <v>99.998842592592581</v>
      </c>
      <c r="AA37" s="13">
        <f t="shared" ref="AA37:AA68" si="3">(ABS((ROUNDUP(V37/24, 0)*24 - V37)/24 - 1) + IF(V37 &gt; 24, MID(ROUNDUP(V37/24, 2), 1, 1), 0))*100</f>
        <v>99.998842592592581</v>
      </c>
      <c r="AC37"/>
      <c r="AD37"/>
      <c r="AE37" s="2"/>
      <c r="AF37" s="26" t="s">
        <v>9</v>
      </c>
      <c r="AG37" s="25">
        <v>101.94398149945602</v>
      </c>
      <c r="AI37"/>
      <c r="AL37"/>
      <c r="AO37"/>
    </row>
    <row r="38" spans="2:41" x14ac:dyDescent="0.25">
      <c r="B38" s="3" t="s">
        <v>181</v>
      </c>
      <c r="C38" s="6">
        <v>3.4499999999999997</v>
      </c>
      <c r="D38" s="6">
        <v>3.4499999999999997</v>
      </c>
      <c r="E38"/>
      <c r="F38"/>
      <c r="G38"/>
      <c r="H38" s="3" t="s">
        <v>181</v>
      </c>
      <c r="I38" s="3">
        <v>1</v>
      </c>
      <c r="J38" s="3">
        <v>1</v>
      </c>
      <c r="K38"/>
      <c r="L38"/>
      <c r="M38"/>
      <c r="N38"/>
      <c r="O38"/>
      <c r="P38" s="2"/>
      <c r="Q38" s="56">
        <v>45979</v>
      </c>
      <c r="R38" s="6">
        <v>3.6333333333333333</v>
      </c>
      <c r="S38" s="6">
        <v>15.138888888888888</v>
      </c>
      <c r="T38" s="6">
        <v>84.861111111111114</v>
      </c>
      <c r="V38" s="6">
        <v>16.166666666666668</v>
      </c>
      <c r="W38" s="13">
        <v>67.361111111111114</v>
      </c>
      <c r="Y38" s="13">
        <f t="shared" si="2"/>
        <v>67.361111111111114</v>
      </c>
      <c r="AA38" s="13">
        <f t="shared" si="3"/>
        <v>67.361111111111114</v>
      </c>
      <c r="AC38"/>
      <c r="AD38"/>
      <c r="AE38" s="2"/>
      <c r="AF38" s="8" t="s">
        <v>17</v>
      </c>
      <c r="AG38" s="25">
        <v>21.388703703703705</v>
      </c>
      <c r="AI38"/>
      <c r="AL38"/>
      <c r="AO38"/>
    </row>
    <row r="39" spans="2:41" x14ac:dyDescent="0.25">
      <c r="B39" s="56">
        <v>46037</v>
      </c>
      <c r="C39" s="6">
        <v>3.4499999999999997</v>
      </c>
      <c r="D39" s="6">
        <v>3.4499999999999997</v>
      </c>
      <c r="E39"/>
      <c r="F39"/>
      <c r="G39"/>
      <c r="H39" s="56">
        <v>46037</v>
      </c>
      <c r="I39" s="3">
        <v>1</v>
      </c>
      <c r="J39" s="3">
        <v>1</v>
      </c>
      <c r="K39"/>
      <c r="L39"/>
      <c r="M39"/>
      <c r="N39"/>
      <c r="O39"/>
      <c r="P39" s="2"/>
      <c r="Q39" s="3" t="s">
        <v>9</v>
      </c>
      <c r="R39" s="6">
        <v>3.6333333333333333</v>
      </c>
      <c r="S39" s="6">
        <v>15.138888888888888</v>
      </c>
      <c r="T39" s="6">
        <v>84.861111111111114</v>
      </c>
      <c r="V39" s="6">
        <v>93.69916666666667</v>
      </c>
      <c r="W39" s="13">
        <v>390.41319444444446</v>
      </c>
      <c r="Y39" s="13">
        <f t="shared" si="2"/>
        <v>90.413194444444457</v>
      </c>
      <c r="AA39" s="13">
        <f t="shared" si="3"/>
        <v>390.41319444444446</v>
      </c>
      <c r="AC39"/>
      <c r="AD39"/>
      <c r="AE39" s="2"/>
      <c r="AF39" s="8" t="s">
        <v>16</v>
      </c>
      <c r="AG39" s="25">
        <v>80.555277795752303</v>
      </c>
      <c r="AI39"/>
      <c r="AL39"/>
      <c r="AO39"/>
    </row>
    <row r="40" spans="2:41" x14ac:dyDescent="0.25">
      <c r="B40" s="3" t="s">
        <v>182</v>
      </c>
      <c r="C40" s="6">
        <v>4.8833333333333329</v>
      </c>
      <c r="D40" s="6">
        <v>4.8833333333333329</v>
      </c>
      <c r="E40"/>
      <c r="F40"/>
      <c r="G40"/>
      <c r="H40" s="3" t="s">
        <v>182</v>
      </c>
      <c r="I40" s="3">
        <v>1</v>
      </c>
      <c r="J40" s="3">
        <v>1</v>
      </c>
      <c r="K40"/>
      <c r="L40"/>
      <c r="M40"/>
      <c r="N40"/>
      <c r="O40"/>
      <c r="P40" s="2"/>
      <c r="Q40" s="3" t="s">
        <v>16</v>
      </c>
      <c r="R40" s="6">
        <v>3.6333333333333333</v>
      </c>
      <c r="S40" s="6">
        <v>15.138888888888888</v>
      </c>
      <c r="T40" s="6">
        <v>84.861111111111114</v>
      </c>
      <c r="V40" s="6">
        <v>84.765833333333333</v>
      </c>
      <c r="W40" s="13">
        <v>353.19097222222223</v>
      </c>
      <c r="Y40" s="13">
        <f t="shared" si="2"/>
        <v>53.190972222222221</v>
      </c>
      <c r="AA40" s="13">
        <f t="shared" si="3"/>
        <v>353.19097222222223</v>
      </c>
      <c r="AC40"/>
      <c r="AD40"/>
      <c r="AE40" s="2"/>
      <c r="AF40" s="26" t="s">
        <v>186</v>
      </c>
      <c r="AG40" s="25">
        <v>0</v>
      </c>
      <c r="AI40"/>
      <c r="AL40"/>
      <c r="AO40"/>
    </row>
    <row r="41" spans="2:41" x14ac:dyDescent="0.25">
      <c r="B41" s="56">
        <v>46038</v>
      </c>
      <c r="C41" s="6">
        <v>4.8833333333333329</v>
      </c>
      <c r="D41" s="6">
        <v>4.8833333333333329</v>
      </c>
      <c r="E41"/>
      <c r="F41"/>
      <c r="G41"/>
      <c r="H41" s="56">
        <v>46038</v>
      </c>
      <c r="I41" s="3">
        <v>1</v>
      </c>
      <c r="J41" s="3">
        <v>1</v>
      </c>
      <c r="K41"/>
      <c r="L41"/>
      <c r="M41"/>
      <c r="N41"/>
      <c r="O41"/>
      <c r="P41" s="2"/>
      <c r="Q41" s="56">
        <v>45979</v>
      </c>
      <c r="R41" s="6">
        <v>3.6333333333333333</v>
      </c>
      <c r="S41" s="6">
        <v>15.138888888888888</v>
      </c>
      <c r="T41" s="6">
        <v>84.861111111111114</v>
      </c>
      <c r="V41" s="6">
        <v>20.599722222222219</v>
      </c>
      <c r="W41" s="13">
        <v>85.83217592592591</v>
      </c>
      <c r="Y41" s="13">
        <f t="shared" si="2"/>
        <v>85.83217592592591</v>
      </c>
      <c r="AA41" s="13">
        <f t="shared" si="3"/>
        <v>85.83217592592591</v>
      </c>
      <c r="AC41"/>
      <c r="AD41"/>
      <c r="AE41" s="2"/>
      <c r="AF41" s="8" t="s">
        <v>186</v>
      </c>
      <c r="AG41" s="25">
        <v>0</v>
      </c>
      <c r="AI41"/>
      <c r="AL41"/>
      <c r="AO41"/>
    </row>
    <row r="42" spans="2:41" x14ac:dyDescent="0.25">
      <c r="B42" s="5" t="s">
        <v>74</v>
      </c>
      <c r="C42" s="6">
        <v>95.758333333333354</v>
      </c>
      <c r="D42" s="6">
        <v>95.758333333333354</v>
      </c>
      <c r="E42"/>
      <c r="F42"/>
      <c r="G42"/>
      <c r="H42" s="5" t="s">
        <v>74</v>
      </c>
      <c r="I42" s="3">
        <v>20</v>
      </c>
      <c r="J42" s="3">
        <v>20</v>
      </c>
      <c r="K42"/>
      <c r="L42"/>
      <c r="M42"/>
      <c r="N42"/>
      <c r="O42"/>
      <c r="P42" s="2"/>
      <c r="Q42" s="3" t="s">
        <v>178</v>
      </c>
      <c r="R42" s="6">
        <v>4.6166666666666671</v>
      </c>
      <c r="S42" s="6">
        <v>19.236111111111111</v>
      </c>
      <c r="T42" s="6">
        <v>80.763888888888886</v>
      </c>
      <c r="V42" s="6">
        <v>23.999722222222221</v>
      </c>
      <c r="W42" s="13">
        <v>99.998842592592581</v>
      </c>
      <c r="Y42" s="13">
        <f t="shared" si="2"/>
        <v>99.998842592592581</v>
      </c>
      <c r="AA42" s="13">
        <f t="shared" si="3"/>
        <v>99.998842592592581</v>
      </c>
      <c r="AC42"/>
      <c r="AD42"/>
      <c r="AE42" s="2"/>
      <c r="AF42" s="26" t="s">
        <v>158</v>
      </c>
      <c r="AG42" s="25">
        <v>1.9083333333333332</v>
      </c>
      <c r="AI42"/>
      <c r="AL42"/>
      <c r="AO42"/>
    </row>
    <row r="43" spans="2:4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s="2"/>
      <c r="Q43" s="3" t="s">
        <v>16</v>
      </c>
      <c r="R43" s="6">
        <v>4.6166666666666671</v>
      </c>
      <c r="S43" s="6">
        <v>19.236111111111111</v>
      </c>
      <c r="T43" s="6">
        <v>80.763888888888886</v>
      </c>
      <c r="V43" s="6">
        <v>23.999722222222221</v>
      </c>
      <c r="W43" s="13">
        <v>99.998842592592581</v>
      </c>
      <c r="Y43" s="13">
        <f t="shared" si="2"/>
        <v>99.998842592592581</v>
      </c>
      <c r="AA43" s="13">
        <f t="shared" si="3"/>
        <v>99.998842592592581</v>
      </c>
      <c r="AC43"/>
      <c r="AD43"/>
      <c r="AE43" s="2"/>
      <c r="AF43" s="8" t="s">
        <v>16</v>
      </c>
      <c r="AG43" s="25">
        <v>1.9083333333333332</v>
      </c>
      <c r="AI43"/>
      <c r="AL43"/>
      <c r="AO43"/>
    </row>
    <row r="44" spans="2:4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s="2"/>
      <c r="Q44" s="56">
        <v>46034</v>
      </c>
      <c r="R44" s="6">
        <v>4.6166666666666671</v>
      </c>
      <c r="S44" s="6">
        <v>19.236111111111111</v>
      </c>
      <c r="T44" s="6">
        <v>80.763888888888886</v>
      </c>
      <c r="V44" s="6">
        <v>16.166666666666668</v>
      </c>
      <c r="W44" s="13">
        <v>67.361111111111114</v>
      </c>
      <c r="Y44" s="13">
        <f t="shared" si="2"/>
        <v>67.361111111111114</v>
      </c>
      <c r="AA44" s="13">
        <f t="shared" si="3"/>
        <v>67.361111111111114</v>
      </c>
      <c r="AC44"/>
      <c r="AD44"/>
      <c r="AE44" s="2"/>
      <c r="AF44" s="26" t="s">
        <v>159</v>
      </c>
      <c r="AG44" s="25">
        <v>1.8708333333333333</v>
      </c>
      <c r="AI44"/>
      <c r="AL44"/>
      <c r="AO44"/>
    </row>
    <row r="45" spans="2:4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s="2"/>
      <c r="Q45" s="3" t="s">
        <v>179</v>
      </c>
      <c r="R45" s="6">
        <v>3.6000000000000005</v>
      </c>
      <c r="S45" s="6">
        <v>15.000000000000002</v>
      </c>
      <c r="T45" s="6">
        <v>85</v>
      </c>
      <c r="V45" s="6">
        <v>8.9333333333333318</v>
      </c>
      <c r="W45" s="13">
        <v>37.222222222222214</v>
      </c>
      <c r="Y45" s="13">
        <f t="shared" si="2"/>
        <v>37.222222222222214</v>
      </c>
      <c r="AA45" s="13">
        <f t="shared" si="3"/>
        <v>37.222222222222214</v>
      </c>
      <c r="AC45"/>
      <c r="AD45"/>
      <c r="AE45" s="2"/>
      <c r="AF45" s="8" t="s">
        <v>16</v>
      </c>
      <c r="AG45" s="25">
        <v>1.8708333333333333</v>
      </c>
      <c r="AI45"/>
      <c r="AL45"/>
      <c r="AO45"/>
    </row>
    <row r="46" spans="2:4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s="2"/>
      <c r="Q46" s="3" t="s">
        <v>16</v>
      </c>
      <c r="R46" s="6">
        <v>3.6000000000000005</v>
      </c>
      <c r="S46" s="6">
        <v>15.000000000000002</v>
      </c>
      <c r="T46" s="6">
        <v>85</v>
      </c>
      <c r="V46" s="6">
        <v>8.9333333333333318</v>
      </c>
      <c r="W46" s="13">
        <v>37.222222222222214</v>
      </c>
      <c r="Y46" s="13">
        <f t="shared" si="2"/>
        <v>37.222222222222214</v>
      </c>
      <c r="AA46" s="13">
        <f t="shared" si="3"/>
        <v>37.222222222222214</v>
      </c>
      <c r="AC46"/>
      <c r="AD46"/>
      <c r="AE46" s="2"/>
      <c r="AF46" s="26" t="s">
        <v>162</v>
      </c>
      <c r="AG46" s="25">
        <v>1.8375000000000001</v>
      </c>
      <c r="AI46"/>
      <c r="AL46"/>
      <c r="AO46"/>
    </row>
    <row r="47" spans="2:4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s="2"/>
      <c r="Q47" s="56">
        <v>46035</v>
      </c>
      <c r="R47" s="6">
        <v>3.6000000000000005</v>
      </c>
      <c r="S47" s="6">
        <v>15.000000000000002</v>
      </c>
      <c r="T47" s="6">
        <v>85</v>
      </c>
      <c r="V47" s="6">
        <v>84.765833333333333</v>
      </c>
      <c r="W47" s="13">
        <v>353.19097222222223</v>
      </c>
      <c r="Y47" s="13">
        <f t="shared" si="2"/>
        <v>53.190972222222221</v>
      </c>
      <c r="AA47" s="13">
        <f t="shared" si="3"/>
        <v>353.19097222222223</v>
      </c>
      <c r="AC47"/>
      <c r="AD47"/>
      <c r="AE47" s="2"/>
      <c r="AF47" s="8" t="s">
        <v>16</v>
      </c>
      <c r="AG47" s="25">
        <v>1.8375000000000001</v>
      </c>
      <c r="AI47"/>
      <c r="AL47"/>
      <c r="AO47"/>
    </row>
    <row r="48" spans="2:4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s="2"/>
      <c r="Q48" s="3" t="s">
        <v>180</v>
      </c>
      <c r="R48" s="6">
        <v>3.8999999999999995</v>
      </c>
      <c r="S48" s="6">
        <v>16.249999999999996</v>
      </c>
      <c r="T48" s="6">
        <v>83.75</v>
      </c>
      <c r="V48" s="6">
        <v>84.765833333333333</v>
      </c>
      <c r="W48" s="13">
        <v>353.19097222222223</v>
      </c>
      <c r="Y48" s="13">
        <f t="shared" si="2"/>
        <v>53.190972222222221</v>
      </c>
      <c r="AA48" s="13">
        <f t="shared" si="3"/>
        <v>353.19097222222223</v>
      </c>
      <c r="AC48"/>
      <c r="AD48"/>
      <c r="AE48" s="2"/>
      <c r="AF48" s="26" t="s">
        <v>178</v>
      </c>
      <c r="AG48" s="25">
        <v>4.6166666666666671</v>
      </c>
      <c r="AI48"/>
      <c r="AL48"/>
      <c r="AO48"/>
    </row>
    <row r="49" spans="2:4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s="2"/>
      <c r="Q49" s="3" t="s">
        <v>16</v>
      </c>
      <c r="R49" s="6">
        <v>3.8999999999999995</v>
      </c>
      <c r="S49" s="6">
        <v>16.249999999999996</v>
      </c>
      <c r="T49" s="6">
        <v>83.75</v>
      </c>
      <c r="V49" s="6">
        <v>20.599722222222219</v>
      </c>
      <c r="W49" s="13">
        <v>85.83217592592591</v>
      </c>
      <c r="Y49" s="13">
        <f t="shared" si="2"/>
        <v>85.83217592592591</v>
      </c>
      <c r="AA49" s="13">
        <f t="shared" si="3"/>
        <v>85.83217592592591</v>
      </c>
      <c r="AC49"/>
      <c r="AD49"/>
      <c r="AE49" s="2"/>
      <c r="AF49" s="8" t="s">
        <v>16</v>
      </c>
      <c r="AG49" s="25">
        <v>4.6166666666666671</v>
      </c>
      <c r="AI49"/>
      <c r="AL49"/>
      <c r="AO49"/>
    </row>
    <row r="50" spans="2:4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s="2"/>
      <c r="Q50" s="56">
        <v>46036</v>
      </c>
      <c r="R50" s="6">
        <v>3.8999999999999995</v>
      </c>
      <c r="S50" s="6">
        <v>16.249999999999996</v>
      </c>
      <c r="T50" s="6">
        <v>83.75</v>
      </c>
      <c r="V50" s="6">
        <v>23.999722222222221</v>
      </c>
      <c r="W50" s="13">
        <v>99.998842592592581</v>
      </c>
      <c r="Y50" s="13">
        <f t="shared" si="2"/>
        <v>99.998842592592581</v>
      </c>
      <c r="AA50" s="13">
        <f t="shared" si="3"/>
        <v>99.998842592592581</v>
      </c>
      <c r="AC50"/>
      <c r="AD50"/>
      <c r="AE50" s="2"/>
      <c r="AF50" s="26" t="s">
        <v>179</v>
      </c>
      <c r="AG50" s="25">
        <v>3.6000000000000005</v>
      </c>
      <c r="AI50"/>
      <c r="AL50"/>
      <c r="AO50"/>
    </row>
    <row r="51" spans="2:4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2"/>
      <c r="Q51" s="3" t="s">
        <v>181</v>
      </c>
      <c r="R51" s="6">
        <v>3.4499999999999997</v>
      </c>
      <c r="S51" s="6">
        <v>14.374999999999998</v>
      </c>
      <c r="T51" s="6">
        <v>85.625</v>
      </c>
      <c r="V51" s="6">
        <v>23.999722222222221</v>
      </c>
      <c r="W51" s="13">
        <v>99.998842592592581</v>
      </c>
      <c r="Y51" s="13">
        <f t="shared" si="2"/>
        <v>99.998842592592581</v>
      </c>
      <c r="AA51" s="13">
        <f t="shared" si="3"/>
        <v>99.998842592592581</v>
      </c>
      <c r="AC51"/>
      <c r="AD51"/>
      <c r="AE51" s="2"/>
      <c r="AF51" s="8" t="s">
        <v>16</v>
      </c>
      <c r="AG51" s="25">
        <v>3.6000000000000005</v>
      </c>
      <c r="AI51"/>
      <c r="AL51"/>
      <c r="AO51"/>
    </row>
    <row r="52" spans="2:4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s="2"/>
      <c r="Q52" s="3" t="s">
        <v>16</v>
      </c>
      <c r="R52" s="6">
        <v>3.4499999999999997</v>
      </c>
      <c r="S52" s="6">
        <v>14.374999999999998</v>
      </c>
      <c r="T52" s="6">
        <v>85.625</v>
      </c>
      <c r="V52" s="6">
        <v>16.166666666666668</v>
      </c>
      <c r="W52" s="13">
        <v>67.361111111111114</v>
      </c>
      <c r="Y52" s="13">
        <f t="shared" si="2"/>
        <v>67.361111111111114</v>
      </c>
      <c r="AA52" s="13">
        <f t="shared" si="3"/>
        <v>67.361111111111114</v>
      </c>
      <c r="AC52"/>
      <c r="AD52"/>
      <c r="AE52" s="2"/>
      <c r="AF52" s="26" t="s">
        <v>180</v>
      </c>
      <c r="AG52" s="25">
        <v>3.8999999999999995</v>
      </c>
      <c r="AI52"/>
      <c r="AL52"/>
      <c r="AO52"/>
    </row>
    <row r="53" spans="2:4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s="2"/>
      <c r="Q53" s="56">
        <v>46037</v>
      </c>
      <c r="R53" s="6">
        <v>3.4499999999999997</v>
      </c>
      <c r="S53" s="6">
        <v>14.374999999999998</v>
      </c>
      <c r="T53" s="6">
        <v>85.625</v>
      </c>
      <c r="V53" s="6">
        <v>178.53166666666667</v>
      </c>
      <c r="W53" s="13">
        <v>743.88194444444434</v>
      </c>
      <c r="Y53" s="13">
        <f t="shared" si="2"/>
        <v>43.881944444444443</v>
      </c>
      <c r="AA53" s="13">
        <f t="shared" si="3"/>
        <v>743.88194444444446</v>
      </c>
      <c r="AC53"/>
      <c r="AD53"/>
      <c r="AE53" s="2"/>
      <c r="AF53" s="8" t="s">
        <v>16</v>
      </c>
      <c r="AG53" s="25">
        <v>3.8999999999999995</v>
      </c>
      <c r="AI53"/>
      <c r="AL53"/>
      <c r="AO53"/>
    </row>
    <row r="54" spans="2:4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2"/>
      <c r="Q54" s="3" t="s">
        <v>182</v>
      </c>
      <c r="R54" s="6">
        <v>4.8833333333333329</v>
      </c>
      <c r="S54" s="6">
        <v>20.347222222222218</v>
      </c>
      <c r="T54" s="6">
        <v>79.652777777777786</v>
      </c>
      <c r="V54" s="6">
        <v>169.53166666666667</v>
      </c>
      <c r="W54" s="13">
        <v>706.38194444444434</v>
      </c>
      <c r="Y54" s="13">
        <f t="shared" si="2"/>
        <v>6.3819444444444429</v>
      </c>
      <c r="AA54" s="13">
        <f t="shared" si="3"/>
        <v>706.38194444444446</v>
      </c>
      <c r="AC54"/>
      <c r="AD54"/>
      <c r="AE54" s="2"/>
      <c r="AF54" s="26" t="s">
        <v>181</v>
      </c>
      <c r="AG54" s="25">
        <v>3.4499999999999997</v>
      </c>
      <c r="AI54"/>
      <c r="AL54"/>
      <c r="AO54"/>
    </row>
    <row r="55" spans="2:4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 s="2"/>
      <c r="Q55" s="3" t="s">
        <v>16</v>
      </c>
      <c r="R55" s="6">
        <v>4.8833333333333329</v>
      </c>
      <c r="S55" s="6">
        <v>20.347222222222218</v>
      </c>
      <c r="T55" s="6">
        <v>79.652777777777786</v>
      </c>
      <c r="V55" s="6">
        <v>41.199444444444438</v>
      </c>
      <c r="W55" s="13">
        <v>171.66435185185182</v>
      </c>
      <c r="Y55" s="13">
        <f t="shared" si="2"/>
        <v>71.664351851851819</v>
      </c>
      <c r="AA55" s="13">
        <f t="shared" si="3"/>
        <v>171.66435185185182</v>
      </c>
      <c r="AC55"/>
      <c r="AD55"/>
      <c r="AE55" s="2"/>
      <c r="AF55" s="8" t="s">
        <v>16</v>
      </c>
      <c r="AG55" s="25">
        <v>3.4499999999999997</v>
      </c>
      <c r="AI55"/>
      <c r="AL55"/>
      <c r="AO55"/>
    </row>
    <row r="56" spans="2:4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2"/>
      <c r="Q56" s="56">
        <v>46038</v>
      </c>
      <c r="R56" s="6">
        <v>4.8833333333333329</v>
      </c>
      <c r="S56" s="6">
        <v>20.347222222222218</v>
      </c>
      <c r="T56" s="6">
        <v>79.652777777777786</v>
      </c>
      <c r="V56" s="6">
        <v>47.999444444444443</v>
      </c>
      <c r="W56" s="13">
        <v>199.99768518518516</v>
      </c>
      <c r="Y56" s="13">
        <f t="shared" si="2"/>
        <v>99.997685185185176</v>
      </c>
      <c r="AA56" s="13">
        <f t="shared" si="3"/>
        <v>299.99768518518522</v>
      </c>
      <c r="AC56"/>
      <c r="AD56"/>
      <c r="AE56" s="2"/>
      <c r="AF56" s="26" t="s">
        <v>182</v>
      </c>
      <c r="AG56" s="25">
        <v>4.8833333333333329</v>
      </c>
      <c r="AI56"/>
      <c r="AL56"/>
      <c r="AO56"/>
    </row>
    <row r="57" spans="2:4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s="2"/>
      <c r="Q57" s="5" t="s">
        <v>74</v>
      </c>
      <c r="R57" s="6">
        <v>95.758333333333354</v>
      </c>
      <c r="S57" s="6">
        <v>398.99305555555566</v>
      </c>
      <c r="T57" s="6">
        <v>298.99305555555566</v>
      </c>
      <c r="V57" s="6">
        <v>47.999444444444443</v>
      </c>
      <c r="W57" s="13">
        <v>199.99768518518516</v>
      </c>
      <c r="Y57" s="13">
        <f t="shared" si="2"/>
        <v>99.997685185185176</v>
      </c>
      <c r="AA57" s="13">
        <f t="shared" si="3"/>
        <v>299.99768518518522</v>
      </c>
      <c r="AC57"/>
      <c r="AD57"/>
      <c r="AE57" s="2"/>
      <c r="AF57" s="8" t="s">
        <v>16</v>
      </c>
      <c r="AG57" s="25">
        <v>4.8833333333333329</v>
      </c>
      <c r="AI57"/>
      <c r="AL57"/>
      <c r="AO57"/>
    </row>
    <row r="58" spans="2:4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 s="2"/>
      <c r="Q58"/>
      <c r="R58"/>
      <c r="S58"/>
      <c r="T58"/>
      <c r="V58" s="6">
        <v>32.333333333333336</v>
      </c>
      <c r="W58" s="13">
        <v>134.72222222222223</v>
      </c>
      <c r="Y58" s="13">
        <f t="shared" si="2"/>
        <v>34.722222222222229</v>
      </c>
      <c r="AA58" s="13">
        <f t="shared" si="3"/>
        <v>134.72222222222223</v>
      </c>
      <c r="AC58"/>
      <c r="AD58"/>
      <c r="AE58" s="2"/>
      <c r="AF58" s="26" t="s">
        <v>183</v>
      </c>
      <c r="AG58" s="25">
        <v>4.3583333333333334</v>
      </c>
      <c r="AI58"/>
      <c r="AL58"/>
      <c r="AO58"/>
    </row>
    <row r="59" spans="2:4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2"/>
      <c r="Q59"/>
      <c r="R59"/>
      <c r="S59"/>
      <c r="T59"/>
      <c r="V59" s="6">
        <v>9</v>
      </c>
      <c r="W59" s="13">
        <v>37.5</v>
      </c>
      <c r="Y59" s="13">
        <f t="shared" si="2"/>
        <v>37.5</v>
      </c>
      <c r="AA59" s="13">
        <f t="shared" si="3"/>
        <v>37.5</v>
      </c>
      <c r="AC59"/>
      <c r="AD59"/>
      <c r="AE59" s="2"/>
      <c r="AF59" s="8" t="s">
        <v>16</v>
      </c>
      <c r="AG59" s="25">
        <v>4.3583333333333334</v>
      </c>
      <c r="AI59"/>
      <c r="AL59"/>
      <c r="AO59"/>
    </row>
    <row r="60" spans="2:4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2"/>
      <c r="Q60"/>
      <c r="R60"/>
      <c r="S60"/>
      <c r="T60"/>
      <c r="V60" s="6">
        <v>9</v>
      </c>
      <c r="W60" s="13">
        <v>37.5</v>
      </c>
      <c r="Y60" s="13">
        <f t="shared" si="2"/>
        <v>37.5</v>
      </c>
      <c r="AA60" s="13">
        <f t="shared" si="3"/>
        <v>37.5</v>
      </c>
      <c r="AC60"/>
      <c r="AD60"/>
      <c r="AE60" s="2"/>
      <c r="AF60" s="26" t="s">
        <v>74</v>
      </c>
      <c r="AG60" s="25">
        <v>1681.845416664622</v>
      </c>
      <c r="AI60"/>
      <c r="AL60"/>
      <c r="AO60"/>
    </row>
    <row r="61" spans="2:4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 s="2"/>
      <c r="Q61"/>
      <c r="R61"/>
      <c r="S61"/>
      <c r="T61"/>
      <c r="V61" s="6">
        <v>93.382499999999993</v>
      </c>
      <c r="W61" s="13">
        <v>389.09375</v>
      </c>
      <c r="Y61" s="13">
        <f t="shared" si="2"/>
        <v>89.093749999999972</v>
      </c>
      <c r="AA61" s="13">
        <f t="shared" si="3"/>
        <v>389.09375</v>
      </c>
      <c r="AC61"/>
      <c r="AD61"/>
      <c r="AE61" s="2"/>
      <c r="AG61"/>
      <c r="AI61"/>
      <c r="AL61"/>
      <c r="AO61"/>
    </row>
    <row r="62" spans="2:4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 s="2"/>
      <c r="Q62"/>
      <c r="R62"/>
      <c r="S62"/>
      <c r="T62"/>
      <c r="V62" s="6">
        <v>84.765833333333333</v>
      </c>
      <c r="W62" s="13">
        <v>353.19097222222223</v>
      </c>
      <c r="Y62" s="13">
        <f t="shared" si="2"/>
        <v>53.190972222222221</v>
      </c>
      <c r="AA62" s="13">
        <f t="shared" si="3"/>
        <v>353.19097222222223</v>
      </c>
      <c r="AC62"/>
      <c r="AD62"/>
      <c r="AE62" s="2"/>
      <c r="AG62"/>
      <c r="AI62"/>
      <c r="AL62"/>
      <c r="AO62"/>
    </row>
    <row r="63" spans="2:4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 s="2"/>
      <c r="Q63"/>
      <c r="R63"/>
      <c r="S63"/>
      <c r="T63"/>
      <c r="V63" s="6">
        <v>20.599722222222219</v>
      </c>
      <c r="W63" s="13">
        <v>85.83217592592591</v>
      </c>
      <c r="Y63" s="13">
        <f t="shared" si="2"/>
        <v>85.83217592592591</v>
      </c>
      <c r="AA63" s="13">
        <f t="shared" si="3"/>
        <v>85.83217592592591</v>
      </c>
      <c r="AC63"/>
      <c r="AD63"/>
      <c r="AE63" s="2"/>
      <c r="AG63"/>
      <c r="AI63"/>
      <c r="AL63"/>
      <c r="AO63"/>
    </row>
    <row r="64" spans="2:4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s="2"/>
      <c r="Q64"/>
      <c r="R64"/>
      <c r="S64"/>
      <c r="T64"/>
      <c r="V64" s="6">
        <v>23.999722222222221</v>
      </c>
      <c r="W64" s="13">
        <v>99.998842592592581</v>
      </c>
      <c r="Y64" s="13">
        <f t="shared" si="2"/>
        <v>99.998842592592581</v>
      </c>
      <c r="AA64" s="13">
        <f t="shared" si="3"/>
        <v>99.998842592592581</v>
      </c>
      <c r="AC64"/>
      <c r="AD64"/>
      <c r="AE64" s="2"/>
      <c r="AG64"/>
      <c r="AI64"/>
      <c r="AL64"/>
      <c r="AO64"/>
    </row>
    <row r="65" spans="2:4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2"/>
      <c r="Q65"/>
      <c r="R65"/>
      <c r="S65"/>
      <c r="T65"/>
      <c r="V65" s="6">
        <v>23.999722222222221</v>
      </c>
      <c r="W65" s="13">
        <v>99.998842592592581</v>
      </c>
      <c r="Y65" s="13">
        <f t="shared" si="2"/>
        <v>99.998842592592581</v>
      </c>
      <c r="AA65" s="13">
        <f t="shared" si="3"/>
        <v>99.998842592592581</v>
      </c>
      <c r="AC65"/>
      <c r="AD65"/>
      <c r="AE65" s="2"/>
      <c r="AG65"/>
      <c r="AI65"/>
      <c r="AL65"/>
      <c r="AO65"/>
    </row>
    <row r="66" spans="2:4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 s="2"/>
      <c r="Q66"/>
      <c r="R66"/>
      <c r="S66"/>
      <c r="T66"/>
      <c r="V66" s="6">
        <v>16.166666666666668</v>
      </c>
      <c r="W66" s="13">
        <v>67.361111111111114</v>
      </c>
      <c r="Y66" s="13">
        <f t="shared" si="2"/>
        <v>67.361111111111114</v>
      </c>
      <c r="AA66" s="13">
        <f t="shared" si="3"/>
        <v>67.361111111111114</v>
      </c>
      <c r="AC66"/>
      <c r="AD66"/>
      <c r="AE66" s="2"/>
      <c r="AG66"/>
      <c r="AI66"/>
      <c r="AL66"/>
      <c r="AO66"/>
    </row>
    <row r="67" spans="2:4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 s="2"/>
      <c r="Q67"/>
      <c r="R67"/>
      <c r="S67"/>
      <c r="T67"/>
      <c r="V67" s="6">
        <v>8.6166666666666671</v>
      </c>
      <c r="W67" s="13">
        <v>35.902777777777779</v>
      </c>
      <c r="Y67" s="13">
        <f t="shared" si="2"/>
        <v>35.902777777777786</v>
      </c>
      <c r="AA67" s="13">
        <f t="shared" si="3"/>
        <v>35.902777777777786</v>
      </c>
      <c r="AC67"/>
      <c r="AD67"/>
      <c r="AE67" s="2"/>
      <c r="AG67"/>
      <c r="AI67"/>
      <c r="AL67"/>
      <c r="AO67"/>
    </row>
    <row r="68" spans="2:4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s="2"/>
      <c r="Q68"/>
      <c r="R68"/>
      <c r="S68"/>
      <c r="T68"/>
      <c r="V68" s="6">
        <v>8.6166666666666671</v>
      </c>
      <c r="W68" s="13">
        <v>35.902777777777779</v>
      </c>
      <c r="Y68" s="13">
        <f t="shared" si="2"/>
        <v>35.902777777777786</v>
      </c>
      <c r="AA68" s="13">
        <f t="shared" si="3"/>
        <v>35.902777777777786</v>
      </c>
      <c r="AC68"/>
      <c r="AD68"/>
      <c r="AE68" s="2"/>
      <c r="AG68"/>
      <c r="AI68"/>
      <c r="AL68"/>
      <c r="AO68"/>
    </row>
    <row r="69" spans="2:4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2"/>
      <c r="Q69"/>
      <c r="R69"/>
      <c r="S69"/>
      <c r="T69"/>
      <c r="V69" s="6">
        <v>84.765833333333333</v>
      </c>
      <c r="W69" s="13">
        <v>353.19097222222223</v>
      </c>
      <c r="Y69" s="13">
        <f t="shared" ref="Y69:Y82" si="4">ABS((ROUNDUP(V69/24, 0)*24 - V69)/24 - 1)*100</f>
        <v>53.190972222222221</v>
      </c>
      <c r="AA69" s="13">
        <f t="shared" ref="AA69:AA82" si="5">(ABS((ROUNDUP(V69/24, 0)*24 - V69)/24 - 1) + IF(V69 &gt; 24, MID(ROUNDUP(V69/24, 2), 1, 1), 0))*100</f>
        <v>353.19097222222223</v>
      </c>
      <c r="AC69"/>
      <c r="AD69"/>
      <c r="AE69" s="2"/>
      <c r="AG69"/>
      <c r="AI69"/>
      <c r="AL69"/>
      <c r="AO69"/>
    </row>
    <row r="70" spans="2:4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2"/>
      <c r="Q70"/>
      <c r="R70"/>
      <c r="S70"/>
      <c r="T70"/>
      <c r="V70" s="6">
        <v>84.765833333333333</v>
      </c>
      <c r="W70" s="13">
        <v>353.19097222222223</v>
      </c>
      <c r="Y70" s="13">
        <f t="shared" si="4"/>
        <v>53.190972222222221</v>
      </c>
      <c r="AA70" s="13">
        <f t="shared" si="5"/>
        <v>353.19097222222223</v>
      </c>
      <c r="AC70"/>
      <c r="AD70"/>
      <c r="AE70" s="2"/>
      <c r="AG70"/>
      <c r="AI70"/>
      <c r="AL70"/>
      <c r="AO70"/>
    </row>
    <row r="71" spans="2:4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2"/>
      <c r="Q71"/>
      <c r="R71"/>
      <c r="S71"/>
      <c r="T71"/>
      <c r="V71" s="6">
        <v>20.599722222222219</v>
      </c>
      <c r="W71" s="13">
        <v>85.83217592592591</v>
      </c>
      <c r="Y71" s="13">
        <f t="shared" si="4"/>
        <v>85.83217592592591</v>
      </c>
      <c r="AA71" s="13">
        <f t="shared" si="5"/>
        <v>85.83217592592591</v>
      </c>
      <c r="AC71"/>
      <c r="AD71"/>
      <c r="AE71" s="2"/>
      <c r="AG71"/>
      <c r="AI71"/>
      <c r="AL71"/>
      <c r="AO71"/>
    </row>
    <row r="72" spans="2:4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s="2"/>
      <c r="Q72"/>
      <c r="R72"/>
      <c r="S72"/>
      <c r="T72"/>
      <c r="V72" s="6">
        <v>23.999722222222221</v>
      </c>
      <c r="W72" s="13">
        <v>99.998842592592581</v>
      </c>
      <c r="Y72" s="13">
        <f t="shared" si="4"/>
        <v>99.998842592592581</v>
      </c>
      <c r="AA72" s="13">
        <f t="shared" si="5"/>
        <v>99.998842592592581</v>
      </c>
      <c r="AC72"/>
      <c r="AD72"/>
      <c r="AE72" s="2"/>
      <c r="AG72"/>
      <c r="AI72"/>
      <c r="AL72"/>
      <c r="AO72"/>
    </row>
    <row r="73" spans="2:4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s="2"/>
      <c r="Q73"/>
      <c r="R73"/>
      <c r="S73"/>
      <c r="T73"/>
      <c r="V73" s="6">
        <v>23.999722222222221</v>
      </c>
      <c r="W73" s="13">
        <v>99.998842592592581</v>
      </c>
      <c r="Y73" s="13">
        <f t="shared" si="4"/>
        <v>99.998842592592581</v>
      </c>
      <c r="AA73" s="13">
        <f t="shared" si="5"/>
        <v>99.998842592592581</v>
      </c>
      <c r="AC73"/>
      <c r="AD73"/>
      <c r="AE73" s="2"/>
      <c r="AG73"/>
      <c r="AI73"/>
      <c r="AL73"/>
      <c r="AO73"/>
    </row>
    <row r="74" spans="2:4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2"/>
      <c r="Q74"/>
      <c r="R74"/>
      <c r="S74"/>
      <c r="T74"/>
      <c r="V74" s="6">
        <v>16.166666666666668</v>
      </c>
      <c r="W74" s="13">
        <v>67.361111111111114</v>
      </c>
      <c r="Y74" s="13">
        <f t="shared" si="4"/>
        <v>67.361111111111114</v>
      </c>
      <c r="AA74" s="13">
        <f t="shared" si="5"/>
        <v>67.361111111111114</v>
      </c>
      <c r="AC74"/>
      <c r="AD74"/>
      <c r="AE74" s="2"/>
      <c r="AI74"/>
      <c r="AL74"/>
      <c r="AO74"/>
    </row>
    <row r="75" spans="2:4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2"/>
      <c r="Q75"/>
      <c r="R75"/>
      <c r="S75"/>
      <c r="T75"/>
      <c r="V75" s="6">
        <v>74.11611111111111</v>
      </c>
      <c r="W75" s="13">
        <v>308.81712962962962</v>
      </c>
      <c r="Y75" s="13">
        <f t="shared" si="4"/>
        <v>8.817129629629628</v>
      </c>
      <c r="AA75" s="13">
        <f t="shared" si="5"/>
        <v>308.81712962962962</v>
      </c>
      <c r="AC75"/>
      <c r="AD75"/>
      <c r="AE75" s="2"/>
      <c r="AI75"/>
      <c r="AL75"/>
      <c r="AO75"/>
    </row>
    <row r="76" spans="2:4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s="2"/>
      <c r="Q76"/>
      <c r="R76"/>
      <c r="S76"/>
      <c r="T76"/>
      <c r="V76" s="6">
        <v>64.166111111111107</v>
      </c>
      <c r="W76" s="13">
        <v>267.35879629629625</v>
      </c>
      <c r="Y76" s="13">
        <f t="shared" si="4"/>
        <v>67.358796296296291</v>
      </c>
      <c r="AA76" s="13">
        <f t="shared" si="5"/>
        <v>267.3587962962963</v>
      </c>
      <c r="AC76"/>
      <c r="AD76"/>
      <c r="AE76" s="2"/>
      <c r="AI76"/>
      <c r="AL76"/>
      <c r="AO76"/>
    </row>
    <row r="77" spans="2:4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2"/>
      <c r="Q77"/>
      <c r="R77"/>
      <c r="S77"/>
      <c r="T77"/>
      <c r="V77" s="6">
        <v>23.999722222222221</v>
      </c>
      <c r="W77" s="13">
        <v>99.998842592592581</v>
      </c>
      <c r="Y77" s="13">
        <f t="shared" si="4"/>
        <v>99.998842592592581</v>
      </c>
      <c r="AA77" s="13">
        <f t="shared" si="5"/>
        <v>99.998842592592581</v>
      </c>
      <c r="AC77"/>
      <c r="AD77"/>
      <c r="AE77" s="2"/>
      <c r="AI77"/>
      <c r="AL77"/>
      <c r="AO77"/>
    </row>
    <row r="78" spans="2:4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 s="2"/>
      <c r="Q78"/>
      <c r="R78"/>
      <c r="S78"/>
      <c r="T78"/>
      <c r="V78" s="6">
        <v>23.999722222222221</v>
      </c>
      <c r="W78" s="13">
        <v>99.998842592592581</v>
      </c>
      <c r="Y78" s="13">
        <f t="shared" si="4"/>
        <v>99.998842592592581</v>
      </c>
      <c r="AA78" s="13">
        <f t="shared" si="5"/>
        <v>99.998842592592581</v>
      </c>
      <c r="AC78"/>
      <c r="AD78"/>
      <c r="AE78" s="2"/>
      <c r="AI78"/>
      <c r="AL78"/>
      <c r="AO78"/>
    </row>
    <row r="79" spans="2:4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2"/>
      <c r="Q79"/>
      <c r="R79"/>
      <c r="S79"/>
      <c r="T79"/>
      <c r="V79" s="6">
        <v>16.166666666666668</v>
      </c>
      <c r="W79" s="13">
        <v>67.361111111111114</v>
      </c>
      <c r="Y79" s="13">
        <f t="shared" si="4"/>
        <v>67.361111111111114</v>
      </c>
      <c r="AA79" s="13">
        <f t="shared" si="5"/>
        <v>67.361111111111114</v>
      </c>
      <c r="AC79"/>
      <c r="AD79"/>
      <c r="AE79" s="2"/>
      <c r="AI79"/>
      <c r="AL79"/>
      <c r="AO79"/>
    </row>
    <row r="80" spans="2:4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2"/>
      <c r="Q80"/>
      <c r="R80"/>
      <c r="S80"/>
      <c r="T80"/>
      <c r="V80" s="6">
        <v>9.9500000000000011</v>
      </c>
      <c r="W80" s="13">
        <v>41.458333333333336</v>
      </c>
      <c r="Y80" s="13">
        <f t="shared" si="4"/>
        <v>41.458333333333343</v>
      </c>
      <c r="AA80" s="13">
        <f t="shared" si="5"/>
        <v>41.458333333333343</v>
      </c>
      <c r="AC80"/>
      <c r="AD80"/>
      <c r="AE80" s="2"/>
      <c r="AI80"/>
      <c r="AL80"/>
      <c r="AO80"/>
    </row>
    <row r="81" spans="2:4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2"/>
      <c r="Q81"/>
      <c r="R81"/>
      <c r="S81"/>
      <c r="T81"/>
      <c r="V81" s="6">
        <v>9.9500000000000011</v>
      </c>
      <c r="W81" s="13">
        <v>41.458333333333336</v>
      </c>
      <c r="Y81" s="13">
        <f t="shared" si="4"/>
        <v>41.458333333333343</v>
      </c>
      <c r="AA81" s="13">
        <f t="shared" si="5"/>
        <v>41.458333333333343</v>
      </c>
      <c r="AC81"/>
      <c r="AD81"/>
      <c r="AE81" s="2"/>
      <c r="AI81"/>
      <c r="AL81"/>
      <c r="AO81"/>
    </row>
    <row r="82" spans="2:4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2"/>
      <c r="Q82"/>
      <c r="R82"/>
      <c r="S82"/>
      <c r="T82"/>
      <c r="V82" s="6">
        <v>1064.8233333333333</v>
      </c>
      <c r="W82" s="13">
        <v>4436.7638888888878</v>
      </c>
      <c r="Y82" s="13">
        <f t="shared" si="4"/>
        <v>36.763888888888609</v>
      </c>
      <c r="AA82" s="13">
        <f t="shared" si="5"/>
        <v>436.76388888888863</v>
      </c>
      <c r="AC82"/>
      <c r="AD82"/>
      <c r="AE82" s="2"/>
      <c r="AI82"/>
      <c r="AL82"/>
      <c r="AO82"/>
    </row>
    <row r="83" spans="2:4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2"/>
      <c r="Q83"/>
      <c r="R83"/>
      <c r="S83"/>
      <c r="T83"/>
      <c r="AC83"/>
      <c r="AD83"/>
      <c r="AE83" s="2"/>
      <c r="AI83"/>
      <c r="AL83"/>
      <c r="AO83"/>
    </row>
    <row r="84" spans="2:4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2"/>
      <c r="Q84"/>
      <c r="R84"/>
      <c r="S84"/>
      <c r="T84"/>
      <c r="AC84"/>
      <c r="AD84"/>
      <c r="AE84" s="2"/>
      <c r="AI84"/>
      <c r="AL84"/>
      <c r="AO84"/>
    </row>
    <row r="85" spans="2:4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2"/>
      <c r="Q85"/>
      <c r="R85"/>
      <c r="S85"/>
      <c r="T85"/>
      <c r="AC85"/>
      <c r="AD85"/>
      <c r="AE85" s="2"/>
      <c r="AI85"/>
      <c r="AL85"/>
      <c r="AO85"/>
    </row>
    <row r="86" spans="2:4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2"/>
      <c r="Q86"/>
      <c r="R86"/>
      <c r="S86"/>
      <c r="T86"/>
      <c r="AC86"/>
      <c r="AD86"/>
      <c r="AE86" s="2"/>
      <c r="AI86"/>
      <c r="AL86"/>
      <c r="AO86"/>
    </row>
    <row r="87" spans="2:4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2"/>
      <c r="Q87"/>
      <c r="R87"/>
      <c r="S87"/>
      <c r="T87"/>
      <c r="AC87"/>
      <c r="AD87"/>
      <c r="AE87" s="2"/>
      <c r="AI87"/>
      <c r="AL87"/>
      <c r="AO87"/>
    </row>
    <row r="88" spans="2:4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2"/>
      <c r="Q88"/>
      <c r="R88"/>
      <c r="S88"/>
      <c r="T88"/>
      <c r="AC88"/>
      <c r="AD88"/>
      <c r="AE88" s="2"/>
      <c r="AI88"/>
      <c r="AL88"/>
      <c r="AO88"/>
    </row>
    <row r="89" spans="2:4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2"/>
      <c r="Q89"/>
      <c r="R89"/>
      <c r="S89"/>
      <c r="T89"/>
      <c r="AC89"/>
      <c r="AD89"/>
      <c r="AE89" s="2"/>
      <c r="AI89"/>
      <c r="AL89"/>
      <c r="AO89"/>
    </row>
    <row r="90" spans="2:4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2"/>
      <c r="Q90"/>
      <c r="R90"/>
      <c r="S90"/>
      <c r="T90"/>
      <c r="AC90"/>
      <c r="AD90"/>
      <c r="AE90" s="2"/>
      <c r="AI90"/>
      <c r="AL90"/>
      <c r="AO90"/>
    </row>
    <row r="91" spans="2:4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2"/>
      <c r="Q91"/>
      <c r="R91"/>
      <c r="S91"/>
      <c r="T91"/>
      <c r="AC91"/>
      <c r="AD91"/>
      <c r="AE91" s="2"/>
      <c r="AI91"/>
      <c r="AL91"/>
      <c r="AO91"/>
    </row>
    <row r="92" spans="2:4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2"/>
      <c r="Q92"/>
      <c r="R92"/>
      <c r="S92"/>
      <c r="T92"/>
      <c r="AC92"/>
      <c r="AD92"/>
      <c r="AE92" s="2"/>
      <c r="AI92"/>
      <c r="AL92"/>
      <c r="AO92"/>
    </row>
    <row r="93" spans="2:4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2"/>
      <c r="Q93"/>
      <c r="R93"/>
      <c r="S93"/>
      <c r="T93"/>
      <c r="AC93"/>
      <c r="AD93"/>
      <c r="AE93" s="2"/>
      <c r="AI93"/>
      <c r="AL93"/>
      <c r="AO93"/>
    </row>
    <row r="94" spans="2:4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2"/>
      <c r="Q94"/>
      <c r="R94"/>
      <c r="S94"/>
      <c r="T94"/>
      <c r="AC94"/>
      <c r="AD94"/>
      <c r="AE94" s="2"/>
      <c r="AI94"/>
      <c r="AL94"/>
      <c r="AO94"/>
    </row>
    <row r="95" spans="2:4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2"/>
      <c r="Q95"/>
      <c r="R95"/>
      <c r="S95"/>
      <c r="T95"/>
      <c r="AC95"/>
      <c r="AD95"/>
      <c r="AE95" s="2"/>
      <c r="AI95"/>
      <c r="AL95"/>
      <c r="AO95"/>
    </row>
    <row r="96" spans="2:4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2"/>
      <c r="Q96"/>
      <c r="R96"/>
      <c r="S96"/>
      <c r="T96"/>
      <c r="AC96"/>
      <c r="AD96"/>
      <c r="AE96" s="2"/>
      <c r="AI96"/>
      <c r="AL96"/>
      <c r="AO96"/>
    </row>
    <row r="97" spans="2:4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2"/>
      <c r="Q97"/>
      <c r="R97"/>
      <c r="S97"/>
      <c r="T97"/>
      <c r="AC97"/>
      <c r="AD97"/>
      <c r="AE97" s="2"/>
      <c r="AI97"/>
      <c r="AL97"/>
      <c r="AO97"/>
    </row>
    <row r="98" spans="2:4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2"/>
      <c r="Q98"/>
      <c r="R98"/>
      <c r="S98"/>
      <c r="T98"/>
      <c r="AC98"/>
      <c r="AD98"/>
      <c r="AE98" s="2"/>
      <c r="AI98"/>
      <c r="AL98"/>
      <c r="AO98"/>
    </row>
    <row r="99" spans="2:4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2"/>
      <c r="Q99"/>
      <c r="R99"/>
      <c r="S99"/>
      <c r="T99"/>
      <c r="AC99"/>
      <c r="AD99"/>
      <c r="AE99" s="2"/>
      <c r="AI99"/>
      <c r="AL99"/>
      <c r="AO99"/>
    </row>
    <row r="100" spans="2:4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2"/>
      <c r="Q100"/>
      <c r="R100"/>
      <c r="S100"/>
      <c r="T100"/>
      <c r="AC100"/>
      <c r="AD100"/>
      <c r="AE100" s="2"/>
      <c r="AI100"/>
      <c r="AL100"/>
      <c r="AO100"/>
    </row>
    <row r="101" spans="2:4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2"/>
      <c r="Q101"/>
      <c r="R101"/>
      <c r="S101"/>
      <c r="T101"/>
      <c r="AC101"/>
      <c r="AD101"/>
      <c r="AE101" s="2"/>
      <c r="AI101"/>
      <c r="AL101"/>
      <c r="AO101"/>
    </row>
    <row r="102" spans="2:4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2"/>
      <c r="Q102"/>
      <c r="R102"/>
      <c r="S102"/>
      <c r="T102"/>
      <c r="AC102"/>
      <c r="AD102"/>
      <c r="AE102" s="2"/>
      <c r="AI102"/>
      <c r="AL102"/>
      <c r="AO102"/>
    </row>
    <row r="103" spans="2:4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2"/>
      <c r="Q103"/>
      <c r="R103"/>
      <c r="S103"/>
      <c r="T103"/>
      <c r="AC103"/>
      <c r="AD103"/>
      <c r="AE103" s="2"/>
      <c r="AI103"/>
      <c r="AL103"/>
      <c r="AO103"/>
    </row>
    <row r="104" spans="2:4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2"/>
      <c r="Q104"/>
      <c r="R104"/>
      <c r="S104"/>
      <c r="T104"/>
      <c r="AC104"/>
      <c r="AD104"/>
      <c r="AE104" s="2"/>
      <c r="AI104"/>
      <c r="AL104"/>
      <c r="AO104"/>
    </row>
    <row r="105" spans="2:4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2"/>
      <c r="Q105"/>
      <c r="R105"/>
      <c r="S105"/>
      <c r="T105"/>
      <c r="AC105"/>
      <c r="AD105"/>
      <c r="AE105" s="2"/>
      <c r="AI105"/>
      <c r="AL105"/>
      <c r="AO105"/>
    </row>
    <row r="106" spans="2:4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2"/>
      <c r="Q106"/>
      <c r="R106"/>
      <c r="S106"/>
      <c r="T106"/>
      <c r="AC106"/>
      <c r="AD106"/>
      <c r="AE106" s="2"/>
      <c r="AI106"/>
      <c r="AL106"/>
      <c r="AO106"/>
    </row>
    <row r="107" spans="2:4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2"/>
      <c r="Q107"/>
      <c r="R107"/>
      <c r="S107"/>
      <c r="T107"/>
      <c r="AC107"/>
      <c r="AD107"/>
      <c r="AE107" s="2"/>
      <c r="AI107"/>
      <c r="AL107"/>
      <c r="AO107"/>
    </row>
    <row r="108" spans="2:4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2"/>
      <c r="Q108"/>
      <c r="R108"/>
      <c r="S108"/>
      <c r="T108"/>
      <c r="AC108"/>
      <c r="AD108"/>
      <c r="AE108" s="2"/>
      <c r="AI108"/>
      <c r="AL108"/>
      <c r="AO108"/>
    </row>
    <row r="109" spans="2:4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2"/>
      <c r="Q109"/>
      <c r="R109"/>
      <c r="S109"/>
      <c r="T109"/>
      <c r="AC109"/>
      <c r="AD109"/>
      <c r="AE109" s="2"/>
      <c r="AI109"/>
      <c r="AL109"/>
      <c r="AO109"/>
    </row>
    <row r="110" spans="2:4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2"/>
      <c r="Q110"/>
      <c r="R110"/>
      <c r="S110"/>
      <c r="T110"/>
      <c r="AC110"/>
      <c r="AD110"/>
      <c r="AE110" s="2"/>
      <c r="AI110"/>
      <c r="AL110"/>
      <c r="AO110"/>
    </row>
    <row r="111" spans="2:4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2"/>
      <c r="Q111"/>
      <c r="R111"/>
      <c r="S111"/>
      <c r="T111"/>
      <c r="AC111"/>
      <c r="AD111"/>
      <c r="AE111" s="2"/>
      <c r="AI111"/>
      <c r="AL111"/>
      <c r="AO111"/>
    </row>
    <row r="112" spans="2:4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2"/>
      <c r="Q112"/>
      <c r="R112"/>
      <c r="S112"/>
      <c r="T112"/>
      <c r="AC112"/>
      <c r="AD112"/>
      <c r="AE112" s="2"/>
      <c r="AI112"/>
      <c r="AL112"/>
      <c r="AO112"/>
    </row>
    <row r="113" spans="2:4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2"/>
      <c r="Q113"/>
      <c r="R113"/>
      <c r="S113"/>
      <c r="T113"/>
      <c r="AC113"/>
      <c r="AD113"/>
      <c r="AE113" s="2"/>
      <c r="AI113"/>
      <c r="AL113"/>
      <c r="AO113"/>
    </row>
    <row r="114" spans="2:4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2"/>
      <c r="Q114"/>
      <c r="R114"/>
      <c r="S114"/>
      <c r="T114"/>
      <c r="AC114"/>
      <c r="AD114"/>
      <c r="AE114" s="2"/>
      <c r="AI114"/>
      <c r="AL114"/>
      <c r="AO114"/>
    </row>
    <row r="115" spans="2:4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2"/>
      <c r="Q115"/>
      <c r="R115"/>
      <c r="S115"/>
      <c r="T115"/>
      <c r="AC115"/>
      <c r="AD115"/>
      <c r="AE115" s="2"/>
      <c r="AI115"/>
      <c r="AL115"/>
      <c r="AO115"/>
    </row>
    <row r="116" spans="2:4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2"/>
      <c r="Q116"/>
      <c r="R116"/>
      <c r="S116"/>
      <c r="T116"/>
      <c r="AC116"/>
      <c r="AD116"/>
      <c r="AE116" s="2"/>
      <c r="AI116"/>
      <c r="AL116"/>
      <c r="AO116"/>
    </row>
    <row r="117" spans="2:4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2"/>
      <c r="Q117"/>
      <c r="R117"/>
      <c r="S117"/>
      <c r="T117"/>
      <c r="AC117"/>
      <c r="AD117"/>
      <c r="AE117" s="2"/>
      <c r="AI117"/>
      <c r="AL117"/>
      <c r="AO117"/>
    </row>
    <row r="118" spans="2:4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2"/>
      <c r="Q118"/>
      <c r="R118"/>
      <c r="S118"/>
      <c r="T118"/>
      <c r="AC118"/>
      <c r="AD118"/>
      <c r="AE118" s="2"/>
      <c r="AI118"/>
      <c r="AL118"/>
      <c r="AO118"/>
    </row>
    <row r="119" spans="2:4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2"/>
      <c r="Q119"/>
      <c r="R119"/>
      <c r="S119"/>
      <c r="T119"/>
      <c r="AC119"/>
      <c r="AD119"/>
      <c r="AE119" s="2"/>
      <c r="AI119"/>
      <c r="AL119"/>
      <c r="AO119"/>
    </row>
    <row r="120" spans="2:4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2"/>
      <c r="Q120"/>
      <c r="R120"/>
      <c r="S120"/>
      <c r="T120"/>
      <c r="AC120"/>
      <c r="AD120"/>
      <c r="AE120" s="2"/>
      <c r="AI120"/>
      <c r="AL120"/>
      <c r="AO120"/>
    </row>
    <row r="121" spans="2:4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2"/>
      <c r="Q121"/>
      <c r="R121"/>
      <c r="S121"/>
      <c r="T121"/>
      <c r="AC121"/>
      <c r="AD121"/>
      <c r="AE121" s="2"/>
      <c r="AI121"/>
      <c r="AL121"/>
      <c r="AO121"/>
    </row>
    <row r="122" spans="2:4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2"/>
      <c r="Q122"/>
      <c r="R122"/>
      <c r="S122"/>
      <c r="T122"/>
      <c r="AC122"/>
      <c r="AD122"/>
      <c r="AE122" s="2"/>
      <c r="AI122"/>
      <c r="AL122"/>
      <c r="AO122"/>
    </row>
    <row r="123" spans="2:4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2"/>
      <c r="Q123"/>
      <c r="R123"/>
      <c r="S123"/>
      <c r="T123"/>
      <c r="AC123"/>
      <c r="AD123"/>
      <c r="AE123" s="2"/>
      <c r="AI123"/>
      <c r="AL123"/>
      <c r="AO123"/>
    </row>
    <row r="124" spans="2:4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2"/>
      <c r="Q124"/>
      <c r="R124"/>
      <c r="S124"/>
      <c r="T124"/>
      <c r="AC124"/>
      <c r="AD124"/>
      <c r="AE124" s="2"/>
      <c r="AI124"/>
      <c r="AL124"/>
      <c r="AO124"/>
    </row>
    <row r="125" spans="2:4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2"/>
      <c r="Q125"/>
      <c r="R125"/>
      <c r="S125"/>
      <c r="T125"/>
      <c r="AC125"/>
      <c r="AD125"/>
      <c r="AE125" s="2"/>
      <c r="AI125"/>
      <c r="AL125"/>
      <c r="AO125"/>
    </row>
    <row r="126" spans="2:41" x14ac:dyDescent="0.25">
      <c r="B126"/>
      <c r="C126"/>
      <c r="D126"/>
      <c r="E126"/>
      <c r="F126"/>
      <c r="G126"/>
      <c r="H126"/>
      <c r="I126"/>
      <c r="J126"/>
      <c r="K126"/>
      <c r="L126"/>
      <c r="M126" s="8"/>
      <c r="N126"/>
      <c r="O126"/>
      <c r="P126" s="2"/>
      <c r="Q126"/>
      <c r="R126"/>
      <c r="S126"/>
      <c r="T126"/>
      <c r="AC126"/>
      <c r="AD126"/>
      <c r="AE126" s="2"/>
      <c r="AI126"/>
      <c r="AL126"/>
      <c r="AO126"/>
    </row>
    <row r="127" spans="2:41" x14ac:dyDescent="0.25">
      <c r="B127"/>
      <c r="C127"/>
      <c r="D127"/>
      <c r="E127"/>
      <c r="F127"/>
      <c r="G127"/>
      <c r="H127"/>
      <c r="I127"/>
      <c r="J127"/>
      <c r="K127"/>
      <c r="L127"/>
      <c r="M127" s="8"/>
      <c r="N127"/>
      <c r="O127"/>
      <c r="P127" s="2"/>
      <c r="Q127"/>
      <c r="R127"/>
      <c r="S127"/>
      <c r="T127"/>
      <c r="AC127"/>
      <c r="AD127"/>
      <c r="AE127" s="2"/>
      <c r="AI127"/>
      <c r="AL127"/>
      <c r="AO127"/>
    </row>
    <row r="128" spans="2:41" x14ac:dyDescent="0.25">
      <c r="B128"/>
      <c r="C128"/>
      <c r="D128"/>
      <c r="E128"/>
      <c r="F128"/>
      <c r="G128"/>
      <c r="H128"/>
      <c r="I128"/>
      <c r="J128"/>
      <c r="K128"/>
      <c r="L128"/>
      <c r="M128" s="8"/>
      <c r="N128"/>
      <c r="O128"/>
      <c r="P128" s="2"/>
      <c r="Q128"/>
      <c r="R128"/>
      <c r="S128"/>
      <c r="T128"/>
      <c r="AC128"/>
      <c r="AD128"/>
      <c r="AE128" s="2"/>
      <c r="AI128"/>
      <c r="AL128"/>
      <c r="AO128"/>
    </row>
    <row r="129" spans="2:41" x14ac:dyDescent="0.25">
      <c r="B129"/>
      <c r="C129"/>
      <c r="D129"/>
      <c r="E129"/>
      <c r="F129"/>
      <c r="G129"/>
      <c r="H129"/>
      <c r="I129"/>
      <c r="J129"/>
      <c r="K129"/>
      <c r="L129"/>
      <c r="M129" s="8"/>
      <c r="N129"/>
      <c r="O129"/>
      <c r="P129" s="2"/>
      <c r="Q129"/>
      <c r="R129"/>
      <c r="S129"/>
      <c r="T129"/>
      <c r="AC129"/>
      <c r="AD129"/>
      <c r="AE129" s="2"/>
      <c r="AI129"/>
      <c r="AL129"/>
      <c r="AO129"/>
    </row>
    <row r="130" spans="2:41" x14ac:dyDescent="0.25">
      <c r="B130"/>
      <c r="C130"/>
      <c r="D130"/>
      <c r="E130"/>
      <c r="F130"/>
      <c r="G130"/>
      <c r="H130"/>
      <c r="I130"/>
      <c r="J130"/>
      <c r="K130"/>
      <c r="L130"/>
      <c r="M130" s="8"/>
      <c r="N130"/>
      <c r="O130"/>
      <c r="P130" s="2"/>
      <c r="Q130"/>
      <c r="R130"/>
      <c r="S130"/>
      <c r="T130"/>
      <c r="AC130"/>
      <c r="AD130"/>
      <c r="AE130" s="2"/>
      <c r="AI130"/>
      <c r="AL130"/>
      <c r="AO130"/>
    </row>
    <row r="131" spans="2:41" x14ac:dyDescent="0.25">
      <c r="B131"/>
      <c r="C131"/>
      <c r="D131"/>
      <c r="E131"/>
      <c r="F131"/>
      <c r="G131"/>
      <c r="H131"/>
      <c r="I131"/>
      <c r="J131"/>
      <c r="K131"/>
      <c r="L131"/>
      <c r="M131" s="8"/>
      <c r="N131"/>
      <c r="O131"/>
      <c r="P131" s="2"/>
      <c r="Q131"/>
      <c r="R131"/>
      <c r="S131"/>
      <c r="T131"/>
      <c r="AC131"/>
      <c r="AD131"/>
      <c r="AE131" s="2"/>
      <c r="AI131"/>
      <c r="AL131"/>
      <c r="AO131"/>
    </row>
    <row r="132" spans="2:41" x14ac:dyDescent="0.25">
      <c r="B132"/>
      <c r="C132"/>
      <c r="D132"/>
      <c r="E132"/>
      <c r="F132"/>
      <c r="G132"/>
      <c r="H132"/>
      <c r="I132"/>
      <c r="J132"/>
      <c r="K132"/>
      <c r="L132"/>
      <c r="M132" s="8"/>
      <c r="N132"/>
      <c r="O132"/>
      <c r="P132" s="2"/>
      <c r="Q132"/>
      <c r="R132"/>
      <c r="S132"/>
      <c r="T132"/>
      <c r="AC132"/>
      <c r="AD132"/>
      <c r="AE132" s="2"/>
      <c r="AI132"/>
      <c r="AL132"/>
      <c r="AO132"/>
    </row>
    <row r="133" spans="2:41" x14ac:dyDescent="0.25">
      <c r="B133"/>
      <c r="C133"/>
      <c r="D133"/>
      <c r="E133"/>
      <c r="F133"/>
      <c r="G133"/>
      <c r="H133"/>
      <c r="I133"/>
      <c r="J133"/>
      <c r="K133"/>
      <c r="L133"/>
      <c r="M133" s="8"/>
      <c r="N133"/>
      <c r="O133"/>
      <c r="P133" s="2"/>
      <c r="Q133"/>
      <c r="R133"/>
      <c r="S133"/>
      <c r="T133"/>
      <c r="AC133"/>
      <c r="AD133"/>
      <c r="AE133" s="2"/>
      <c r="AI133"/>
      <c r="AL133"/>
      <c r="AO133"/>
    </row>
    <row r="134" spans="2:41" x14ac:dyDescent="0.25">
      <c r="B134"/>
      <c r="C134"/>
      <c r="D134"/>
      <c r="E134"/>
      <c r="F134"/>
      <c r="G134"/>
      <c r="H134"/>
      <c r="I134"/>
      <c r="J134"/>
      <c r="K134"/>
      <c r="L134"/>
      <c r="M134" s="8"/>
      <c r="N134"/>
      <c r="O134"/>
      <c r="P134" s="2"/>
      <c r="Q134"/>
      <c r="R134"/>
      <c r="S134"/>
      <c r="T134"/>
      <c r="AC134"/>
      <c r="AD134"/>
      <c r="AE134" s="2"/>
      <c r="AI134"/>
      <c r="AL134"/>
      <c r="AO134"/>
    </row>
    <row r="135" spans="2:41" x14ac:dyDescent="0.25">
      <c r="B135"/>
      <c r="C135"/>
      <c r="D135"/>
      <c r="E135"/>
      <c r="F135"/>
      <c r="G135"/>
      <c r="H135"/>
      <c r="I135"/>
      <c r="J135"/>
      <c r="K135"/>
      <c r="L135"/>
      <c r="M135" s="8"/>
      <c r="N135"/>
      <c r="O135"/>
      <c r="P135" s="2"/>
      <c r="Q135"/>
      <c r="R135"/>
      <c r="S135"/>
      <c r="T135"/>
      <c r="AC135"/>
      <c r="AD135"/>
      <c r="AE135" s="2"/>
      <c r="AI135"/>
      <c r="AL135"/>
      <c r="AO135"/>
    </row>
    <row r="136" spans="2:41" x14ac:dyDescent="0.25">
      <c r="B136"/>
      <c r="C136"/>
      <c r="D136"/>
      <c r="E136"/>
      <c r="F136"/>
      <c r="G136"/>
      <c r="H136"/>
      <c r="I136"/>
      <c r="J136"/>
      <c r="K136"/>
      <c r="L136"/>
      <c r="M136" s="8"/>
      <c r="N136"/>
      <c r="O136"/>
      <c r="P136" s="2"/>
      <c r="Q136"/>
      <c r="R136"/>
      <c r="S136"/>
      <c r="T136"/>
      <c r="AC136"/>
      <c r="AD136"/>
      <c r="AE136" s="2"/>
      <c r="AI136"/>
      <c r="AL136"/>
      <c r="AO136"/>
    </row>
    <row r="137" spans="2:41" x14ac:dyDescent="0.25">
      <c r="B137"/>
      <c r="C137"/>
      <c r="D137"/>
      <c r="E137"/>
      <c r="F137"/>
      <c r="G137"/>
      <c r="H137"/>
      <c r="I137"/>
      <c r="J137"/>
      <c r="K137" s="8"/>
      <c r="L137" s="8"/>
      <c r="M137" s="8"/>
      <c r="N137"/>
      <c r="O137"/>
      <c r="P137" s="2"/>
      <c r="Q137"/>
      <c r="R137"/>
      <c r="S137"/>
      <c r="T137"/>
      <c r="AC137"/>
      <c r="AD137"/>
      <c r="AE137" s="2"/>
      <c r="AI137"/>
      <c r="AL137"/>
      <c r="AO137"/>
    </row>
    <row r="138" spans="2:41" x14ac:dyDescent="0.25">
      <c r="B138"/>
      <c r="C138"/>
      <c r="D138"/>
      <c r="E138"/>
      <c r="F138"/>
      <c r="G138"/>
      <c r="H138"/>
      <c r="I138"/>
      <c r="J138"/>
      <c r="K138" s="8"/>
      <c r="L138" s="8"/>
      <c r="M138" s="8"/>
      <c r="N138"/>
      <c r="O138"/>
      <c r="P138" s="2"/>
      <c r="Q138"/>
      <c r="R138"/>
      <c r="S138"/>
      <c r="T138"/>
      <c r="AC138"/>
      <c r="AD138"/>
      <c r="AE138" s="2"/>
      <c r="AI138"/>
      <c r="AL138"/>
      <c r="AO138"/>
    </row>
    <row r="139" spans="2:41" x14ac:dyDescent="0.25">
      <c r="B139"/>
      <c r="C139"/>
      <c r="D139"/>
      <c r="E139"/>
      <c r="F139"/>
      <c r="G139"/>
      <c r="H139"/>
      <c r="I139"/>
      <c r="J139"/>
      <c r="K139" s="8"/>
      <c r="L139" s="8"/>
      <c r="M139" s="8"/>
      <c r="N139"/>
      <c r="O139"/>
      <c r="P139" s="2"/>
      <c r="Q139"/>
      <c r="R139"/>
      <c r="S139"/>
      <c r="T139"/>
      <c r="AC139"/>
      <c r="AD139"/>
      <c r="AE139" s="2"/>
      <c r="AI139"/>
      <c r="AL139"/>
      <c r="AO139"/>
    </row>
    <row r="140" spans="2:41" x14ac:dyDescent="0.25">
      <c r="B140"/>
      <c r="C140"/>
      <c r="D140"/>
      <c r="E140"/>
      <c r="F140"/>
      <c r="G140"/>
      <c r="H140"/>
      <c r="I140"/>
      <c r="J140"/>
      <c r="K140" s="8"/>
      <c r="L140" s="8"/>
      <c r="M140" s="8"/>
      <c r="N140"/>
      <c r="O140"/>
      <c r="P140" s="2"/>
      <c r="Q140"/>
      <c r="R140"/>
      <c r="S140"/>
      <c r="T140"/>
      <c r="AC140"/>
      <c r="AD140"/>
      <c r="AE140" s="2"/>
      <c r="AI140"/>
      <c r="AL140"/>
      <c r="AO140"/>
    </row>
    <row r="141" spans="2:41" x14ac:dyDescent="0.25">
      <c r="B141"/>
      <c r="C141"/>
      <c r="D141"/>
      <c r="E141"/>
      <c r="F141"/>
      <c r="G141"/>
      <c r="H141"/>
      <c r="I141"/>
      <c r="J141"/>
      <c r="K141" s="8"/>
      <c r="L141" s="8"/>
      <c r="M141" s="8"/>
      <c r="N141"/>
      <c r="O141"/>
      <c r="P141" s="2"/>
      <c r="Q141"/>
      <c r="R141"/>
      <c r="S141"/>
      <c r="T141"/>
      <c r="AC141"/>
      <c r="AD141"/>
      <c r="AE141" s="2"/>
      <c r="AI141"/>
      <c r="AL141"/>
      <c r="AO141"/>
    </row>
    <row r="142" spans="2:41" x14ac:dyDescent="0.25">
      <c r="B142"/>
      <c r="C142"/>
      <c r="D142"/>
      <c r="E142"/>
      <c r="F142"/>
      <c r="G142"/>
      <c r="H142"/>
      <c r="I142"/>
      <c r="J142"/>
      <c r="K142" s="8"/>
      <c r="L142" s="8"/>
      <c r="M142" s="8"/>
      <c r="N142"/>
      <c r="O142"/>
      <c r="P142" s="2"/>
      <c r="Q142"/>
      <c r="R142"/>
      <c r="S142"/>
      <c r="T142"/>
      <c r="AC142"/>
      <c r="AD142"/>
      <c r="AE142" s="2"/>
      <c r="AI142"/>
      <c r="AL142"/>
      <c r="AO142"/>
    </row>
    <row r="143" spans="2:41" x14ac:dyDescent="0.25">
      <c r="B143"/>
      <c r="C143"/>
      <c r="D143"/>
      <c r="E143"/>
      <c r="F143"/>
      <c r="G143"/>
      <c r="H143"/>
      <c r="I143"/>
      <c r="J143"/>
      <c r="K143" s="8"/>
      <c r="L143" s="8"/>
      <c r="M143" s="8"/>
      <c r="N143"/>
      <c r="O143"/>
      <c r="P143" s="2"/>
      <c r="Q143"/>
      <c r="R143"/>
      <c r="S143"/>
      <c r="T143"/>
      <c r="AC143"/>
      <c r="AD143"/>
      <c r="AE143" s="2"/>
      <c r="AI143"/>
      <c r="AL143"/>
      <c r="AO143"/>
    </row>
    <row r="144" spans="2:41" x14ac:dyDescent="0.25">
      <c r="B144"/>
      <c r="C144"/>
      <c r="D144"/>
      <c r="E144"/>
      <c r="F144"/>
      <c r="G144"/>
      <c r="H144"/>
      <c r="I144"/>
      <c r="J144"/>
      <c r="K144" s="8"/>
      <c r="L144" s="8"/>
      <c r="M144" s="8"/>
      <c r="N144"/>
      <c r="O144"/>
      <c r="P144" s="2"/>
      <c r="Q144"/>
      <c r="R144"/>
      <c r="S144"/>
      <c r="T144"/>
      <c r="AC144"/>
      <c r="AD144"/>
      <c r="AE144" s="2"/>
      <c r="AI144"/>
      <c r="AL144"/>
      <c r="AO144"/>
    </row>
    <row r="145" spans="2:41" x14ac:dyDescent="0.25">
      <c r="B145"/>
      <c r="C145"/>
      <c r="D145"/>
      <c r="E145"/>
      <c r="F145"/>
      <c r="G145"/>
      <c r="H145"/>
      <c r="I145"/>
      <c r="J145"/>
      <c r="K145" s="8"/>
      <c r="L145" s="8"/>
      <c r="M145" s="8"/>
      <c r="N145"/>
      <c r="O145"/>
      <c r="P145" s="2"/>
      <c r="Q145"/>
      <c r="R145"/>
      <c r="S145"/>
      <c r="T145"/>
      <c r="AC145"/>
      <c r="AD145"/>
      <c r="AE145" s="2"/>
      <c r="AI145"/>
      <c r="AL145"/>
      <c r="AO145"/>
    </row>
    <row r="146" spans="2:41" x14ac:dyDescent="0.25">
      <c r="B146"/>
      <c r="C146"/>
      <c r="D146"/>
      <c r="E146"/>
      <c r="F146"/>
      <c r="G146"/>
      <c r="H146"/>
      <c r="I146"/>
      <c r="J146"/>
      <c r="K146" s="8"/>
      <c r="L146" s="8"/>
      <c r="M146" s="8"/>
      <c r="N146"/>
      <c r="O146"/>
      <c r="P146" s="2"/>
      <c r="Q146"/>
      <c r="R146"/>
      <c r="S146"/>
      <c r="T146"/>
      <c r="AC146"/>
      <c r="AD146"/>
      <c r="AE146" s="2"/>
      <c r="AI146"/>
      <c r="AL146"/>
      <c r="AO146"/>
    </row>
    <row r="147" spans="2:41" x14ac:dyDescent="0.25">
      <c r="B147"/>
      <c r="C147"/>
      <c r="D147"/>
      <c r="E147"/>
      <c r="F147"/>
      <c r="G147"/>
      <c r="H147"/>
      <c r="I147"/>
      <c r="J147"/>
      <c r="K147" s="8"/>
      <c r="L147" s="8"/>
      <c r="M147" s="8"/>
      <c r="N147"/>
      <c r="O147"/>
      <c r="P147" s="2"/>
      <c r="Q147"/>
      <c r="R147"/>
      <c r="S147"/>
      <c r="T147"/>
      <c r="AC147"/>
      <c r="AD147"/>
      <c r="AE147" s="2"/>
      <c r="AI147"/>
      <c r="AL147"/>
      <c r="AO147"/>
    </row>
    <row r="148" spans="2:41" x14ac:dyDescent="0.25">
      <c r="B148"/>
      <c r="C148"/>
      <c r="D148"/>
      <c r="E148"/>
      <c r="F148"/>
      <c r="G148"/>
      <c r="H148"/>
      <c r="I148"/>
      <c r="J148"/>
      <c r="K148" s="8"/>
      <c r="L148" s="8"/>
      <c r="M148" s="8"/>
      <c r="N148"/>
      <c r="O148"/>
      <c r="P148" s="2"/>
      <c r="Q148"/>
      <c r="R148"/>
      <c r="S148"/>
      <c r="T148"/>
      <c r="AC148"/>
      <c r="AD148"/>
      <c r="AE148" s="2"/>
      <c r="AI148"/>
      <c r="AL148"/>
      <c r="AO148"/>
    </row>
    <row r="149" spans="2:41" x14ac:dyDescent="0.25">
      <c r="B149"/>
      <c r="C149"/>
      <c r="D149"/>
      <c r="E149"/>
      <c r="F149"/>
      <c r="G149"/>
      <c r="H149"/>
      <c r="I149"/>
      <c r="J149"/>
      <c r="K149" s="8"/>
      <c r="L149" s="8"/>
      <c r="M149" s="8"/>
      <c r="N149"/>
      <c r="O149"/>
      <c r="P149" s="2"/>
      <c r="Q149"/>
      <c r="R149"/>
      <c r="S149"/>
      <c r="T149"/>
      <c r="AC149"/>
      <c r="AD149"/>
      <c r="AE149" s="2"/>
      <c r="AI149"/>
      <c r="AL149"/>
      <c r="AO149"/>
    </row>
    <row r="150" spans="2:41" x14ac:dyDescent="0.25">
      <c r="B150"/>
      <c r="C150"/>
      <c r="D150"/>
      <c r="E150"/>
      <c r="F150"/>
      <c r="G150"/>
      <c r="H150"/>
      <c r="I150"/>
      <c r="J150"/>
      <c r="K150" s="8"/>
      <c r="L150" s="8"/>
      <c r="M150" s="8"/>
      <c r="N150"/>
      <c r="O150"/>
      <c r="P150" s="2"/>
      <c r="Q150"/>
      <c r="R150"/>
      <c r="S150"/>
      <c r="T150"/>
      <c r="AC150"/>
      <c r="AD150"/>
      <c r="AE150" s="2"/>
      <c r="AI150"/>
      <c r="AL150"/>
      <c r="AO150"/>
    </row>
    <row r="151" spans="2:41" x14ac:dyDescent="0.25">
      <c r="B151"/>
      <c r="C151"/>
      <c r="D151"/>
      <c r="E151"/>
      <c r="F151"/>
      <c r="G151"/>
      <c r="H151"/>
      <c r="I151"/>
      <c r="J151"/>
      <c r="K151" s="8"/>
      <c r="L151" s="8"/>
      <c r="M151" s="8"/>
      <c r="N151"/>
      <c r="O151"/>
      <c r="P151" s="2"/>
      <c r="Q151"/>
      <c r="R151"/>
      <c r="S151"/>
      <c r="T151"/>
      <c r="AC151"/>
      <c r="AD151"/>
      <c r="AE151" s="2"/>
      <c r="AI151"/>
      <c r="AL151"/>
      <c r="AO151"/>
    </row>
    <row r="152" spans="2:41" x14ac:dyDescent="0.25">
      <c r="B152"/>
      <c r="C152"/>
      <c r="D152"/>
      <c r="E152"/>
      <c r="F152"/>
      <c r="G152"/>
      <c r="H152"/>
      <c r="I152"/>
      <c r="J152"/>
      <c r="K152" s="8"/>
      <c r="L152" s="8"/>
      <c r="M152" s="8"/>
      <c r="N152"/>
      <c r="O152"/>
      <c r="P152" s="2"/>
      <c r="Q152"/>
      <c r="R152"/>
      <c r="S152"/>
      <c r="T152"/>
      <c r="AC152"/>
      <c r="AD152"/>
      <c r="AE152" s="2"/>
      <c r="AI152"/>
      <c r="AL152"/>
      <c r="AO152"/>
    </row>
    <row r="153" spans="2:41" x14ac:dyDescent="0.25">
      <c r="B153"/>
      <c r="C153"/>
      <c r="D153"/>
      <c r="E153"/>
      <c r="F153"/>
      <c r="G153"/>
      <c r="H153"/>
      <c r="I153"/>
      <c r="J153"/>
      <c r="K153" s="8"/>
      <c r="L153" s="8"/>
      <c r="M153" s="8"/>
      <c r="N153"/>
      <c r="O153"/>
      <c r="P153" s="2"/>
      <c r="Q153"/>
      <c r="R153"/>
      <c r="S153"/>
      <c r="T153"/>
      <c r="AC153"/>
      <c r="AD153"/>
      <c r="AE153" s="2"/>
      <c r="AI153"/>
      <c r="AL153"/>
      <c r="AO153"/>
    </row>
    <row r="154" spans="2:41" x14ac:dyDescent="0.25">
      <c r="B154"/>
      <c r="C154"/>
      <c r="D154"/>
      <c r="E154"/>
      <c r="F154"/>
      <c r="G154"/>
      <c r="H154"/>
      <c r="I154"/>
      <c r="J154"/>
      <c r="K154" s="8"/>
      <c r="L154" s="8"/>
      <c r="M154" s="8"/>
      <c r="N154"/>
      <c r="O154"/>
      <c r="P154" s="2"/>
      <c r="Q154"/>
      <c r="R154"/>
      <c r="S154"/>
      <c r="T154"/>
      <c r="AC154"/>
      <c r="AD154"/>
      <c r="AE154" s="2"/>
      <c r="AI154"/>
      <c r="AL154"/>
      <c r="AO154"/>
    </row>
    <row r="155" spans="2:41" x14ac:dyDescent="0.25">
      <c r="B155"/>
      <c r="C155"/>
      <c r="D155"/>
      <c r="E155"/>
      <c r="F155"/>
      <c r="G155"/>
      <c r="H155"/>
      <c r="I155"/>
      <c r="J155"/>
      <c r="K155" s="8"/>
      <c r="L155" s="8"/>
      <c r="M155" s="8"/>
      <c r="N155"/>
      <c r="O155"/>
      <c r="P155" s="2"/>
      <c r="Q155"/>
      <c r="R155"/>
      <c r="S155"/>
      <c r="T155"/>
      <c r="AC155"/>
      <c r="AD155"/>
      <c r="AE155" s="2"/>
      <c r="AI155"/>
      <c r="AL155"/>
      <c r="AO155"/>
    </row>
    <row r="156" spans="2:41" x14ac:dyDescent="0.25">
      <c r="B156"/>
      <c r="C156"/>
      <c r="D156"/>
      <c r="E156"/>
      <c r="F156"/>
      <c r="G156"/>
      <c r="H156"/>
      <c r="I156"/>
      <c r="J156"/>
      <c r="K156" s="8"/>
      <c r="L156" s="8"/>
      <c r="M156" s="8"/>
      <c r="N156"/>
      <c r="O156"/>
      <c r="P156" s="2"/>
      <c r="Q156"/>
      <c r="R156"/>
      <c r="S156"/>
      <c r="T156"/>
      <c r="AC156"/>
      <c r="AD156"/>
      <c r="AE156" s="2"/>
      <c r="AI156"/>
      <c r="AL156"/>
      <c r="AO156"/>
    </row>
    <row r="157" spans="2:41" x14ac:dyDescent="0.25">
      <c r="B157"/>
      <c r="C157"/>
      <c r="D157"/>
      <c r="E157"/>
      <c r="F157"/>
      <c r="G157"/>
      <c r="H157"/>
      <c r="I157"/>
      <c r="J157"/>
      <c r="K157" s="8"/>
      <c r="L157" s="8"/>
      <c r="M157" s="8"/>
      <c r="N157"/>
      <c r="O157"/>
      <c r="P157" s="2"/>
      <c r="Q157"/>
      <c r="R157"/>
      <c r="S157"/>
      <c r="T157"/>
      <c r="AC157"/>
      <c r="AD157"/>
      <c r="AE157" s="2"/>
      <c r="AI157"/>
      <c r="AL157"/>
      <c r="AO157"/>
    </row>
    <row r="158" spans="2:41" x14ac:dyDescent="0.25">
      <c r="B158"/>
      <c r="C158"/>
      <c r="D158"/>
      <c r="E158"/>
      <c r="F158"/>
      <c r="G158"/>
      <c r="H158"/>
      <c r="I158"/>
      <c r="J158"/>
      <c r="K158" s="8"/>
      <c r="L158" s="8"/>
      <c r="M158" s="8"/>
      <c r="N158"/>
      <c r="O158"/>
      <c r="P158" s="2"/>
      <c r="Q158"/>
      <c r="R158"/>
      <c r="S158"/>
      <c r="T158"/>
      <c r="AC158"/>
      <c r="AD158"/>
      <c r="AE158" s="2"/>
      <c r="AI158"/>
      <c r="AL158"/>
      <c r="AO158"/>
    </row>
    <row r="159" spans="2:41" x14ac:dyDescent="0.25">
      <c r="B159"/>
      <c r="C159"/>
      <c r="D159"/>
      <c r="E159"/>
      <c r="F159"/>
      <c r="G159"/>
      <c r="H159"/>
      <c r="I159"/>
      <c r="J159"/>
      <c r="K159" s="8"/>
      <c r="L159" s="8"/>
      <c r="M159" s="8"/>
      <c r="N159"/>
      <c r="O159"/>
      <c r="P159" s="2"/>
      <c r="Q159"/>
      <c r="R159"/>
      <c r="AC159"/>
      <c r="AD159"/>
      <c r="AE159" s="2"/>
      <c r="AI159"/>
      <c r="AL159"/>
      <c r="AO159"/>
    </row>
    <row r="160" spans="2:41" x14ac:dyDescent="0.25">
      <c r="B160"/>
      <c r="C160"/>
      <c r="D160"/>
      <c r="E160"/>
      <c r="F160"/>
      <c r="G160"/>
      <c r="H160"/>
      <c r="I160"/>
      <c r="J160"/>
      <c r="K160" s="8"/>
      <c r="L160" s="8"/>
      <c r="M160" s="8"/>
      <c r="N160"/>
      <c r="O160"/>
      <c r="P160" s="2"/>
      <c r="Q160"/>
      <c r="R160"/>
      <c r="AC160"/>
      <c r="AD160"/>
      <c r="AE160" s="2"/>
      <c r="AI160"/>
      <c r="AL160"/>
      <c r="AO160"/>
    </row>
    <row r="161" spans="2:41" x14ac:dyDescent="0.25">
      <c r="B161"/>
      <c r="C161"/>
      <c r="D161"/>
      <c r="E161"/>
      <c r="F161"/>
      <c r="G161"/>
      <c r="H161"/>
      <c r="I161"/>
      <c r="J161"/>
      <c r="K161" s="8"/>
      <c r="L161" s="8"/>
      <c r="M161" s="8"/>
      <c r="N161"/>
      <c r="O161"/>
      <c r="P161" s="2"/>
      <c r="Q161"/>
      <c r="R161"/>
      <c r="AC161"/>
      <c r="AD161"/>
      <c r="AE161" s="2"/>
      <c r="AI161"/>
      <c r="AL161"/>
      <c r="AO161"/>
    </row>
    <row r="162" spans="2:41" x14ac:dyDescent="0.25">
      <c r="B162"/>
      <c r="C162"/>
      <c r="D162"/>
      <c r="E162" s="2"/>
      <c r="F162" s="2"/>
      <c r="G162" s="2"/>
      <c r="H162"/>
      <c r="I162"/>
      <c r="J162"/>
      <c r="K162" s="2"/>
      <c r="L162" s="2"/>
      <c r="M162" s="2"/>
      <c r="N162"/>
      <c r="O162"/>
      <c r="P162" s="2"/>
      <c r="Q162"/>
      <c r="R162"/>
      <c r="AC162"/>
      <c r="AD162"/>
      <c r="AE162" s="2"/>
      <c r="AI162"/>
      <c r="AL162"/>
      <c r="AO162"/>
    </row>
    <row r="163" spans="2:41" x14ac:dyDescent="0.25">
      <c r="B163"/>
      <c r="C163"/>
      <c r="D163"/>
      <c r="E163" s="2"/>
      <c r="F163" s="2"/>
      <c r="G163" s="2"/>
      <c r="H163"/>
      <c r="I163"/>
      <c r="J163"/>
      <c r="K163" s="2"/>
      <c r="L163" s="2"/>
      <c r="M163" s="2"/>
      <c r="N163"/>
      <c r="O163"/>
      <c r="P163" s="2"/>
      <c r="Q163"/>
      <c r="R163"/>
      <c r="AC163"/>
      <c r="AD163"/>
      <c r="AE163" s="2"/>
      <c r="AI163"/>
      <c r="AL163"/>
      <c r="AO163"/>
    </row>
    <row r="164" spans="2:41" x14ac:dyDescent="0.25">
      <c r="B164"/>
      <c r="C164"/>
      <c r="D164"/>
      <c r="E164" s="2"/>
      <c r="F164" s="2"/>
      <c r="G164" s="2"/>
      <c r="H164"/>
      <c r="I164"/>
      <c r="J164"/>
      <c r="K164" s="2"/>
      <c r="L164" s="2"/>
      <c r="M164" s="2"/>
      <c r="N164"/>
      <c r="O164"/>
      <c r="P164" s="2"/>
      <c r="Q164"/>
      <c r="R164"/>
      <c r="AC164"/>
      <c r="AD164"/>
      <c r="AE164" s="2"/>
    </row>
    <row r="165" spans="2:41" x14ac:dyDescent="0.25">
      <c r="B165"/>
      <c r="C165"/>
      <c r="D165"/>
      <c r="E165" s="2"/>
      <c r="F165" s="2"/>
      <c r="G165" s="2"/>
      <c r="H165"/>
      <c r="I165"/>
      <c r="J165"/>
      <c r="K165" s="2"/>
      <c r="L165" s="2"/>
      <c r="M165" s="2"/>
      <c r="N165"/>
      <c r="O165"/>
      <c r="P165" s="2"/>
      <c r="Q165"/>
      <c r="R165"/>
      <c r="AC165"/>
      <c r="AD165"/>
      <c r="AE165" s="2"/>
    </row>
    <row r="166" spans="2:41" x14ac:dyDescent="0.25">
      <c r="B166"/>
      <c r="C166"/>
      <c r="D166"/>
      <c r="E166" s="2"/>
      <c r="F166" s="2"/>
      <c r="G166" s="2"/>
      <c r="H166"/>
      <c r="I166"/>
      <c r="J166"/>
      <c r="K166" s="2"/>
      <c r="L166" s="2"/>
      <c r="M166" s="2"/>
      <c r="N166"/>
      <c r="O166"/>
      <c r="P166" s="2"/>
      <c r="Q166"/>
      <c r="R166"/>
      <c r="AC166"/>
      <c r="AD166"/>
      <c r="AE166" s="2"/>
    </row>
    <row r="167" spans="2:41" x14ac:dyDescent="0.25">
      <c r="B167"/>
      <c r="C167"/>
      <c r="D167"/>
      <c r="E167" s="2"/>
      <c r="F167" s="2"/>
      <c r="G167" s="2"/>
      <c r="H167"/>
      <c r="I167"/>
      <c r="J167"/>
      <c r="K167" s="2"/>
      <c r="L167" s="2"/>
      <c r="M167" s="2"/>
      <c r="N167"/>
      <c r="O167"/>
      <c r="P167" s="2"/>
      <c r="Q167"/>
      <c r="R167"/>
      <c r="AC167"/>
      <c r="AD167"/>
      <c r="AE167" s="2"/>
    </row>
    <row r="168" spans="2:41" x14ac:dyDescent="0.25">
      <c r="B168"/>
      <c r="C168"/>
      <c r="D168"/>
      <c r="E168" s="2"/>
      <c r="F168" s="2"/>
      <c r="G168" s="2"/>
      <c r="H168"/>
      <c r="I168"/>
      <c r="J168"/>
      <c r="K168" s="2"/>
      <c r="L168" s="2"/>
      <c r="M168" s="2"/>
      <c r="N168"/>
      <c r="O168"/>
      <c r="P168" s="2"/>
      <c r="Q168"/>
      <c r="R168"/>
      <c r="AC168"/>
      <c r="AD168"/>
      <c r="AE168" s="2"/>
    </row>
    <row r="169" spans="2:41" x14ac:dyDescent="0.25">
      <c r="B169"/>
      <c r="C169"/>
      <c r="D169"/>
      <c r="E169" s="2"/>
      <c r="F169" s="2"/>
      <c r="G169" s="2"/>
      <c r="H169"/>
      <c r="I169"/>
      <c r="J169"/>
      <c r="K169" s="2"/>
      <c r="L169" s="2"/>
      <c r="M169" s="2"/>
      <c r="N169"/>
      <c r="O169"/>
      <c r="P169" s="2"/>
      <c r="Q169"/>
      <c r="R169"/>
      <c r="AC169"/>
      <c r="AD169"/>
      <c r="AE169" s="2"/>
    </row>
    <row r="170" spans="2:41" x14ac:dyDescent="0.25">
      <c r="B170"/>
      <c r="C170"/>
      <c r="D170"/>
      <c r="E170" s="2"/>
      <c r="F170" s="2"/>
      <c r="G170" s="2"/>
      <c r="H170"/>
      <c r="I170"/>
      <c r="J170"/>
      <c r="K170" s="2"/>
      <c r="L170" s="2"/>
      <c r="M170" s="2"/>
      <c r="N170"/>
      <c r="O170"/>
      <c r="P170" s="2"/>
      <c r="Q170"/>
      <c r="R170"/>
      <c r="AC170"/>
      <c r="AD170"/>
      <c r="AE170" s="2"/>
    </row>
    <row r="171" spans="2:41" x14ac:dyDescent="0.25">
      <c r="B171"/>
      <c r="C171"/>
      <c r="D171"/>
      <c r="E171" s="2"/>
      <c r="F171" s="2"/>
      <c r="G171" s="2"/>
      <c r="H171"/>
      <c r="I171"/>
      <c r="J171"/>
      <c r="K171" s="2"/>
      <c r="L171" s="2"/>
      <c r="M171" s="2"/>
      <c r="N171"/>
      <c r="O171"/>
      <c r="P171" s="2"/>
      <c r="Q171"/>
      <c r="R171"/>
      <c r="AC171"/>
      <c r="AD171"/>
      <c r="AE171" s="2"/>
    </row>
    <row r="172" spans="2:41" x14ac:dyDescent="0.25">
      <c r="B172"/>
      <c r="C172"/>
      <c r="D172"/>
      <c r="E172" s="2"/>
      <c r="F172" s="2"/>
      <c r="G172" s="2"/>
      <c r="H172"/>
      <c r="I172"/>
      <c r="J172"/>
      <c r="K172" s="2"/>
      <c r="L172" s="2"/>
      <c r="M172" s="2"/>
      <c r="N172"/>
      <c r="O172"/>
      <c r="P172" s="2"/>
      <c r="Q172"/>
      <c r="R172"/>
      <c r="AC172"/>
      <c r="AD172"/>
      <c r="AE172" s="2"/>
    </row>
    <row r="173" spans="2:41" x14ac:dyDescent="0.25">
      <c r="B173"/>
      <c r="C173"/>
      <c r="D173"/>
      <c r="E173" s="2"/>
      <c r="F173" s="2"/>
      <c r="G173" s="2"/>
      <c r="H173"/>
      <c r="I173"/>
      <c r="J173"/>
      <c r="K173" s="2"/>
      <c r="L173" s="2"/>
      <c r="M173" s="2"/>
      <c r="N173"/>
      <c r="O173"/>
      <c r="P173" s="2"/>
      <c r="Q173"/>
      <c r="R173"/>
      <c r="AC173"/>
      <c r="AD173"/>
      <c r="AE173" s="2"/>
    </row>
    <row r="174" spans="2:41" x14ac:dyDescent="0.25">
      <c r="B174"/>
      <c r="C174"/>
      <c r="D174"/>
      <c r="E174" s="2"/>
      <c r="F174" s="2"/>
      <c r="G174" s="2"/>
      <c r="H174"/>
      <c r="I174"/>
      <c r="J174"/>
      <c r="K174" s="2"/>
      <c r="L174" s="2"/>
      <c r="M174" s="2"/>
      <c r="N174"/>
      <c r="O174"/>
      <c r="P174" s="2"/>
      <c r="Q174"/>
      <c r="R174"/>
      <c r="AC174"/>
      <c r="AD174"/>
      <c r="AE174" s="2"/>
    </row>
    <row r="175" spans="2:41" x14ac:dyDescent="0.25">
      <c r="B175"/>
      <c r="C175"/>
      <c r="D175"/>
      <c r="E175" s="2"/>
      <c r="F175" s="2"/>
      <c r="G175" s="2"/>
      <c r="H175"/>
      <c r="I175"/>
      <c r="J175"/>
      <c r="K175" s="2"/>
      <c r="L175" s="2"/>
      <c r="M175" s="2"/>
      <c r="N175"/>
      <c r="O175"/>
      <c r="P175" s="2"/>
      <c r="Q175"/>
      <c r="R175"/>
      <c r="AC175"/>
      <c r="AD175"/>
      <c r="AE175" s="2"/>
    </row>
    <row r="176" spans="2:41" x14ac:dyDescent="0.25">
      <c r="B176"/>
      <c r="C176"/>
      <c r="D176"/>
      <c r="E176" s="2"/>
      <c r="F176" s="2"/>
      <c r="G176" s="2"/>
      <c r="H176"/>
      <c r="I176"/>
      <c r="J176"/>
      <c r="K176" s="2"/>
      <c r="L176" s="2"/>
      <c r="M176" s="2"/>
      <c r="N176"/>
      <c r="O176"/>
      <c r="P176" s="2"/>
      <c r="Q176"/>
      <c r="R176"/>
      <c r="AC176"/>
      <c r="AD176"/>
      <c r="AE176" s="2"/>
    </row>
    <row r="177" spans="2:31" x14ac:dyDescent="0.25">
      <c r="B177"/>
      <c r="C177"/>
      <c r="D177"/>
      <c r="E177" s="2"/>
      <c r="F177" s="2"/>
      <c r="G177" s="2"/>
      <c r="H177"/>
      <c r="I177"/>
      <c r="J177"/>
      <c r="K177" s="2"/>
      <c r="L177" s="2"/>
      <c r="M177" s="2"/>
      <c r="N177"/>
      <c r="O177"/>
      <c r="P177" s="2"/>
      <c r="Q177"/>
      <c r="R177"/>
      <c r="AC177"/>
      <c r="AD177"/>
      <c r="AE177" s="2"/>
    </row>
    <row r="178" spans="2:31" x14ac:dyDescent="0.25">
      <c r="B178"/>
      <c r="C178"/>
      <c r="D178"/>
      <c r="E178" s="2"/>
      <c r="F178" s="2"/>
      <c r="G178" s="2"/>
      <c r="H178"/>
      <c r="I178"/>
      <c r="J178"/>
      <c r="K178" s="2"/>
      <c r="L178" s="2"/>
      <c r="M178" s="2"/>
      <c r="N178"/>
      <c r="O178"/>
      <c r="P178" s="2"/>
      <c r="Q178"/>
      <c r="R178"/>
      <c r="AC178"/>
      <c r="AD178"/>
      <c r="AE178" s="2"/>
    </row>
    <row r="179" spans="2:31" x14ac:dyDescent="0.25">
      <c r="B179"/>
      <c r="C179"/>
      <c r="D179"/>
      <c r="E179" s="2"/>
      <c r="F179" s="2"/>
      <c r="G179" s="2"/>
      <c r="H179"/>
      <c r="I179"/>
      <c r="J179"/>
      <c r="K179" s="2"/>
      <c r="L179" s="2"/>
      <c r="M179" s="2"/>
      <c r="N179"/>
      <c r="O179"/>
      <c r="P179" s="2"/>
      <c r="Q179"/>
      <c r="R179"/>
      <c r="AC179"/>
      <c r="AD179"/>
      <c r="AE179" s="2"/>
    </row>
    <row r="180" spans="2:31" x14ac:dyDescent="0.25">
      <c r="B180"/>
      <c r="C180"/>
      <c r="D180"/>
      <c r="E180" s="2"/>
      <c r="F180" s="2"/>
      <c r="G180" s="2"/>
      <c r="H180"/>
      <c r="I180"/>
      <c r="J180"/>
      <c r="K180" s="2"/>
      <c r="L180" s="2"/>
      <c r="M180" s="2"/>
      <c r="N180"/>
      <c r="O180"/>
      <c r="P180" s="2"/>
      <c r="Q180"/>
      <c r="R180"/>
      <c r="AC180"/>
      <c r="AD180"/>
      <c r="AE180" s="2"/>
    </row>
    <row r="181" spans="2:31" x14ac:dyDescent="0.25">
      <c r="B181"/>
      <c r="C181"/>
      <c r="D181"/>
      <c r="E181" s="2"/>
      <c r="F181" s="2"/>
      <c r="G181" s="2"/>
      <c r="H181"/>
      <c r="I181"/>
      <c r="J181"/>
      <c r="K181" s="2"/>
      <c r="L181" s="2"/>
      <c r="M181" s="2"/>
      <c r="N181"/>
      <c r="O181"/>
      <c r="P181" s="2"/>
      <c r="Q181"/>
      <c r="R181"/>
      <c r="AC181"/>
      <c r="AD181"/>
      <c r="AE181" s="2"/>
    </row>
    <row r="182" spans="2:31" x14ac:dyDescent="0.25">
      <c r="B182"/>
      <c r="C182"/>
      <c r="D182"/>
      <c r="E182" s="2"/>
      <c r="F182" s="2"/>
      <c r="G182" s="2"/>
      <c r="H182"/>
      <c r="I182"/>
      <c r="J182"/>
      <c r="K182" s="2"/>
      <c r="L182" s="2"/>
      <c r="M182" s="2"/>
      <c r="N182"/>
      <c r="O182"/>
      <c r="P182" s="2"/>
      <c r="Q182"/>
      <c r="R182"/>
      <c r="AC182"/>
      <c r="AD182"/>
      <c r="AE182" s="2"/>
    </row>
    <row r="183" spans="2:31" x14ac:dyDescent="0.25">
      <c r="B183"/>
      <c r="C183"/>
      <c r="D183"/>
      <c r="E183" s="2"/>
      <c r="F183" s="2"/>
      <c r="G183" s="2"/>
      <c r="H183"/>
      <c r="I183"/>
      <c r="J183"/>
      <c r="K183" s="2"/>
      <c r="L183" s="2"/>
      <c r="M183" s="2"/>
      <c r="N183"/>
      <c r="O183"/>
      <c r="P183" s="2"/>
      <c r="Q183"/>
      <c r="R183"/>
      <c r="AC183"/>
      <c r="AD183"/>
      <c r="AE183" s="2"/>
    </row>
    <row r="184" spans="2:31" x14ac:dyDescent="0.25">
      <c r="B184"/>
      <c r="C184"/>
      <c r="D184"/>
      <c r="E184" s="2"/>
      <c r="F184" s="2"/>
      <c r="G184" s="2"/>
      <c r="H184"/>
      <c r="I184"/>
      <c r="J184"/>
      <c r="K184" s="2"/>
      <c r="L184" s="2"/>
      <c r="M184" s="2"/>
      <c r="N184"/>
      <c r="O184"/>
      <c r="P184" s="2"/>
      <c r="Q184"/>
      <c r="R184"/>
      <c r="AC184"/>
      <c r="AD184"/>
      <c r="AE184" s="2"/>
    </row>
    <row r="185" spans="2:31" x14ac:dyDescent="0.25">
      <c r="B185"/>
      <c r="C185"/>
      <c r="D185"/>
      <c r="E185" s="2"/>
      <c r="F185" s="2"/>
      <c r="G185" s="2"/>
      <c r="H185"/>
      <c r="I185"/>
      <c r="J185"/>
      <c r="K185" s="2"/>
      <c r="L185" s="2"/>
      <c r="M185" s="2"/>
      <c r="N185"/>
      <c r="O185"/>
      <c r="P185" s="2"/>
      <c r="Q185"/>
      <c r="R185"/>
      <c r="AC185"/>
      <c r="AD185"/>
      <c r="AE185" s="2"/>
    </row>
    <row r="186" spans="2:31" x14ac:dyDescent="0.25">
      <c r="B186"/>
      <c r="C186"/>
      <c r="D186"/>
      <c r="E186" s="2"/>
      <c r="F186" s="2"/>
      <c r="G186" s="2"/>
      <c r="H186"/>
      <c r="I186"/>
      <c r="J186"/>
      <c r="K186" s="2"/>
      <c r="L186" s="2"/>
      <c r="M186" s="2"/>
      <c r="N186"/>
      <c r="O186"/>
      <c r="P186" s="2"/>
      <c r="Q186"/>
      <c r="R186"/>
      <c r="AC186"/>
      <c r="AD186"/>
      <c r="AE186" s="2"/>
    </row>
    <row r="187" spans="2:31" x14ac:dyDescent="0.25">
      <c r="B187"/>
      <c r="C187"/>
      <c r="D187"/>
      <c r="E187" s="2"/>
      <c r="F187" s="2"/>
      <c r="G187" s="2"/>
      <c r="H187"/>
      <c r="I187"/>
      <c r="J187"/>
      <c r="K187" s="2"/>
      <c r="L187" s="2"/>
      <c r="M187" s="2"/>
      <c r="N187"/>
      <c r="O187"/>
      <c r="P187" s="2"/>
      <c r="Q187"/>
      <c r="R187"/>
      <c r="AC187"/>
      <c r="AD187"/>
      <c r="AE187" s="2"/>
    </row>
    <row r="188" spans="2:31" x14ac:dyDescent="0.25">
      <c r="B188"/>
      <c r="C188"/>
      <c r="D188"/>
      <c r="E188" s="2"/>
      <c r="F188" s="2"/>
      <c r="G188" s="2"/>
      <c r="H188"/>
      <c r="I188"/>
      <c r="J188"/>
      <c r="K188" s="2"/>
      <c r="L188" s="2"/>
      <c r="M188" s="2"/>
      <c r="N188"/>
      <c r="O188"/>
      <c r="P188" s="2"/>
      <c r="Q188"/>
      <c r="R188"/>
      <c r="AC188"/>
      <c r="AD188"/>
      <c r="AE188" s="2"/>
    </row>
    <row r="189" spans="2:31" x14ac:dyDescent="0.25">
      <c r="B189"/>
      <c r="C189"/>
      <c r="D189"/>
      <c r="E189" s="2"/>
      <c r="F189" s="2"/>
      <c r="G189" s="2"/>
      <c r="H189"/>
      <c r="I189"/>
      <c r="J189"/>
      <c r="K189" s="2"/>
      <c r="L189" s="2"/>
      <c r="M189" s="2"/>
      <c r="N189"/>
      <c r="O189"/>
      <c r="P189" s="2"/>
      <c r="Q189"/>
      <c r="R189"/>
      <c r="AC189"/>
      <c r="AD189"/>
      <c r="AE189" s="2"/>
    </row>
    <row r="190" spans="2:31" x14ac:dyDescent="0.25">
      <c r="B190"/>
      <c r="C190"/>
      <c r="D190"/>
      <c r="E190" s="2"/>
      <c r="F190" s="2"/>
      <c r="G190" s="2"/>
      <c r="H190"/>
      <c r="I190"/>
      <c r="J190"/>
      <c r="K190" s="2"/>
      <c r="L190" s="2"/>
      <c r="M190" s="2"/>
      <c r="N190"/>
      <c r="O190"/>
      <c r="P190" s="2"/>
      <c r="Q190"/>
      <c r="R190"/>
      <c r="AC190"/>
      <c r="AD190"/>
      <c r="AE190" s="2"/>
    </row>
    <row r="191" spans="2:31" x14ac:dyDescent="0.25">
      <c r="B191"/>
      <c r="C191"/>
      <c r="D191"/>
      <c r="E191" s="2"/>
      <c r="F191" s="2"/>
      <c r="G191" s="2"/>
      <c r="H191"/>
      <c r="I191"/>
      <c r="J191"/>
      <c r="K191" s="2"/>
      <c r="L191" s="2"/>
      <c r="M191" s="2"/>
      <c r="N191"/>
      <c r="O191"/>
      <c r="P191" s="2"/>
      <c r="Q191"/>
      <c r="R191"/>
      <c r="AC191"/>
      <c r="AD191"/>
      <c r="AE191" s="2"/>
    </row>
    <row r="192" spans="2:31" x14ac:dyDescent="0.25">
      <c r="B192"/>
      <c r="C192"/>
      <c r="D192"/>
      <c r="E192" s="2"/>
      <c r="F192" s="2"/>
      <c r="G192" s="2"/>
      <c r="H192"/>
      <c r="I192"/>
      <c r="J192"/>
      <c r="K192" s="2"/>
      <c r="L192" s="2"/>
      <c r="M192" s="2"/>
      <c r="N192"/>
      <c r="O192"/>
      <c r="P192" s="2"/>
      <c r="Q192"/>
      <c r="R192"/>
      <c r="AC192"/>
      <c r="AD192"/>
      <c r="AE192" s="2"/>
    </row>
    <row r="193" spans="2:31" x14ac:dyDescent="0.25">
      <c r="B193"/>
      <c r="C193"/>
      <c r="D193"/>
      <c r="E193" s="2"/>
      <c r="F193" s="2"/>
      <c r="G193" s="2"/>
      <c r="H193"/>
      <c r="I193"/>
      <c r="J193"/>
      <c r="K193" s="2"/>
      <c r="L193" s="2"/>
      <c r="M193" s="2"/>
      <c r="N193"/>
      <c r="O193"/>
      <c r="P193" s="2"/>
      <c r="Q193"/>
      <c r="R193"/>
      <c r="AC193"/>
      <c r="AD193"/>
      <c r="AE193" s="2"/>
    </row>
    <row r="194" spans="2:31" x14ac:dyDescent="0.25">
      <c r="B194"/>
      <c r="C194"/>
      <c r="D194"/>
      <c r="E194" s="2"/>
      <c r="F194" s="2"/>
      <c r="G194" s="2"/>
      <c r="H194"/>
      <c r="I194"/>
      <c r="J194"/>
      <c r="K194" s="2"/>
      <c r="L194" s="2"/>
      <c r="M194" s="2"/>
      <c r="N194"/>
      <c r="O194"/>
      <c r="P194" s="2"/>
      <c r="Q194"/>
      <c r="R194"/>
      <c r="AC194"/>
      <c r="AD194"/>
      <c r="AE194" s="2"/>
    </row>
    <row r="195" spans="2:31" x14ac:dyDescent="0.25">
      <c r="B195"/>
      <c r="C195"/>
      <c r="D195"/>
      <c r="E195" s="2"/>
      <c r="F195" s="2"/>
      <c r="G195" s="2"/>
      <c r="H195"/>
      <c r="I195"/>
      <c r="J195"/>
      <c r="K195" s="2"/>
      <c r="L195" s="2"/>
      <c r="M195" s="2"/>
      <c r="N195"/>
      <c r="O195"/>
      <c r="P195" s="2"/>
      <c r="Q195"/>
      <c r="R195"/>
      <c r="AC195"/>
      <c r="AD195"/>
      <c r="AE195" s="2"/>
    </row>
    <row r="196" spans="2:31" x14ac:dyDescent="0.25">
      <c r="B196"/>
      <c r="C196"/>
      <c r="D196"/>
      <c r="E196" s="2"/>
      <c r="F196" s="2"/>
      <c r="G196" s="2"/>
      <c r="H196"/>
      <c r="I196"/>
      <c r="J196"/>
      <c r="K196" s="2"/>
      <c r="L196" s="2"/>
      <c r="M196" s="2"/>
      <c r="N196"/>
      <c r="O196"/>
      <c r="P196" s="2"/>
      <c r="Q196"/>
      <c r="R196"/>
      <c r="AC196"/>
      <c r="AD196"/>
      <c r="AE196" s="2"/>
    </row>
    <row r="197" spans="2:31" x14ac:dyDescent="0.25">
      <c r="B197"/>
      <c r="C197"/>
      <c r="D197"/>
      <c r="E197" s="2"/>
      <c r="F197" s="2"/>
      <c r="G197" s="2"/>
      <c r="H197"/>
      <c r="I197"/>
      <c r="J197"/>
      <c r="K197" s="2"/>
      <c r="L197" s="2"/>
      <c r="M197" s="2"/>
      <c r="N197"/>
      <c r="O197"/>
      <c r="P197" s="2"/>
      <c r="Q197"/>
      <c r="R197"/>
      <c r="AC197"/>
      <c r="AD197"/>
      <c r="AE197" s="2"/>
    </row>
    <row r="198" spans="2:31" x14ac:dyDescent="0.25">
      <c r="B198"/>
      <c r="C198"/>
      <c r="D198"/>
      <c r="E198" s="2"/>
      <c r="F198" s="2"/>
      <c r="G198" s="2"/>
      <c r="H198"/>
      <c r="I198"/>
      <c r="J198"/>
      <c r="K198" s="2"/>
      <c r="L198" s="2"/>
      <c r="M198" s="2"/>
      <c r="N198"/>
      <c r="O198"/>
      <c r="P198" s="2"/>
      <c r="Q198"/>
      <c r="R198"/>
      <c r="AC198"/>
      <c r="AD198"/>
      <c r="AE198" s="2"/>
    </row>
    <row r="199" spans="2:31" x14ac:dyDescent="0.25">
      <c r="B199"/>
      <c r="C199"/>
      <c r="D199"/>
      <c r="E199" s="2"/>
      <c r="F199" s="2"/>
      <c r="G199" s="2"/>
      <c r="H199"/>
      <c r="I199"/>
      <c r="J199"/>
      <c r="K199" s="2"/>
      <c r="L199" s="2"/>
      <c r="M199" s="2"/>
      <c r="N199"/>
      <c r="O199"/>
      <c r="P199" s="2"/>
      <c r="Q199"/>
      <c r="R199"/>
      <c r="AC199"/>
      <c r="AD199"/>
      <c r="AE199" s="2"/>
    </row>
    <row r="200" spans="2:31" x14ac:dyDescent="0.25">
      <c r="B200"/>
      <c r="C200"/>
      <c r="D200"/>
      <c r="E200" s="2"/>
      <c r="F200" s="2"/>
      <c r="G200" s="2"/>
      <c r="H200"/>
      <c r="I200"/>
      <c r="J200"/>
      <c r="K200" s="2"/>
      <c r="L200" s="2"/>
      <c r="M200" s="2"/>
      <c r="N200"/>
      <c r="O200"/>
      <c r="P200" s="2"/>
      <c r="Q200"/>
      <c r="R200"/>
      <c r="AC200"/>
      <c r="AD200"/>
      <c r="AE200" s="2"/>
    </row>
    <row r="201" spans="2:31" x14ac:dyDescent="0.25">
      <c r="B201"/>
      <c r="C201"/>
      <c r="D201"/>
      <c r="E201" s="2"/>
      <c r="F201" s="2"/>
      <c r="G201" s="2"/>
      <c r="H201"/>
      <c r="I201"/>
      <c r="J201"/>
      <c r="K201" s="2"/>
      <c r="L201" s="2"/>
      <c r="M201" s="2"/>
      <c r="N201"/>
      <c r="O201"/>
      <c r="P201" s="2"/>
      <c r="Q201"/>
      <c r="R201"/>
      <c r="AC201"/>
      <c r="AD201"/>
      <c r="AE201" s="2"/>
    </row>
    <row r="202" spans="2:31" x14ac:dyDescent="0.25">
      <c r="B202"/>
      <c r="C202"/>
      <c r="D202"/>
      <c r="E202" s="2"/>
      <c r="F202" s="2"/>
      <c r="G202" s="2"/>
      <c r="H202"/>
      <c r="I202"/>
      <c r="J202"/>
      <c r="K202" s="2"/>
      <c r="L202" s="2"/>
      <c r="M202" s="2"/>
      <c r="N202"/>
      <c r="O202"/>
      <c r="P202" s="2"/>
      <c r="Q202"/>
      <c r="R202"/>
      <c r="AC202"/>
      <c r="AD202"/>
      <c r="AE202" s="2"/>
    </row>
    <row r="203" spans="2:31" x14ac:dyDescent="0.25">
      <c r="B203"/>
      <c r="C203"/>
      <c r="D203"/>
      <c r="E203" s="2"/>
      <c r="F203" s="2"/>
      <c r="G203" s="2"/>
      <c r="H203"/>
      <c r="I203"/>
      <c r="J203"/>
      <c r="K203" s="2"/>
      <c r="L203" s="2"/>
      <c r="M203" s="2"/>
      <c r="N203"/>
      <c r="O203"/>
      <c r="P203" s="2"/>
      <c r="Q203"/>
      <c r="R203"/>
      <c r="AC203"/>
      <c r="AD203"/>
      <c r="AE203" s="2"/>
    </row>
    <row r="204" spans="2:31" x14ac:dyDescent="0.25">
      <c r="B204"/>
      <c r="C204"/>
      <c r="D204"/>
      <c r="E204" s="2"/>
      <c r="F204" s="2"/>
      <c r="G204" s="2"/>
      <c r="H204"/>
      <c r="I204"/>
      <c r="J204"/>
      <c r="K204" s="2"/>
      <c r="L204" s="2"/>
      <c r="M204" s="2"/>
      <c r="N204"/>
      <c r="O204"/>
      <c r="P204" s="2"/>
      <c r="Q204"/>
      <c r="R204"/>
      <c r="AC204"/>
      <c r="AD204"/>
      <c r="AE204" s="2"/>
    </row>
    <row r="205" spans="2:31" x14ac:dyDescent="0.25">
      <c r="B205"/>
      <c r="C205"/>
      <c r="D205"/>
      <c r="E205" s="2"/>
      <c r="F205" s="2"/>
      <c r="G205" s="2"/>
      <c r="H205"/>
      <c r="I205"/>
      <c r="J205"/>
      <c r="K205" s="2"/>
      <c r="L205" s="2"/>
      <c r="M205" s="2"/>
      <c r="N205"/>
      <c r="O205"/>
      <c r="P205" s="2"/>
      <c r="Q205"/>
      <c r="R205"/>
      <c r="AC205"/>
      <c r="AD205"/>
      <c r="AE205" s="2"/>
    </row>
    <row r="206" spans="2:31" x14ac:dyDescent="0.25">
      <c r="B206"/>
      <c r="C206"/>
      <c r="D206"/>
      <c r="E206" s="2"/>
      <c r="F206" s="2"/>
      <c r="G206" s="2"/>
      <c r="H206"/>
      <c r="I206"/>
      <c r="J206"/>
      <c r="K206" s="2"/>
      <c r="L206" s="2"/>
      <c r="M206" s="2"/>
      <c r="N206"/>
      <c r="O206"/>
      <c r="P206" s="2"/>
      <c r="Q206"/>
      <c r="R206"/>
      <c r="AC206"/>
      <c r="AD206"/>
      <c r="AE206" s="2"/>
    </row>
    <row r="207" spans="2:31" x14ac:dyDescent="0.25">
      <c r="B207"/>
      <c r="C207"/>
      <c r="D207"/>
      <c r="E207" s="2"/>
      <c r="F207" s="2"/>
      <c r="G207" s="2"/>
      <c r="H207"/>
      <c r="I207"/>
      <c r="J207"/>
      <c r="K207" s="2"/>
      <c r="L207" s="2"/>
      <c r="M207" s="2"/>
      <c r="N207"/>
      <c r="O207"/>
      <c r="P207" s="2"/>
      <c r="Q207"/>
      <c r="R207"/>
      <c r="AC207"/>
      <c r="AD207"/>
      <c r="AE207" s="2"/>
    </row>
    <row r="208" spans="2:31" x14ac:dyDescent="0.25">
      <c r="B208"/>
      <c r="C208"/>
      <c r="D208"/>
      <c r="E208" s="2"/>
      <c r="F208" s="2"/>
      <c r="G208" s="2"/>
      <c r="H208"/>
      <c r="I208"/>
      <c r="J208"/>
      <c r="K208" s="2"/>
      <c r="L208" s="2"/>
      <c r="M208" s="2"/>
      <c r="N208"/>
      <c r="O208"/>
      <c r="P208" s="2"/>
      <c r="Q208"/>
      <c r="R208"/>
      <c r="AC208"/>
      <c r="AD208"/>
      <c r="AE208" s="2"/>
    </row>
    <row r="209" spans="2:31" x14ac:dyDescent="0.25">
      <c r="B209"/>
      <c r="C209"/>
      <c r="D209"/>
      <c r="E209" s="2"/>
      <c r="F209" s="2"/>
      <c r="G209" s="2"/>
      <c r="H209"/>
      <c r="I209"/>
      <c r="J209"/>
      <c r="K209" s="2"/>
      <c r="L209" s="2"/>
      <c r="M209" s="2"/>
      <c r="N209"/>
      <c r="O209"/>
      <c r="P209" s="2"/>
      <c r="Q209"/>
      <c r="R209"/>
      <c r="AC209"/>
      <c r="AD209"/>
      <c r="AE209" s="2"/>
    </row>
    <row r="210" spans="2:31" x14ac:dyDescent="0.25">
      <c r="B210"/>
      <c r="C210"/>
      <c r="D210"/>
      <c r="E210" s="2"/>
      <c r="F210" s="2"/>
      <c r="G210" s="2"/>
      <c r="H210"/>
      <c r="I210"/>
      <c r="J210"/>
      <c r="K210" s="2"/>
      <c r="L210" s="2"/>
      <c r="M210" s="2"/>
      <c r="N210"/>
      <c r="O210"/>
      <c r="P210" s="2"/>
      <c r="Q210"/>
      <c r="R210"/>
      <c r="AC210"/>
      <c r="AD210"/>
      <c r="AE210" s="2"/>
    </row>
    <row r="211" spans="2:31" x14ac:dyDescent="0.25">
      <c r="B211"/>
      <c r="C211"/>
      <c r="D211"/>
      <c r="E211" s="2"/>
      <c r="F211" s="2"/>
      <c r="G211" s="2"/>
      <c r="H211"/>
      <c r="I211"/>
      <c r="J211"/>
      <c r="K211" s="2"/>
      <c r="L211" s="2"/>
      <c r="M211" s="2"/>
      <c r="N211"/>
      <c r="O211"/>
      <c r="P211" s="2"/>
      <c r="Q211"/>
      <c r="R211"/>
      <c r="AC211"/>
      <c r="AD211"/>
      <c r="AE211" s="2"/>
    </row>
    <row r="212" spans="2:31" x14ac:dyDescent="0.25">
      <c r="B212"/>
      <c r="C212"/>
      <c r="D212"/>
      <c r="E212" s="2"/>
      <c r="F212" s="2"/>
      <c r="G212" s="2"/>
      <c r="H212"/>
      <c r="I212"/>
      <c r="J212"/>
      <c r="K212" s="2"/>
      <c r="L212" s="2"/>
      <c r="M212" s="2"/>
      <c r="N212"/>
      <c r="O212"/>
      <c r="P212" s="2"/>
      <c r="Q212"/>
      <c r="R212"/>
      <c r="AC212"/>
      <c r="AD212"/>
      <c r="AE212" s="2"/>
    </row>
    <row r="213" spans="2:31" x14ac:dyDescent="0.25">
      <c r="B213"/>
      <c r="C213"/>
      <c r="D213"/>
      <c r="E213" s="2"/>
      <c r="F213" s="2"/>
      <c r="G213" s="2"/>
      <c r="H213"/>
      <c r="I213"/>
      <c r="J213"/>
      <c r="K213" s="2"/>
      <c r="L213" s="2"/>
      <c r="M213" s="2"/>
      <c r="N213"/>
      <c r="O213"/>
      <c r="P213" s="2"/>
      <c r="Q213"/>
      <c r="R213"/>
      <c r="AC213"/>
      <c r="AD213"/>
      <c r="AE213" s="2"/>
    </row>
    <row r="214" spans="2:31" x14ac:dyDescent="0.25">
      <c r="B214"/>
      <c r="C214"/>
      <c r="D214"/>
      <c r="E214" s="2"/>
      <c r="F214" s="2"/>
      <c r="G214" s="2"/>
      <c r="H214"/>
      <c r="I214"/>
      <c r="J214"/>
      <c r="K214" s="2"/>
      <c r="L214" s="2"/>
      <c r="M214" s="2"/>
      <c r="N214"/>
      <c r="O214"/>
      <c r="P214" s="2"/>
      <c r="Q214"/>
      <c r="R214"/>
      <c r="AC214"/>
      <c r="AD214"/>
      <c r="AE214" s="2"/>
    </row>
    <row r="215" spans="2:31" x14ac:dyDescent="0.25">
      <c r="B215"/>
      <c r="C215"/>
      <c r="D215"/>
      <c r="E215" s="2"/>
      <c r="F215" s="2"/>
      <c r="G215" s="2"/>
      <c r="H215"/>
      <c r="I215"/>
      <c r="J215"/>
      <c r="K215" s="2"/>
      <c r="L215" s="2"/>
      <c r="M215" s="2"/>
      <c r="N215"/>
      <c r="O215"/>
      <c r="P215" s="2"/>
      <c r="Q215"/>
      <c r="R215"/>
      <c r="AC215"/>
      <c r="AD215"/>
      <c r="AE215" s="2"/>
    </row>
    <row r="216" spans="2:31" x14ac:dyDescent="0.25">
      <c r="B216"/>
      <c r="C216"/>
      <c r="D216"/>
      <c r="E216" s="2"/>
      <c r="F216" s="2"/>
      <c r="G216" s="2"/>
      <c r="H216"/>
      <c r="I216"/>
      <c r="J216"/>
      <c r="K216" s="2"/>
      <c r="L216" s="2"/>
      <c r="M216" s="2"/>
      <c r="N216"/>
      <c r="O216"/>
      <c r="P216" s="2"/>
      <c r="Q216"/>
      <c r="R216"/>
      <c r="AC216"/>
      <c r="AD216"/>
      <c r="AE216" s="2"/>
    </row>
    <row r="217" spans="2:31" x14ac:dyDescent="0.25">
      <c r="B217"/>
      <c r="C217"/>
      <c r="D217"/>
      <c r="E217" s="2"/>
      <c r="F217" s="2"/>
      <c r="G217" s="2"/>
      <c r="H217"/>
      <c r="I217"/>
      <c r="J217"/>
      <c r="K217" s="2"/>
      <c r="L217" s="2"/>
      <c r="M217" s="2"/>
      <c r="N217"/>
      <c r="O217"/>
      <c r="P217" s="2"/>
      <c r="Q217"/>
      <c r="R217"/>
      <c r="AC217"/>
      <c r="AD217"/>
      <c r="AE217" s="2"/>
    </row>
    <row r="218" spans="2:31" x14ac:dyDescent="0.25">
      <c r="B218"/>
      <c r="C218"/>
      <c r="D218"/>
      <c r="E218" s="2"/>
      <c r="F218" s="2"/>
      <c r="G218" s="2"/>
      <c r="H218"/>
      <c r="I218"/>
      <c r="J218"/>
      <c r="K218" s="2"/>
      <c r="L218" s="2"/>
      <c r="M218" s="2"/>
      <c r="N218"/>
      <c r="O218"/>
      <c r="P218" s="2"/>
      <c r="Q218"/>
      <c r="R218"/>
      <c r="AC218"/>
      <c r="AD218"/>
      <c r="AE218" s="2"/>
    </row>
    <row r="219" spans="2:31" x14ac:dyDescent="0.25">
      <c r="B219"/>
      <c r="C219"/>
      <c r="D219"/>
      <c r="E219" s="2"/>
      <c r="F219" s="2"/>
      <c r="G219" s="2"/>
      <c r="H219"/>
      <c r="I219"/>
      <c r="J219"/>
      <c r="K219" s="2"/>
      <c r="L219" s="2"/>
      <c r="M219" s="2"/>
      <c r="N219"/>
      <c r="O219"/>
      <c r="P219" s="2"/>
      <c r="Q219"/>
      <c r="R219"/>
      <c r="AC219"/>
      <c r="AD219"/>
      <c r="AE219" s="2"/>
    </row>
    <row r="220" spans="2:31" x14ac:dyDescent="0.25">
      <c r="B220"/>
      <c r="C220"/>
      <c r="D220"/>
      <c r="E220" s="2"/>
      <c r="F220" s="2"/>
      <c r="G220" s="2"/>
      <c r="H220"/>
      <c r="I220"/>
      <c r="J220"/>
      <c r="K220" s="2"/>
      <c r="L220" s="2"/>
      <c r="M220" s="2"/>
      <c r="N220"/>
      <c r="O220"/>
      <c r="P220" s="2"/>
      <c r="Q220"/>
      <c r="R220"/>
      <c r="AC220"/>
      <c r="AD220"/>
      <c r="AE220" s="2"/>
    </row>
    <row r="221" spans="2:31" x14ac:dyDescent="0.25">
      <c r="B221"/>
      <c r="C221"/>
      <c r="D221"/>
      <c r="E221" s="2"/>
      <c r="F221" s="2"/>
      <c r="G221" s="2"/>
      <c r="H221"/>
      <c r="I221"/>
      <c r="J221"/>
      <c r="K221" s="2"/>
      <c r="L221" s="2"/>
      <c r="M221" s="2"/>
      <c r="N221"/>
      <c r="O221"/>
      <c r="P221" s="2"/>
      <c r="Q221"/>
      <c r="R221"/>
      <c r="AC221"/>
      <c r="AD221"/>
      <c r="AE221" s="2"/>
    </row>
    <row r="222" spans="2:31" x14ac:dyDescent="0.25">
      <c r="B222"/>
      <c r="C222"/>
      <c r="D222"/>
      <c r="E222" s="2"/>
      <c r="F222" s="2"/>
      <c r="G222" s="2"/>
      <c r="H222"/>
      <c r="I222"/>
      <c r="J222"/>
      <c r="K222" s="2"/>
      <c r="L222" s="2"/>
      <c r="M222" s="2"/>
      <c r="N222"/>
      <c r="O222"/>
      <c r="P222" s="2"/>
      <c r="Q222"/>
      <c r="R222"/>
      <c r="AC222"/>
      <c r="AD222"/>
      <c r="AE222" s="2"/>
    </row>
    <row r="223" spans="2:31" x14ac:dyDescent="0.25">
      <c r="B223"/>
      <c r="C223"/>
      <c r="D223"/>
      <c r="E223" s="2"/>
      <c r="F223" s="2"/>
      <c r="G223" s="2"/>
      <c r="H223"/>
      <c r="I223"/>
      <c r="J223"/>
      <c r="K223" s="2"/>
      <c r="L223" s="2"/>
      <c r="M223" s="2"/>
      <c r="N223"/>
      <c r="O223"/>
      <c r="P223" s="2"/>
      <c r="Q223"/>
      <c r="R223"/>
      <c r="AC223"/>
      <c r="AD223"/>
      <c r="AE223" s="2"/>
    </row>
    <row r="224" spans="2:31" x14ac:dyDescent="0.25">
      <c r="B224"/>
      <c r="C224"/>
      <c r="D224"/>
      <c r="E224" s="2"/>
      <c r="F224" s="2"/>
      <c r="G224" s="2"/>
      <c r="H224"/>
      <c r="I224"/>
      <c r="J224"/>
      <c r="K224" s="2"/>
      <c r="L224" s="2"/>
      <c r="M224" s="2"/>
      <c r="N224"/>
      <c r="O224"/>
      <c r="P224" s="2"/>
      <c r="Q224"/>
      <c r="R224"/>
      <c r="AC224"/>
      <c r="AD224"/>
      <c r="AE224" s="2"/>
    </row>
    <row r="225" spans="2:31" x14ac:dyDescent="0.25">
      <c r="B225"/>
      <c r="C225"/>
      <c r="D225"/>
      <c r="E225" s="2"/>
      <c r="F225" s="2"/>
      <c r="G225" s="2"/>
      <c r="H225"/>
      <c r="I225"/>
      <c r="J225"/>
      <c r="K225" s="2"/>
      <c r="L225" s="2"/>
      <c r="M225" s="2"/>
      <c r="N225"/>
      <c r="O225"/>
      <c r="P225" s="2"/>
      <c r="Q225"/>
      <c r="R225"/>
      <c r="AC225"/>
      <c r="AD225"/>
      <c r="AE225" s="2"/>
    </row>
    <row r="226" spans="2:31" x14ac:dyDescent="0.25">
      <c r="B226"/>
      <c r="C226"/>
      <c r="D226"/>
      <c r="E226" s="2"/>
      <c r="F226" s="2"/>
      <c r="G226" s="2"/>
      <c r="H226"/>
      <c r="I226"/>
      <c r="J226"/>
      <c r="K226" s="2"/>
      <c r="L226" s="2"/>
      <c r="M226" s="2"/>
      <c r="N226"/>
      <c r="O226"/>
      <c r="P226" s="2"/>
      <c r="Q226"/>
      <c r="R226"/>
      <c r="AC226"/>
      <c r="AD226"/>
      <c r="AE226" s="2"/>
    </row>
    <row r="227" spans="2:31" x14ac:dyDescent="0.25">
      <c r="B227"/>
      <c r="C227"/>
      <c r="D227"/>
      <c r="E227" s="2"/>
      <c r="F227" s="2"/>
      <c r="G227" s="2"/>
      <c r="H227"/>
      <c r="I227"/>
      <c r="J227"/>
      <c r="K227" s="2"/>
      <c r="L227" s="2"/>
      <c r="M227" s="2"/>
      <c r="N227"/>
      <c r="O227"/>
      <c r="P227" s="2"/>
      <c r="Q227"/>
      <c r="R227"/>
      <c r="AC227"/>
      <c r="AD227"/>
      <c r="AE227" s="2"/>
    </row>
    <row r="228" spans="2:31" x14ac:dyDescent="0.25">
      <c r="B228"/>
      <c r="C228"/>
      <c r="D228"/>
      <c r="E228" s="2"/>
      <c r="F228" s="2"/>
      <c r="G228" s="2"/>
      <c r="H228"/>
      <c r="I228"/>
      <c r="J228"/>
      <c r="K228" s="2"/>
      <c r="L228" s="2"/>
      <c r="M228" s="2"/>
      <c r="N228"/>
      <c r="O228"/>
      <c r="P228" s="2"/>
      <c r="Q228"/>
      <c r="R228"/>
      <c r="AC228"/>
      <c r="AD228"/>
      <c r="AE228" s="2"/>
    </row>
    <row r="229" spans="2:31" x14ac:dyDescent="0.25">
      <c r="B229"/>
      <c r="C229"/>
      <c r="D229"/>
      <c r="E229" s="2"/>
      <c r="F229" s="2"/>
      <c r="G229" s="2"/>
      <c r="H229"/>
      <c r="I229"/>
      <c r="J229"/>
      <c r="K229" s="2"/>
      <c r="L229" s="2"/>
      <c r="M229" s="2"/>
      <c r="N229"/>
      <c r="O229"/>
      <c r="P229" s="2"/>
      <c r="Q229"/>
      <c r="R229"/>
      <c r="AC229"/>
      <c r="AD229"/>
      <c r="AE229" s="2"/>
    </row>
    <row r="230" spans="2:31" x14ac:dyDescent="0.25">
      <c r="B230"/>
      <c r="C230"/>
      <c r="D230"/>
      <c r="E230" s="2"/>
      <c r="F230" s="2"/>
      <c r="G230" s="2"/>
      <c r="H230"/>
      <c r="I230"/>
      <c r="J230"/>
      <c r="K230" s="2"/>
      <c r="L230" s="2"/>
      <c r="M230" s="2"/>
      <c r="N230"/>
      <c r="O230"/>
      <c r="P230" s="2"/>
      <c r="Q230"/>
      <c r="R230"/>
      <c r="AC230"/>
      <c r="AD230"/>
      <c r="AE230" s="2"/>
    </row>
    <row r="231" spans="2:31" x14ac:dyDescent="0.25">
      <c r="B231"/>
      <c r="C231"/>
      <c r="D231"/>
      <c r="E231" s="2"/>
      <c r="F231" s="2"/>
      <c r="G231" s="2"/>
      <c r="H231"/>
      <c r="I231"/>
      <c r="J231"/>
      <c r="K231" s="2"/>
      <c r="L231" s="2"/>
      <c r="M231" s="2"/>
      <c r="N231"/>
      <c r="O231"/>
      <c r="P231" s="2"/>
      <c r="Q231"/>
      <c r="R231"/>
      <c r="AC231"/>
      <c r="AD231"/>
      <c r="AE231" s="2"/>
    </row>
    <row r="232" spans="2:31" x14ac:dyDescent="0.25">
      <c r="B232"/>
      <c r="C232"/>
      <c r="D232"/>
      <c r="E232" s="2"/>
      <c r="F232" s="2"/>
      <c r="G232" s="2"/>
      <c r="H232"/>
      <c r="I232"/>
      <c r="J232"/>
      <c r="K232" s="2"/>
      <c r="L232" s="2"/>
      <c r="M232" s="2"/>
      <c r="N232"/>
      <c r="O232"/>
      <c r="P232" s="2"/>
      <c r="Q232"/>
      <c r="R232"/>
      <c r="AC232"/>
      <c r="AD232"/>
      <c r="AE232" s="2"/>
    </row>
    <row r="233" spans="2:31" x14ac:dyDescent="0.25">
      <c r="B233"/>
      <c r="C233"/>
      <c r="D233"/>
      <c r="E233" s="2"/>
      <c r="F233" s="2"/>
      <c r="G233" s="2"/>
      <c r="H233"/>
      <c r="I233"/>
      <c r="J233"/>
      <c r="K233" s="2"/>
      <c r="L233" s="2"/>
      <c r="M233" s="2"/>
      <c r="N233"/>
      <c r="O233"/>
      <c r="P233" s="2"/>
      <c r="Q233"/>
      <c r="R233"/>
      <c r="AC233"/>
      <c r="AD233"/>
      <c r="AE233" s="2"/>
    </row>
    <row r="234" spans="2:31" x14ac:dyDescent="0.25">
      <c r="B234"/>
      <c r="C234"/>
      <c r="D234"/>
      <c r="E234" s="2"/>
      <c r="F234" s="2"/>
      <c r="G234" s="2"/>
      <c r="H234"/>
      <c r="I234"/>
      <c r="J234"/>
      <c r="K234" s="2"/>
      <c r="L234" s="2"/>
      <c r="M234" s="2"/>
      <c r="N234"/>
      <c r="O234"/>
      <c r="P234" s="2"/>
      <c r="Q234"/>
      <c r="R234"/>
      <c r="AC234"/>
      <c r="AD234"/>
      <c r="AE234" s="2"/>
    </row>
    <row r="235" spans="2:31" x14ac:dyDescent="0.25">
      <c r="B235"/>
      <c r="C235"/>
      <c r="D235"/>
      <c r="E235" s="2"/>
      <c r="F235" s="2"/>
      <c r="G235" s="2"/>
      <c r="H235"/>
      <c r="I235"/>
      <c r="J235"/>
      <c r="K235" s="2"/>
      <c r="L235" s="2"/>
      <c r="M235" s="2"/>
      <c r="N235"/>
      <c r="O235"/>
      <c r="P235" s="2"/>
      <c r="Q235"/>
      <c r="R235"/>
      <c r="AC235"/>
      <c r="AD235"/>
      <c r="AE235" s="2"/>
    </row>
    <row r="236" spans="2:31" x14ac:dyDescent="0.25">
      <c r="B236"/>
      <c r="C236"/>
      <c r="D236"/>
      <c r="E236" s="2"/>
      <c r="F236" s="2"/>
      <c r="G236" s="2"/>
      <c r="H236"/>
      <c r="I236"/>
      <c r="J236"/>
      <c r="K236" s="2"/>
      <c r="L236" s="2"/>
      <c r="M236" s="2"/>
      <c r="N236"/>
      <c r="O236"/>
      <c r="P236" s="2"/>
      <c r="Q236"/>
      <c r="R236"/>
      <c r="AC236"/>
      <c r="AD236"/>
      <c r="AE236" s="2"/>
    </row>
    <row r="237" spans="2:31" x14ac:dyDescent="0.25">
      <c r="B237"/>
      <c r="C237"/>
      <c r="D237"/>
      <c r="E237" s="2"/>
      <c r="F237" s="2"/>
      <c r="G237" s="2"/>
      <c r="H237"/>
      <c r="I237"/>
      <c r="J237"/>
      <c r="K237" s="2"/>
      <c r="L237" s="2"/>
      <c r="M237" s="2"/>
      <c r="N237"/>
      <c r="O237"/>
      <c r="P237" s="2"/>
      <c r="Q237"/>
      <c r="R237"/>
      <c r="AC237"/>
      <c r="AD237"/>
      <c r="AE237" s="2"/>
    </row>
    <row r="238" spans="2:31" x14ac:dyDescent="0.25">
      <c r="B238"/>
      <c r="C238"/>
      <c r="D238"/>
      <c r="E238" s="2"/>
      <c r="F238" s="2"/>
      <c r="G238" s="2"/>
      <c r="H238"/>
      <c r="I238"/>
      <c r="J238"/>
      <c r="K238" s="2"/>
      <c r="L238" s="2"/>
      <c r="M238" s="2"/>
      <c r="N238"/>
      <c r="O238"/>
      <c r="P238" s="2"/>
      <c r="Q238"/>
      <c r="R238"/>
      <c r="AC238"/>
      <c r="AD238"/>
      <c r="AE238" s="2"/>
    </row>
    <row r="239" spans="2:31" x14ac:dyDescent="0.25">
      <c r="B239"/>
      <c r="C239"/>
      <c r="D239"/>
      <c r="E239" s="2"/>
      <c r="F239" s="2"/>
      <c r="G239" s="2"/>
      <c r="H239"/>
      <c r="I239"/>
      <c r="J239"/>
      <c r="K239" s="2"/>
      <c r="L239" s="2"/>
      <c r="M239" s="2"/>
      <c r="N239"/>
      <c r="O239"/>
      <c r="P239" s="2"/>
      <c r="Q239"/>
      <c r="R239"/>
      <c r="AC239"/>
      <c r="AD239"/>
      <c r="AE239" s="2"/>
    </row>
    <row r="240" spans="2:31" x14ac:dyDescent="0.25">
      <c r="B240"/>
      <c r="C240"/>
      <c r="D240"/>
      <c r="E240" s="2"/>
      <c r="F240" s="2"/>
      <c r="G240" s="2"/>
      <c r="H240"/>
      <c r="I240"/>
      <c r="J240"/>
      <c r="K240" s="2"/>
      <c r="L240" s="2"/>
      <c r="M240" s="2"/>
      <c r="N240"/>
      <c r="O240"/>
      <c r="P240" s="2"/>
      <c r="Q240"/>
      <c r="R240"/>
      <c r="AC240"/>
      <c r="AD240"/>
      <c r="AE240" s="2"/>
    </row>
    <row r="241" spans="2:31" x14ac:dyDescent="0.25">
      <c r="B241"/>
      <c r="C241"/>
      <c r="D241"/>
      <c r="E241" s="2"/>
      <c r="F241" s="2"/>
      <c r="G241" s="2"/>
      <c r="H241"/>
      <c r="I241"/>
      <c r="J241"/>
      <c r="K241" s="2"/>
      <c r="L241" s="2"/>
      <c r="M241" s="2"/>
      <c r="N241"/>
      <c r="O241"/>
      <c r="P241" s="2"/>
      <c r="Q241"/>
      <c r="R241"/>
      <c r="AC241"/>
      <c r="AD241"/>
      <c r="AE241" s="2"/>
    </row>
    <row r="242" spans="2:31" x14ac:dyDescent="0.25">
      <c r="B242"/>
      <c r="C242"/>
      <c r="D242"/>
      <c r="E242" s="2"/>
      <c r="F242" s="2"/>
      <c r="G242" s="2"/>
      <c r="H242"/>
      <c r="I242"/>
      <c r="J242"/>
      <c r="K242" s="2"/>
      <c r="L242" s="2"/>
      <c r="M242" s="2"/>
      <c r="N242"/>
      <c r="O242"/>
      <c r="P242" s="2"/>
      <c r="Q242"/>
      <c r="R242"/>
      <c r="AC242"/>
      <c r="AD242"/>
      <c r="AE242" s="2"/>
    </row>
    <row r="243" spans="2:31" x14ac:dyDescent="0.25">
      <c r="B243"/>
      <c r="C243"/>
      <c r="D243"/>
      <c r="E243" s="2"/>
      <c r="F243" s="2"/>
      <c r="G243" s="2"/>
      <c r="H243"/>
      <c r="I243"/>
      <c r="J243"/>
      <c r="K243" s="2"/>
      <c r="L243" s="2"/>
      <c r="M243" s="2"/>
      <c r="N243"/>
      <c r="O243"/>
      <c r="P243" s="2"/>
      <c r="Q243"/>
      <c r="R243"/>
      <c r="AC243"/>
      <c r="AD243"/>
      <c r="AE243" s="2"/>
    </row>
    <row r="244" spans="2:31" x14ac:dyDescent="0.25">
      <c r="B244"/>
      <c r="C244"/>
      <c r="D244"/>
      <c r="E244" s="2"/>
      <c r="F244" s="2"/>
      <c r="G244" s="2"/>
      <c r="H244"/>
      <c r="I244"/>
      <c r="J244"/>
      <c r="K244" s="2"/>
      <c r="L244" s="2"/>
      <c r="M244" s="2"/>
      <c r="N244"/>
      <c r="O244"/>
      <c r="P244" s="2"/>
      <c r="Q244"/>
      <c r="R244"/>
      <c r="AC244"/>
      <c r="AD244"/>
      <c r="AE244" s="2"/>
    </row>
    <row r="245" spans="2:31" x14ac:dyDescent="0.25">
      <c r="B245"/>
      <c r="C245"/>
      <c r="D245"/>
      <c r="E245" s="2"/>
      <c r="F245" s="2"/>
      <c r="G245" s="2"/>
      <c r="H245"/>
      <c r="I245"/>
      <c r="J245"/>
      <c r="K245" s="2"/>
      <c r="L245" s="2"/>
      <c r="M245" s="2"/>
      <c r="N245"/>
      <c r="O245"/>
      <c r="P245" s="2"/>
      <c r="Q245"/>
      <c r="R245"/>
      <c r="AC245"/>
      <c r="AD245"/>
      <c r="AE245" s="2"/>
    </row>
    <row r="246" spans="2:31" x14ac:dyDescent="0.25">
      <c r="B246"/>
      <c r="C246"/>
      <c r="D246"/>
      <c r="E246" s="2"/>
      <c r="F246" s="2"/>
      <c r="G246" s="2"/>
      <c r="H246"/>
      <c r="I246"/>
      <c r="J246"/>
      <c r="K246" s="2"/>
      <c r="L246" s="2"/>
      <c r="M246" s="2"/>
      <c r="N246"/>
      <c r="O246"/>
      <c r="P246" s="2"/>
      <c r="Q246"/>
      <c r="R246"/>
      <c r="AC246"/>
      <c r="AD246"/>
      <c r="AE246" s="2"/>
    </row>
    <row r="247" spans="2:31" x14ac:dyDescent="0.25">
      <c r="B247"/>
      <c r="C247"/>
      <c r="D247"/>
      <c r="E247" s="2"/>
      <c r="F247" s="2"/>
      <c r="G247" s="2"/>
      <c r="H247"/>
      <c r="I247"/>
      <c r="J247"/>
      <c r="K247" s="2"/>
      <c r="L247" s="2"/>
      <c r="M247" s="2"/>
      <c r="N247"/>
      <c r="O247"/>
      <c r="P247" s="2"/>
      <c r="Q247"/>
      <c r="R247"/>
      <c r="AC247"/>
      <c r="AD247"/>
      <c r="AE247" s="2"/>
    </row>
    <row r="248" spans="2:31" x14ac:dyDescent="0.25">
      <c r="B248"/>
      <c r="C248"/>
      <c r="D248"/>
      <c r="E248" s="2"/>
      <c r="F248" s="2"/>
      <c r="G248" s="2"/>
      <c r="H248"/>
      <c r="I248"/>
      <c r="J248"/>
      <c r="K248" s="2"/>
      <c r="L248" s="2"/>
      <c r="M248" s="2"/>
      <c r="N248"/>
      <c r="O248"/>
      <c r="P248" s="2"/>
      <c r="Q248"/>
      <c r="R248"/>
      <c r="AC248"/>
      <c r="AD248"/>
      <c r="AE248" s="2"/>
    </row>
    <row r="249" spans="2:31" x14ac:dyDescent="0.25">
      <c r="B249"/>
      <c r="C249"/>
      <c r="D249"/>
      <c r="E249" s="2"/>
      <c r="F249" s="2"/>
      <c r="G249" s="2"/>
      <c r="H249"/>
      <c r="I249"/>
      <c r="J249"/>
      <c r="K249" s="2"/>
      <c r="L249" s="2"/>
      <c r="M249" s="2"/>
      <c r="N249"/>
      <c r="O249"/>
      <c r="P249" s="2"/>
      <c r="Q249"/>
      <c r="R249"/>
      <c r="AC249"/>
      <c r="AD249"/>
      <c r="AE249" s="2"/>
    </row>
    <row r="250" spans="2:31" x14ac:dyDescent="0.25">
      <c r="B250"/>
      <c r="C250"/>
      <c r="D250"/>
      <c r="E250" s="2"/>
      <c r="F250" s="2"/>
      <c r="G250" s="2"/>
      <c r="H250"/>
      <c r="I250"/>
      <c r="J250"/>
      <c r="K250" s="2"/>
      <c r="L250" s="2"/>
      <c r="M250" s="2"/>
      <c r="N250"/>
      <c r="O250"/>
      <c r="P250" s="2"/>
      <c r="Q250"/>
      <c r="R250"/>
      <c r="AC250"/>
      <c r="AD250"/>
      <c r="AE250" s="2"/>
    </row>
    <row r="251" spans="2:31" x14ac:dyDescent="0.25">
      <c r="B251"/>
      <c r="C251"/>
      <c r="D251"/>
      <c r="E251" s="2"/>
      <c r="F251" s="2"/>
      <c r="G251" s="2"/>
      <c r="H251"/>
      <c r="I251"/>
      <c r="J251"/>
      <c r="K251" s="2"/>
      <c r="L251" s="2"/>
      <c r="M251" s="2"/>
      <c r="N251"/>
      <c r="O251"/>
      <c r="P251" s="2"/>
      <c r="Q251"/>
      <c r="R251"/>
      <c r="AC251"/>
      <c r="AD251"/>
      <c r="AE251" s="2"/>
    </row>
    <row r="252" spans="2:31" x14ac:dyDescent="0.25">
      <c r="B252"/>
      <c r="C252"/>
      <c r="D252"/>
      <c r="E252" s="2"/>
      <c r="F252" s="2"/>
      <c r="G252" s="2"/>
      <c r="H252"/>
      <c r="I252"/>
      <c r="J252"/>
      <c r="K252" s="2"/>
      <c r="L252" s="2"/>
      <c r="M252" s="2"/>
      <c r="N252"/>
      <c r="O252"/>
      <c r="P252" s="2"/>
      <c r="Q252"/>
      <c r="R252"/>
      <c r="AC252"/>
      <c r="AD252"/>
      <c r="AE252" s="2"/>
    </row>
    <row r="253" spans="2:31" x14ac:dyDescent="0.25">
      <c r="B253"/>
      <c r="C253"/>
      <c r="D253"/>
      <c r="E253" s="2"/>
      <c r="F253" s="2"/>
      <c r="G253" s="2"/>
      <c r="H253"/>
      <c r="I253"/>
      <c r="J253"/>
      <c r="K253" s="2"/>
      <c r="L253" s="2"/>
      <c r="M253" s="2"/>
      <c r="N253"/>
      <c r="O253"/>
      <c r="P253" s="2"/>
      <c r="Q253"/>
      <c r="R253"/>
      <c r="AC253"/>
      <c r="AD253"/>
      <c r="AE253" s="2"/>
    </row>
    <row r="254" spans="2:31" x14ac:dyDescent="0.25">
      <c r="B254"/>
      <c r="C254"/>
      <c r="D254"/>
      <c r="E254" s="2"/>
      <c r="F254" s="2"/>
      <c r="G254" s="2"/>
      <c r="H254"/>
      <c r="I254"/>
      <c r="J254"/>
      <c r="K254" s="2"/>
      <c r="L254" s="2"/>
      <c r="M254" s="2"/>
      <c r="N254"/>
      <c r="O254"/>
      <c r="P254" s="2"/>
      <c r="Q254"/>
      <c r="R254"/>
      <c r="AC254"/>
      <c r="AD254"/>
      <c r="AE254" s="2"/>
    </row>
    <row r="255" spans="2:31" x14ac:dyDescent="0.25">
      <c r="B255"/>
      <c r="C255"/>
      <c r="D255"/>
      <c r="E255" s="2"/>
      <c r="F255" s="2"/>
      <c r="G255" s="2"/>
      <c r="H255"/>
      <c r="I255"/>
      <c r="J255"/>
      <c r="K255" s="2"/>
      <c r="L255" s="2"/>
      <c r="M255" s="2"/>
      <c r="N255"/>
      <c r="O255"/>
      <c r="P255" s="2"/>
      <c r="Q255"/>
      <c r="R255"/>
      <c r="AC255"/>
      <c r="AD255"/>
      <c r="AE255" s="2"/>
    </row>
    <row r="256" spans="2:31" x14ac:dyDescent="0.25">
      <c r="B256"/>
      <c r="C256"/>
      <c r="D256"/>
      <c r="E256" s="2"/>
      <c r="F256" s="2"/>
      <c r="G256" s="2"/>
      <c r="H256"/>
      <c r="I256"/>
      <c r="J256"/>
      <c r="K256" s="2"/>
      <c r="L256" s="2"/>
      <c r="M256" s="2"/>
      <c r="N256"/>
      <c r="O256"/>
      <c r="P256" s="2"/>
      <c r="Q256"/>
      <c r="R256"/>
      <c r="AC256"/>
      <c r="AD256"/>
      <c r="AE256" s="2"/>
    </row>
    <row r="257" spans="2:31" x14ac:dyDescent="0.25">
      <c r="B257"/>
      <c r="C257"/>
      <c r="D257"/>
      <c r="E257" s="2"/>
      <c r="F257" s="2"/>
      <c r="G257" s="2"/>
      <c r="H257"/>
      <c r="I257"/>
      <c r="J257"/>
      <c r="K257" s="2"/>
      <c r="L257" s="2"/>
      <c r="M257" s="2"/>
      <c r="N257"/>
      <c r="O257"/>
      <c r="P257" s="2"/>
      <c r="Q257"/>
      <c r="R257"/>
      <c r="AC257"/>
      <c r="AD257"/>
      <c r="AE257" s="2"/>
    </row>
    <row r="258" spans="2:31" x14ac:dyDescent="0.25">
      <c r="B258"/>
      <c r="C258"/>
      <c r="D258"/>
      <c r="E258" s="2"/>
      <c r="F258" s="2"/>
      <c r="G258" s="2"/>
      <c r="H258"/>
      <c r="I258"/>
      <c r="J258"/>
      <c r="K258" s="2"/>
      <c r="L258" s="2"/>
      <c r="M258" s="2"/>
      <c r="N258"/>
      <c r="O258"/>
      <c r="P258" s="2"/>
      <c r="Q258"/>
      <c r="R258"/>
      <c r="AC258"/>
      <c r="AD258"/>
      <c r="AE258" s="2"/>
    </row>
    <row r="259" spans="2:31" x14ac:dyDescent="0.25">
      <c r="B259"/>
      <c r="C259"/>
      <c r="D259"/>
      <c r="E259" s="2"/>
      <c r="F259" s="2"/>
      <c r="G259" s="2"/>
      <c r="H259"/>
      <c r="I259"/>
      <c r="J259"/>
      <c r="K259" s="2"/>
      <c r="L259" s="2"/>
      <c r="M259" s="2"/>
      <c r="N259"/>
      <c r="O259"/>
      <c r="P259" s="2"/>
      <c r="Q259"/>
      <c r="R259"/>
      <c r="AC259"/>
      <c r="AD259"/>
      <c r="AE259" s="2"/>
    </row>
    <row r="260" spans="2:31" x14ac:dyDescent="0.25">
      <c r="B260"/>
      <c r="C260"/>
      <c r="D260"/>
      <c r="E260" s="2"/>
      <c r="F260" s="2"/>
      <c r="G260" s="2"/>
      <c r="H260"/>
      <c r="I260"/>
      <c r="J260"/>
      <c r="K260" s="2"/>
      <c r="L260" s="2"/>
      <c r="M260" s="2"/>
      <c r="N260"/>
      <c r="O260"/>
      <c r="P260" s="2"/>
      <c r="Q260"/>
      <c r="R260"/>
      <c r="AC260"/>
      <c r="AD260"/>
      <c r="AE260" s="2"/>
    </row>
    <row r="261" spans="2:31" x14ac:dyDescent="0.25">
      <c r="B261"/>
      <c r="C261"/>
      <c r="D261"/>
      <c r="E261" s="2"/>
      <c r="F261" s="2"/>
      <c r="G261" s="2"/>
      <c r="H261"/>
      <c r="I261"/>
      <c r="J261"/>
      <c r="K261" s="2"/>
      <c r="L261" s="2"/>
      <c r="M261" s="2"/>
      <c r="N261"/>
      <c r="O261"/>
      <c r="P261" s="2"/>
      <c r="Q261"/>
      <c r="R261"/>
      <c r="AC261"/>
      <c r="AD261"/>
      <c r="AE261" s="2"/>
    </row>
    <row r="262" spans="2:31" x14ac:dyDescent="0.25">
      <c r="B262"/>
      <c r="C262"/>
      <c r="D262"/>
      <c r="E262" s="2"/>
      <c r="F262" s="2"/>
      <c r="G262" s="2"/>
      <c r="H262"/>
      <c r="I262"/>
      <c r="J262"/>
      <c r="K262" s="2"/>
      <c r="L262" s="2"/>
      <c r="M262" s="2"/>
      <c r="N262"/>
      <c r="O262"/>
      <c r="P262" s="2"/>
      <c r="Q262"/>
      <c r="R262"/>
      <c r="AC262"/>
      <c r="AD262"/>
      <c r="AE262" s="2"/>
    </row>
    <row r="263" spans="2:31" x14ac:dyDescent="0.25">
      <c r="B263" s="10"/>
      <c r="C263" s="2"/>
      <c r="D263" s="2"/>
      <c r="E263" s="2"/>
      <c r="F263" s="2"/>
      <c r="G263" s="2"/>
      <c r="H263" s="10"/>
      <c r="I263" s="2"/>
      <c r="J263" s="2"/>
      <c r="K263" s="2"/>
      <c r="L263" s="2"/>
      <c r="M263" s="2"/>
      <c r="N263" s="10"/>
      <c r="O263" s="2"/>
      <c r="P263" s="2"/>
      <c r="Q263" s="10"/>
      <c r="R263" s="2"/>
      <c r="AC263" s="10"/>
      <c r="AD263" s="2"/>
      <c r="AE263" s="2"/>
    </row>
    <row r="264" spans="2:31" x14ac:dyDescent="0.25">
      <c r="B264" s="10"/>
      <c r="C264" s="2"/>
      <c r="D264" s="2"/>
      <c r="E264" s="2"/>
      <c r="F264" s="2"/>
      <c r="G264" s="2"/>
      <c r="H264" s="10"/>
      <c r="I264" s="2"/>
      <c r="J264" s="2"/>
      <c r="K264" s="2"/>
      <c r="L264" s="2"/>
      <c r="M264" s="2"/>
      <c r="N264" s="10"/>
      <c r="O264" s="2"/>
      <c r="P264" s="2"/>
      <c r="Q264" s="10"/>
      <c r="R264" s="2"/>
      <c r="AC264" s="10"/>
      <c r="AD264" s="2"/>
      <c r="AE264" s="2"/>
    </row>
    <row r="265" spans="2:31" x14ac:dyDescent="0.25">
      <c r="B265" s="10"/>
      <c r="C265" s="2"/>
      <c r="D265" s="2"/>
      <c r="E265" s="2"/>
      <c r="F265" s="2"/>
      <c r="G265" s="2"/>
      <c r="H265" s="10"/>
      <c r="I265" s="2"/>
      <c r="J265" s="2"/>
      <c r="K265" s="2"/>
      <c r="L265" s="2"/>
      <c r="M265" s="2"/>
      <c r="N265" s="10"/>
      <c r="O265" s="2"/>
      <c r="P265" s="2"/>
      <c r="Q265" s="10"/>
      <c r="R265" s="2"/>
      <c r="AC265" s="10"/>
      <c r="AD265" s="2"/>
      <c r="AE265" s="2"/>
    </row>
    <row r="266" spans="2:31" x14ac:dyDescent="0.25">
      <c r="B266" s="10"/>
      <c r="C266" s="2"/>
      <c r="D266" s="2"/>
      <c r="E266" s="2"/>
      <c r="F266" s="2"/>
      <c r="G266" s="2"/>
      <c r="H266" s="10"/>
      <c r="I266" s="2"/>
      <c r="J266" s="2"/>
      <c r="K266" s="2"/>
      <c r="L266" s="2"/>
      <c r="M266" s="2"/>
      <c r="N266" s="10"/>
      <c r="O266" s="2"/>
      <c r="P266" s="2"/>
      <c r="Q266" s="10"/>
      <c r="R266" s="2"/>
      <c r="AC266" s="10"/>
      <c r="AD266" s="2"/>
      <c r="AE266" s="2"/>
    </row>
    <row r="267" spans="2:31" x14ac:dyDescent="0.25">
      <c r="B267" s="10"/>
      <c r="C267" s="2"/>
      <c r="D267" s="2"/>
      <c r="E267" s="2"/>
      <c r="F267" s="2"/>
      <c r="G267" s="2"/>
      <c r="H267" s="10"/>
      <c r="I267" s="2"/>
      <c r="J267" s="2"/>
      <c r="K267" s="2"/>
      <c r="L267" s="2"/>
      <c r="M267" s="2"/>
      <c r="N267" s="10"/>
      <c r="O267" s="2"/>
      <c r="P267" s="2"/>
      <c r="Q267" s="10"/>
      <c r="R267" s="2"/>
      <c r="AC267" s="10"/>
      <c r="AD267" s="2"/>
      <c r="AE267" s="2"/>
    </row>
    <row r="268" spans="2:31" x14ac:dyDescent="0.25">
      <c r="B268" s="10"/>
      <c r="C268" s="2"/>
      <c r="D268" s="2"/>
      <c r="E268" s="2"/>
      <c r="F268" s="2"/>
      <c r="G268" s="2"/>
      <c r="H268" s="10"/>
      <c r="I268" s="2"/>
      <c r="J268" s="2"/>
      <c r="K268" s="2"/>
      <c r="L268" s="2"/>
      <c r="M268" s="2"/>
      <c r="N268" s="10"/>
      <c r="O268" s="2"/>
      <c r="P268" s="2"/>
      <c r="Q268" s="10"/>
      <c r="R268" s="2"/>
      <c r="AC268" s="10"/>
      <c r="AD268" s="2"/>
      <c r="AE268" s="2"/>
    </row>
    <row r="269" spans="2:31" x14ac:dyDescent="0.25">
      <c r="B269" s="10"/>
      <c r="C269" s="2"/>
      <c r="D269" s="2"/>
      <c r="E269" s="2"/>
      <c r="F269" s="2"/>
      <c r="G269" s="2"/>
      <c r="H269" s="10"/>
      <c r="I269" s="2"/>
      <c r="J269" s="2"/>
      <c r="K269" s="2"/>
      <c r="L269" s="2"/>
      <c r="M269" s="2"/>
      <c r="N269" s="10"/>
      <c r="O269" s="2"/>
      <c r="P269" s="2"/>
      <c r="Q269" s="10"/>
      <c r="R269" s="2"/>
      <c r="AC269" s="10"/>
      <c r="AD269" s="2"/>
      <c r="AE269" s="2"/>
    </row>
  </sheetData>
  <mergeCells count="10">
    <mergeCell ref="AO2:AP2"/>
    <mergeCell ref="AI2:AJ2"/>
    <mergeCell ref="AF2:AG2"/>
    <mergeCell ref="AL2:AM2"/>
    <mergeCell ref="H2:K2"/>
    <mergeCell ref="B2:E2"/>
    <mergeCell ref="Q2:T2"/>
    <mergeCell ref="V4:W4"/>
    <mergeCell ref="AC2:AD2"/>
    <mergeCell ref="N2:O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A446-D355-4C44-A080-EE780321D538}">
  <sheetPr codeName="Planilha5"/>
  <dimension ref="B1:V61"/>
  <sheetViews>
    <sheetView workbookViewId="0">
      <selection activeCell="C47" sqref="C47"/>
    </sheetView>
  </sheetViews>
  <sheetFormatPr defaultColWidth="8.85546875" defaultRowHeight="15" x14ac:dyDescent="0.25"/>
  <cols>
    <col min="1" max="1" width="1.7109375" style="1" customWidth="1"/>
    <col min="2" max="6" width="22.28515625" style="1" customWidth="1"/>
    <col min="7" max="7" width="1.7109375" style="1" customWidth="1"/>
    <col min="8" max="8" width="44.42578125" style="15" customWidth="1"/>
    <col min="9" max="9" width="13.85546875" style="15" customWidth="1"/>
    <col min="10" max="10" width="44.42578125" style="15" customWidth="1"/>
    <col min="11" max="11" width="13.85546875" style="15" customWidth="1"/>
    <col min="12" max="12" width="44.42578125" style="15" customWidth="1"/>
    <col min="13" max="13" width="13.85546875" style="15" customWidth="1"/>
    <col min="14" max="14" width="1.42578125" style="15" customWidth="1"/>
    <col min="15" max="15" width="44.42578125" style="15" customWidth="1"/>
    <col min="16" max="19" width="11.140625" style="15" customWidth="1"/>
    <col min="20" max="20" width="1.7109375" style="15" customWidth="1"/>
    <col min="21" max="22" width="8.7109375" style="15" customWidth="1"/>
    <col min="23" max="23" width="8.7109375" style="1" customWidth="1"/>
    <col min="24" max="16384" width="8.85546875" style="1"/>
  </cols>
  <sheetData>
    <row r="1" spans="2:6" ht="9" customHeight="1" x14ac:dyDescent="0.25"/>
    <row r="2" spans="2:6" x14ac:dyDescent="0.25">
      <c r="B2" s="71" t="s">
        <v>80</v>
      </c>
      <c r="C2" s="71"/>
      <c r="D2" s="71"/>
      <c r="E2" s="71"/>
      <c r="F2" s="71"/>
    </row>
    <row r="3" spans="2:6" ht="9" customHeight="1" x14ac:dyDescent="0.25"/>
    <row r="4" spans="2:6" ht="30" customHeight="1" x14ac:dyDescent="0.25">
      <c r="B4" s="4" t="s">
        <v>89</v>
      </c>
      <c r="C4" s="4" t="s">
        <v>90</v>
      </c>
      <c r="D4" s="4" t="s">
        <v>91</v>
      </c>
      <c r="E4" s="4" t="s">
        <v>78</v>
      </c>
      <c r="F4" s="4" t="s">
        <v>79</v>
      </c>
    </row>
    <row r="5" spans="2:6" x14ac:dyDescent="0.25">
      <c r="B5" s="6">
        <f>IFERROR(IF(GETPIVOTDATA("Duração da Parada (H)",'BCKSTG-TABLES'!$B$4,"Tipo","FORÇADA") &lt;&gt; "", GETPIVOTDATA("Duração da Parada (H)",'BCKSTG-TABLES'!$B$4,"Tipo","FORÇADA"), 0), 0)</f>
        <v>0</v>
      </c>
      <c r="C5" s="6">
        <f>IFERROR(IF(GETPIVOTDATA("Duração da Parada (H)",'BCKSTG-TABLES'!$B$4,"Tipo","PROGRAMADA") &lt;&gt; "", GETPIVOTDATA("Duração da Parada (H)",'BCKSTG-TABLES'!$B$4,"Tipo","PROGRAMADA"), 0), 0)</f>
        <v>95.758333333333354</v>
      </c>
      <c r="D5" s="6">
        <f>IFERROR(IF(GETPIVOTDATA("Duração da Parada (H)",'BCKSTG-TABLES'!$B$4) &lt;&gt; "", GETPIVOTDATA("Duração da Parada (H)",'BCKSTG-TABLES'!$B$4), 0), 0)</f>
        <v>95.758333333333354</v>
      </c>
      <c r="E5" s="16">
        <f>IFERROR(($B$5/$D$5), 0)</f>
        <v>0</v>
      </c>
      <c r="F5" s="16">
        <f>IFERROR(($C$5/$D$5), 0)</f>
        <v>1</v>
      </c>
    </row>
    <row r="6" spans="2:6" ht="9" customHeight="1" x14ac:dyDescent="0.25"/>
    <row r="7" spans="2:6" x14ac:dyDescent="0.25">
      <c r="B7" s="71" t="s">
        <v>82</v>
      </c>
      <c r="C7" s="71"/>
      <c r="D7" s="71"/>
      <c r="E7" s="71"/>
      <c r="F7" s="71"/>
    </row>
    <row r="8" spans="2:6" ht="9" customHeight="1" x14ac:dyDescent="0.25"/>
    <row r="9" spans="2:6" ht="30" customHeight="1" x14ac:dyDescent="0.25"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</row>
    <row r="10" spans="2:6" x14ac:dyDescent="0.25">
      <c r="B10" s="17">
        <f>IFERROR(IF(GETPIVOTDATA("Duração da Parada (H)",'BCKSTG-TABLES'!$H$4,"Tipo","FORÇADA") &lt;&gt; "", GETPIVOTDATA("Duração da Parada (H)",'BCKSTG-TABLES'!$H$4,"Tipo","FORÇADA"), 0), 0)</f>
        <v>0</v>
      </c>
      <c r="C10" s="17">
        <f>IFERROR(IF(GETPIVOTDATA("Duração da Parada (H)",'BCKSTG-TABLES'!$H$4,"Tipo","PROGRAMADA") &lt;&gt; "", GETPIVOTDATA("Duração da Parada (H)",'BCKSTG-TABLES'!$H$4,"Tipo","PROGRAMADA"), 0), 0)</f>
        <v>20</v>
      </c>
      <c r="D10" s="17">
        <f>IFERROR(IF(GETPIVOTDATA("Duração da Parada (H)",'BCKSTG-TABLES'!$H$4) &lt;&gt; "", GETPIVOTDATA("Duração da Parada (H)",'BCKSTG-TABLES'!$H$4), 0), 0)</f>
        <v>20</v>
      </c>
      <c r="E10" s="16">
        <f>IFERROR(($B$10/$D$10), 0)</f>
        <v>0</v>
      </c>
      <c r="F10" s="16">
        <f>IFERROR(($C$10/$D$10), 0)</f>
        <v>1</v>
      </c>
    </row>
    <row r="11" spans="2:6" ht="9" customHeight="1" x14ac:dyDescent="0.25"/>
    <row r="12" spans="2:6" x14ac:dyDescent="0.25">
      <c r="B12" s="71" t="s">
        <v>82</v>
      </c>
      <c r="C12" s="71"/>
      <c r="D12" s="71"/>
      <c r="E12" s="71"/>
      <c r="F12" s="71"/>
    </row>
    <row r="13" spans="2:6" ht="9" customHeight="1" x14ac:dyDescent="0.25"/>
    <row r="14" spans="2:6" ht="30" customHeight="1" x14ac:dyDescent="0.25">
      <c r="B14" s="4" t="s">
        <v>83</v>
      </c>
      <c r="C14" s="4" t="s">
        <v>84</v>
      </c>
      <c r="D14" s="4" t="s">
        <v>85</v>
      </c>
      <c r="E14" s="4" t="s">
        <v>86</v>
      </c>
      <c r="F14" s="4" t="s">
        <v>87</v>
      </c>
    </row>
    <row r="15" spans="2:6" x14ac:dyDescent="0.25">
      <c r="B15" s="17">
        <f>IFERROR(IF(GETPIVOTDATA("Duração da Parada (H)",'BCKSTG-TABLES'!$H$4,"Tipo","FORÇADA") &lt;&gt; "", GETPIVOTDATA("Duração da Parada (H)",'BCKSTG-TABLES'!$H$4,"Tipo","FORÇADA"), 0), 0)</f>
        <v>0</v>
      </c>
      <c r="C15" s="17">
        <f>IFERROR(IF(GETPIVOTDATA("Duração da Parada (H)",'BCKSTG-TABLES'!$H$4,"Tipo","PROGRAMADA") &lt;&gt; "", GETPIVOTDATA("Duração da Parada (H)",'BCKSTG-TABLES'!$H$4,"Tipo","PROGRAMADA"), 0), 0)</f>
        <v>20</v>
      </c>
      <c r="D15" s="17">
        <f>IFERROR(IF(GETPIVOTDATA("Duração da Parada (H)",'BCKSTG-TABLES'!$H$4) &lt;&gt; "", GETPIVOTDATA("Duração da Parada (H)",'BCKSTG-TABLES'!$H$4), 0), 0)</f>
        <v>20</v>
      </c>
      <c r="E15" s="16">
        <f>IFERROR(($B$10/$D$10), 0)</f>
        <v>0</v>
      </c>
      <c r="F15" s="16">
        <f>IFERROR(($C$10/$D$10), 0)</f>
        <v>1</v>
      </c>
    </row>
    <row r="16" spans="2:6" ht="9" customHeight="1" x14ac:dyDescent="0.25"/>
    <row r="17" spans="2:19" x14ac:dyDescent="0.25">
      <c r="B17" s="71" t="s">
        <v>114</v>
      </c>
      <c r="C17" s="71"/>
      <c r="H17" s="73" t="s">
        <v>122</v>
      </c>
      <c r="I17" s="73"/>
      <c r="J17" s="73"/>
      <c r="K17" s="73"/>
      <c r="L17" s="73"/>
      <c r="M17" s="44">
        <v>168</v>
      </c>
      <c r="O17" s="73" t="s">
        <v>148</v>
      </c>
      <c r="P17" s="73"/>
      <c r="Q17" s="73"/>
      <c r="R17" s="73"/>
      <c r="S17" s="73"/>
    </row>
    <row r="18" spans="2:19" ht="9" customHeight="1" x14ac:dyDescent="0.25"/>
    <row r="19" spans="2:19" ht="30" customHeight="1" x14ac:dyDescent="0.25">
      <c r="B19" s="15" t="s">
        <v>99</v>
      </c>
      <c r="C19" s="15" t="s">
        <v>100</v>
      </c>
      <c r="D19" s="15" t="s">
        <v>115</v>
      </c>
      <c r="E19" s="15" t="s">
        <v>116</v>
      </c>
      <c r="H19" s="74" t="s">
        <v>4</v>
      </c>
      <c r="I19" s="74"/>
      <c r="J19" s="74" t="s">
        <v>15</v>
      </c>
      <c r="K19" s="74"/>
      <c r="L19" s="74" t="s">
        <v>7</v>
      </c>
      <c r="M19" s="74"/>
      <c r="O19" s="51"/>
      <c r="P19" s="51"/>
    </row>
    <row r="20" spans="2:19" x14ac:dyDescent="0.25">
      <c r="B20" s="1" t="s">
        <v>4</v>
      </c>
      <c r="C20" s="33">
        <f>COUNTIF($B$20:$B$40, "&lt;&gt;")</f>
        <v>18</v>
      </c>
      <c r="D20" s="33">
        <f>IF(COUNTIF('BCKSTG-TABLES'!AI:AI, "&lt;&gt;") - 2 &gt; $C$20, $C$20, COUNTIF('BCKSTG-TABLES'!AI:AI, "&lt;&gt;") - 2)</f>
        <v>16</v>
      </c>
      <c r="E20" s="33">
        <f>$C$20 - $D$20</f>
        <v>2</v>
      </c>
      <c r="H20" s="2" t="s">
        <v>128</v>
      </c>
      <c r="I20" s="46" t="str">
        <f>IFERROR(IF(_xlfn.NUMBERVALUE(TEXT((I27 - I28)/GETPIVOTDATA("Duração da Parada (h)",'BCKSTG-TABLES'!$AI$4,"Estrutura", H19), "0,00")) &lt; 0, "—", TEXT((I27 - I28)/GETPIVOTDATA("Duração da Parada (h)",'BCKSTG-TABLES'!$AI$4,"Estrutura", H19), "0,00") &amp; "h"), "—")</f>
        <v>26467,41h</v>
      </c>
      <c r="J20" s="2" t="s">
        <v>128</v>
      </c>
      <c r="K20" s="46" t="str">
        <f>IFERROR(IF(_xlfn.NUMBERVALUE(TEXT((K27 - K28)/GETPIVOTDATA("Duração da Parada (h)",'BCKSTG-TABLES'!$AI$4,"Estrutura", J19), "0,00")) &lt; 0, "—", TEXT((K27 - K28)/GETPIVOTDATA("Duração da Parada (h)",'BCKSTG-TABLES'!$AI$4,"Estrutura", J19), "0,00") &amp; "h"), "—")</f>
        <v>12523,35h</v>
      </c>
      <c r="L20" s="2" t="s">
        <v>128</v>
      </c>
      <c r="M20" s="46" t="str">
        <f>IFERROR(IF(_xlfn.NUMBERVALUE(TEXT((M27 - M28)/GETPIVOTDATA("Duração da Parada (h)",'BCKSTG-TABLES'!$AI$4,"Estrutura", L19), "0,00")) &lt; 0, "—", TEXT((M27 - M28)/GETPIVOTDATA("Duração da Parada (h)",'BCKSTG-TABLES'!$AI$4,"Estrutura", L19), "0,00") &amp; "h"), "—")</f>
        <v>12679,84h</v>
      </c>
      <c r="P20" s="15" t="s">
        <v>124</v>
      </c>
      <c r="Q20" s="15" t="s">
        <v>125</v>
      </c>
      <c r="R20" s="15" t="s">
        <v>126</v>
      </c>
      <c r="S20" s="15" t="s">
        <v>127</v>
      </c>
    </row>
    <row r="21" spans="2:19" x14ac:dyDescent="0.25">
      <c r="B21" s="1" t="s">
        <v>15</v>
      </c>
      <c r="H21" s="2" t="s">
        <v>129</v>
      </c>
      <c r="I21" s="46" t="str">
        <f>IFERROR(TEXT((GETPIVOTDATA("Duração da Parada (h)",'BCKSTG-TABLES'!$AL$4,"Estrutura", H19)/GETPIVOTDATA("Duração da Parada (h)",'BCKSTG-TABLES'!$AI$4,"Estrutura", H19)), "0,00") &amp; "h", "—")</f>
        <v>4,59h</v>
      </c>
      <c r="J21" s="2" t="s">
        <v>129</v>
      </c>
      <c r="K21" s="46" t="str">
        <f>IFERROR(TEXT((GETPIVOTDATA("Duração da Parada (h)",'BCKSTG-TABLES'!$AL$4,"Estrutura", J19)/GETPIVOTDATA("Duração da Parada (h)",'BCKSTG-TABLES'!$AI$4,"Estrutura", J19)), "0,00") &amp; "h", "—")</f>
        <v>4,65h</v>
      </c>
      <c r="L21" s="2" t="s">
        <v>129</v>
      </c>
      <c r="M21" s="46" t="str">
        <f>IFERROR(TEXT((GETPIVOTDATA("Duração da Parada (h)",'BCKSTG-TABLES'!$AL$4,"Estrutura", L19)/GETPIVOTDATA("Duração da Parada (h)",'BCKSTG-TABLES'!$AI$4,"Estrutura", L19)), "0,00") &amp; "h", "—")</f>
        <v>4,16h</v>
      </c>
      <c r="O21" s="15" t="s">
        <v>153</v>
      </c>
      <c r="P21" s="46" t="str" cm="1">
        <f t="array" ref="P21">TEXT(MAX(IF(P$25:P$36 &gt; 0, P$25:P$36)), "0,00") &amp; "h"</f>
        <v>26467,41h</v>
      </c>
      <c r="Q21" s="46" t="str" cm="1">
        <f t="array" ref="Q21">TEXT(MAX(IF(Q$25:Q$36 &gt; 0, Q$25:Q$36)), "0,00") &amp; "h"</f>
        <v>8,16h</v>
      </c>
      <c r="R21" s="16" cm="1">
        <f t="array" ref="R21">MAX(IF(R$25:R$36 &gt; 0, R$25:R$36))</f>
        <v>0.99985372340425005</v>
      </c>
      <c r="S21" s="16" cm="1">
        <f t="array" ref="S21">MAX(IF(S$25:S$36 &gt; 0, S$25:S$36))</f>
        <v>0.99369191954889002</v>
      </c>
    </row>
    <row r="22" spans="2:19" x14ac:dyDescent="0.25">
      <c r="B22" s="1" t="s">
        <v>7</v>
      </c>
      <c r="H22" s="2" t="s">
        <v>130</v>
      </c>
      <c r="I22" s="16">
        <f>IFERROR((MID('BCKSTG-ANALYSIS'!I20, 1, LEN('BCKSTG-ANALYSIS'!I20) - 1))/(MID('BCKSTG-ANALYSIS'!I20, 1, LEN('BCKSTG-ANALYSIS'!I20) - 1) + MID('BCKSTG-ANALYSIS'!I21, 1, LEN('BCKSTG-ANALYSIS'!I21) - 1)), "—")</f>
        <v>0.99982660924750677</v>
      </c>
      <c r="J22" s="2" t="s">
        <v>130</v>
      </c>
      <c r="K22" s="16">
        <f>IFERROR((MID('BCKSTG-ANALYSIS'!K20, 1, LEN('BCKSTG-ANALYSIS'!K20) - 1))/(MID('BCKSTG-ANALYSIS'!K20, 1, LEN('BCKSTG-ANALYSIS'!K20) - 1) + MID('BCKSTG-ANALYSIS'!K21, 1, LEN('BCKSTG-ANALYSIS'!K21) - 1)), "—")</f>
        <v>0.9996288314176246</v>
      </c>
      <c r="L22" s="2" t="s">
        <v>130</v>
      </c>
      <c r="M22" s="16">
        <f>IFERROR((MID('BCKSTG-ANALYSIS'!M20, 1, LEN('BCKSTG-ANALYSIS'!M20) - 1))/(MID('BCKSTG-ANALYSIS'!M20, 1, LEN('BCKSTG-ANALYSIS'!M20) - 1) + MID('BCKSTG-ANALYSIS'!M21, 1, LEN('BCKSTG-ANALYSIS'!M21) - 1)), "—")</f>
        <v>0.99967202775149799</v>
      </c>
      <c r="O22" s="15" t="s">
        <v>154</v>
      </c>
      <c r="P22" s="46" t="str" cm="1">
        <f t="array" ref="P22">TEXT(MIN(IF(P$25:P$36 &gt; 0, P$25:P$36)), "0,00") &amp; "h"</f>
        <v>12523,35h</v>
      </c>
      <c r="Q22" s="46" t="str" cm="1">
        <f t="array" ref="Q22">TEXT(MIN(IF(Q$25:Q$36 &gt; 0, Q$25:Q$36)), "0,00") &amp; "h"</f>
        <v>3,63h</v>
      </c>
      <c r="R22" s="16" cm="1">
        <f t="array" ref="R22">MIN(IF(R$25:R$36 &gt; 0, R$25:R$36))</f>
        <v>0.99935727788279005</v>
      </c>
      <c r="S22" s="16" cm="1">
        <f t="array" ref="S22">MIN(IF(S$25:S$36 &gt; 0, S$25:S$36))</f>
        <v>0.98671502766511998</v>
      </c>
    </row>
    <row r="23" spans="2:19" x14ac:dyDescent="0.25">
      <c r="B23" s="1" t="s">
        <v>14</v>
      </c>
      <c r="H23" s="2" t="s">
        <v>131</v>
      </c>
      <c r="I23" s="48">
        <f>IFERROR((2.71^-((1/MID('BCKSTG-ANALYSIS'!I20, 1, LEN('BCKSTG-ANALYSIS'!I20) - 1))*($M$17))), "—")</f>
        <v>0.99369191954889902</v>
      </c>
      <c r="J23" s="2" t="s">
        <v>131</v>
      </c>
      <c r="K23" s="48">
        <f>IFERROR((2.71^-((1/MID('BCKSTG-ANALYSIS'!K20, 1, LEN('BCKSTG-ANALYSIS'!K20) - 1))*($M$17))), "—")</f>
        <v>0.9867150276651212</v>
      </c>
      <c r="L23" s="2" t="s">
        <v>131</v>
      </c>
      <c r="M23" s="48">
        <f>IFERROR((2.71^-((1/MID('BCKSTG-ANALYSIS'!M20, 1, LEN('BCKSTG-ANALYSIS'!M20) - 1))*($M$17))), "—")</f>
        <v>0.9868779054852328</v>
      </c>
      <c r="O23" s="15" t="s">
        <v>155</v>
      </c>
      <c r="P23" s="46" t="str" cm="1">
        <f t="array" ref="P23">IFERROR(TEXT(AVERAGE(IF(P$25:P$36 &gt; 0, P$25:P$36)), "0,00") &amp; "h", "0,00h")</f>
        <v>18162,04h</v>
      </c>
      <c r="Q23" s="46" t="str" cm="1">
        <f t="array" ref="Q23">IFERROR(TEXT(AVERAGE(IF(Q$25:Q$36 &gt; 0, Q$25:Q$36)), "0,00") &amp; "h", "0,00h")</f>
        <v>4,87h</v>
      </c>
      <c r="R23" s="16" cm="1">
        <f t="array" ref="R23">IFERROR(AVERAGE(IF(R$25:R$36 &gt; 0, R$25:R$36)), "0,00h")</f>
        <v>0.99969111287565271</v>
      </c>
      <c r="S23" s="16" cm="1">
        <f t="array" ref="S23">IFERROR(AVERAGE(IF(S$25:S$36 &gt; 0, S$25:S$36)), "0,00h")</f>
        <v>0.98978806829939359</v>
      </c>
    </row>
    <row r="24" spans="2:19" x14ac:dyDescent="0.25">
      <c r="B24" s="1" t="s">
        <v>5</v>
      </c>
      <c r="I24" s="2"/>
      <c r="K24" s="2"/>
      <c r="M24" s="2"/>
    </row>
    <row r="25" spans="2:19" x14ac:dyDescent="0.25">
      <c r="B25" s="1" t="s">
        <v>12</v>
      </c>
      <c r="H25" s="15" t="s">
        <v>140</v>
      </c>
      <c r="I25" s="49" cm="1">
        <f t="array" ref="I25">_xlfn.MINIFS(Preenchimento!$B:$B, Preenchimento!$C:$C, 'BCKSTG-ANALYSIS'!H19:H19)</f>
        <v>44974</v>
      </c>
      <c r="J25" s="15" t="s">
        <v>140</v>
      </c>
      <c r="K25" s="49" cm="1">
        <f t="array" ref="K25">_xlfn.MINIFS(Preenchimento!$B:$B, Preenchimento!$C:$C, 'BCKSTG-ANALYSIS'!J19:J19)</f>
        <v>45520</v>
      </c>
      <c r="L25" s="15" t="s">
        <v>140</v>
      </c>
      <c r="M25" s="49" cm="1">
        <f t="array" ref="M25">_xlfn.MINIFS(Preenchimento!$B:$B, Preenchimento!$C:$C, 'BCKSTG-ANALYSIS'!L19:L19)</f>
        <v>44985</v>
      </c>
      <c r="O25" s="15" t="s">
        <v>4</v>
      </c>
      <c r="P25" s="45">
        <f>_xlfn.NUMBERVALUE(MID(I20, 1, LEN(I20) - 1))</f>
        <v>26467.41</v>
      </c>
      <c r="Q25" s="45">
        <f>_xlfn.NUMBERVALUE(MID(I21, 1, LEN(I21) - 1))</f>
        <v>4.59</v>
      </c>
      <c r="R25" s="45">
        <f>_xlfn.NUMBERVALUE(MID(I22, 1, LEN(I22) - 1))</f>
        <v>0.9998266092475</v>
      </c>
      <c r="S25" s="45">
        <f>_xlfn.NUMBERVALUE(MID(I23, 1, LEN(I23) - 1))</f>
        <v>0.99369191954889002</v>
      </c>
    </row>
    <row r="26" spans="2:19" x14ac:dyDescent="0.25">
      <c r="B26" s="1" t="s">
        <v>8</v>
      </c>
      <c r="H26" s="15" t="s">
        <v>141</v>
      </c>
      <c r="I26" s="49" cm="1">
        <f t="array" ref="I26">_xlfn.MAXIFS(Preenchimento!$B:$B, Preenchimento!$C:$C, 'BCKSTG-ANALYSIS'!H19:H19)</f>
        <v>46077</v>
      </c>
      <c r="J26" s="15" t="s">
        <v>141</v>
      </c>
      <c r="K26" s="49" cm="1">
        <f t="array" ref="K26">_xlfn.MAXIFS(Preenchimento!$B:$B, Preenchimento!$C:$C, 'BCKSTG-ANALYSIS'!J19:J19)</f>
        <v>46042</v>
      </c>
      <c r="L26" s="15" t="s">
        <v>141</v>
      </c>
      <c r="M26" s="49" cm="1">
        <f t="array" ref="M26">_xlfn.MAXIFS(Preenchimento!$B:$B, Preenchimento!$C:$C, 'BCKSTG-ANALYSIS'!L19:L19)</f>
        <v>46042</v>
      </c>
      <c r="O26" s="15" t="s">
        <v>15</v>
      </c>
      <c r="P26" s="45">
        <f>_xlfn.NUMBERVALUE(MID(K20, 1, LEN(K20) - 1))</f>
        <v>12523.35</v>
      </c>
      <c r="Q26" s="45">
        <f>_xlfn.NUMBERVALUE(MID(K21, 1, LEN(K21) - 1))</f>
        <v>4.6500000000000004</v>
      </c>
      <c r="R26" s="45">
        <f>_xlfn.NUMBERVALUE(MID(K22, 1, LEN(K22) - 1))</f>
        <v>0.99962883141762005</v>
      </c>
      <c r="S26" s="45">
        <f>_xlfn.NUMBERVALUE(MID(K23, 1, LEN(K23) - 1))</f>
        <v>0.98671502766511998</v>
      </c>
    </row>
    <row r="27" spans="2:19" x14ac:dyDescent="0.25">
      <c r="B27" s="1" t="s">
        <v>6</v>
      </c>
      <c r="H27" s="15" t="s">
        <v>138</v>
      </c>
      <c r="I27" s="45">
        <f>(I26 - I25)*24</f>
        <v>26472</v>
      </c>
      <c r="J27" s="15" t="s">
        <v>138</v>
      </c>
      <c r="K27" s="45">
        <f>(K26 - K25)*24</f>
        <v>12528</v>
      </c>
      <c r="L27" s="15" t="s">
        <v>138</v>
      </c>
      <c r="M27" s="45">
        <f>(M26 - M25)*24</f>
        <v>25368</v>
      </c>
      <c r="O27" s="15" t="s">
        <v>7</v>
      </c>
      <c r="P27" s="45">
        <f>_xlfn.NUMBERVALUE(MID(M20, 1, LEN(M20) - 1))</f>
        <v>12679.84</v>
      </c>
      <c r="Q27" s="45">
        <f>_xlfn.NUMBERVALUE(MID(M21, 1, LEN(M21) - 1))</f>
        <v>4.16</v>
      </c>
      <c r="R27" s="45">
        <f>_xlfn.NUMBERVALUE(MID(M22, 1, LEN(M22) - 1))</f>
        <v>0.99967202775149</v>
      </c>
      <c r="S27" s="45">
        <f>_xlfn.NUMBERVALUE(MID(M23, 1, LEN(M23) - 1))</f>
        <v>0.98687790548523002</v>
      </c>
    </row>
    <row r="28" spans="2:19" x14ac:dyDescent="0.25">
      <c r="B28" s="1" t="s">
        <v>10</v>
      </c>
      <c r="H28" s="15" t="s">
        <v>139</v>
      </c>
      <c r="I28" s="45" cm="1">
        <f t="array" ref="I28">IFERROR(GETPIVOTDATA("Duração da Parada (h)",'BCKSTG-TABLES'!$AL$4,"Estrutura", 'BCKSTG-ANALYSIS'!H19:H19), "—")</f>
        <v>4.5916666666666668</v>
      </c>
      <c r="J28" s="15" t="s">
        <v>139</v>
      </c>
      <c r="K28" s="45" cm="1">
        <f t="array" ref="K28">IFERROR(GETPIVOTDATA("Duração da Parada (h)",'BCKSTG-TABLES'!$AL$4,"Estrutura", 'BCKSTG-ANALYSIS'!J19:J19), "—")</f>
        <v>4.6500000000000004</v>
      </c>
      <c r="L28" s="15" t="s">
        <v>139</v>
      </c>
      <c r="M28" s="45" cm="1">
        <f t="array" ref="M28">IFERROR(GETPIVOTDATA("Duração da Parada (h)",'BCKSTG-TABLES'!$AL$4,"Estrutura", 'BCKSTG-ANALYSIS'!L19:L19), "—")</f>
        <v>8.3166666666666664</v>
      </c>
      <c r="O28" s="15" t="s">
        <v>14</v>
      </c>
      <c r="P28" s="45">
        <f>_xlfn.NUMBERVALUE(MID(I31, 1, LEN(I31) - 1))</f>
        <v>13266.11</v>
      </c>
      <c r="Q28" s="45">
        <f>_xlfn.NUMBERVALUE(MID(I32, 1, LEN(I32) - 1))</f>
        <v>5.89</v>
      </c>
      <c r="R28" s="45">
        <f>_xlfn.NUMBERVALUE(MID(I33, 1, LEN(I33) - 1))</f>
        <v>0.99955620855937</v>
      </c>
      <c r="S28" s="45">
        <f>_xlfn.NUMBERVALUE(MID(I34, 1, LEN(I34) - 1))</f>
        <v>0.98745415763586997</v>
      </c>
    </row>
    <row r="29" spans="2:19" x14ac:dyDescent="0.25">
      <c r="B29" s="1" t="s">
        <v>11</v>
      </c>
      <c r="I29" s="45"/>
      <c r="O29" s="15" t="s">
        <v>5</v>
      </c>
      <c r="P29" s="45">
        <f>_xlfn.NUMBERVALUE(MID(K31, 1, LEN(K31) - 1))</f>
        <v>12691.11</v>
      </c>
      <c r="Q29" s="45">
        <f>_xlfn.NUMBERVALUE(MID(K32, 1, LEN(K32) - 1))</f>
        <v>4.8899999999999997</v>
      </c>
      <c r="R29" s="45">
        <f>_xlfn.NUMBERVALUE(MID(K33, 1, LEN(K33) - 1))</f>
        <v>0.99961483931947004</v>
      </c>
      <c r="S29" s="45">
        <f>_xlfn.NUMBERVALUE(MID(K34, 1, LEN(K34) - 1))</f>
        <v>0.98688948148666999</v>
      </c>
    </row>
    <row r="30" spans="2:19" x14ac:dyDescent="0.25">
      <c r="B30" s="1" t="s">
        <v>9</v>
      </c>
      <c r="H30" s="74" t="s">
        <v>14</v>
      </c>
      <c r="I30" s="74"/>
      <c r="J30" s="74" t="s">
        <v>5</v>
      </c>
      <c r="K30" s="74"/>
      <c r="L30" s="74" t="s">
        <v>12</v>
      </c>
      <c r="M30" s="74"/>
      <c r="O30" s="15" t="s">
        <v>12</v>
      </c>
      <c r="P30" s="45">
        <f>_xlfn.NUMBERVALUE(MID(M31, 1, LEN(M31) - 1))</f>
        <v>23466.28</v>
      </c>
      <c r="Q30" s="45">
        <f>_xlfn.NUMBERVALUE(MID(M32, 1, LEN(M32) - 1))</f>
        <v>5.73</v>
      </c>
      <c r="R30" s="45">
        <f>_xlfn.NUMBERVALUE(MID(M33, 1, LEN(M33) - 1))</f>
        <v>0.99975587944959998</v>
      </c>
      <c r="S30" s="45">
        <f>_xlfn.NUMBERVALUE(MID(M34, 1, LEN(M34) - 1))</f>
        <v>0.99288804697519994</v>
      </c>
    </row>
    <row r="31" spans="2:19" x14ac:dyDescent="0.25">
      <c r="B31" s="1" t="s">
        <v>13</v>
      </c>
      <c r="H31" s="2" t="s">
        <v>128</v>
      </c>
      <c r="I31" s="46" t="str">
        <f>IFERROR(IF(_xlfn.NUMBERVALUE(TEXT((I38 - I39)/GETPIVOTDATA("Duração da Parada (h)",'BCKSTG-TABLES'!$AI$4,"Estrutura", H30), "0,00")) &lt; 0, "—", TEXT((I38 - I39)/GETPIVOTDATA("Duração da Parada (h)",'BCKSTG-TABLES'!$AI$4,"Estrutura", H30), "0,00") &amp; "h"), "—")</f>
        <v>13266,11h</v>
      </c>
      <c r="J31" s="2" t="s">
        <v>128</v>
      </c>
      <c r="K31" s="46" t="str">
        <f>IFERROR(IF(_xlfn.NUMBERVALUE(TEXT((K38 - K39)/GETPIVOTDATA("Duração da Parada (h)",'BCKSTG-TABLES'!$AI$4,"Estrutura", J30), "0,00")) &lt; 0, "—", TEXT((K38 - K39)/GETPIVOTDATA("Duração da Parada (h)",'BCKSTG-TABLES'!$AI$4,"Estrutura", J30), "0,00") &amp; "h"), "—")</f>
        <v>12691,11h</v>
      </c>
      <c r="L31" s="2" t="s">
        <v>128</v>
      </c>
      <c r="M31" s="46" t="str">
        <f>IFERROR(IF(_xlfn.NUMBERVALUE(TEXT((M38 - M39)/GETPIVOTDATA("Duração da Parada (h)",'BCKSTG-TABLES'!$AI$4,"Estrutura", L30), "0,00")) &lt; 0, "—", TEXT((M38 - M39)/GETPIVOTDATA("Duração da Parada (h)",'BCKSTG-TABLES'!$AI$4,"Estrutura", L30), "0,00") &amp; "h"), "—")</f>
        <v>23466,28h</v>
      </c>
      <c r="O31" s="15" t="s">
        <v>8</v>
      </c>
      <c r="P31" s="45">
        <f>_xlfn.NUMBERVALUE(MID(I42, 1, LEN(I42) - 1))</f>
        <v>12523.43</v>
      </c>
      <c r="Q31" s="45">
        <f>_xlfn.NUMBERVALUE(MID(I43, 1, LEN(I43) - 1))</f>
        <v>4.57</v>
      </c>
      <c r="R31" s="45">
        <f>_xlfn.NUMBERVALUE(MID(I44, 1, LEN(I44) - 1))</f>
        <v>0.99963521711365999</v>
      </c>
      <c r="S31" s="45">
        <f>_xlfn.NUMBERVALUE(MID(I45, 1, LEN(I45) - 1))</f>
        <v>0.98671511196365003</v>
      </c>
    </row>
    <row r="32" spans="2:19" x14ac:dyDescent="0.25">
      <c r="B32" s="1" t="s">
        <v>178</v>
      </c>
      <c r="H32" s="2" t="s">
        <v>129</v>
      </c>
      <c r="I32" s="46" t="str">
        <f>IFERROR(TEXT((GETPIVOTDATA("Duração da Parada (h)",'BCKSTG-TABLES'!$AL$4,"Estrutura", H30)/GETPIVOTDATA("Duração da Parada (h)",'BCKSTG-TABLES'!$AI$4,"Estrutura", H30)), "0,00") &amp; "h", "—")</f>
        <v>5,89h</v>
      </c>
      <c r="J32" s="2" t="s">
        <v>129</v>
      </c>
      <c r="K32" s="46" t="str">
        <f>IFERROR(TEXT((GETPIVOTDATA("Duração da Parada (h)",'BCKSTG-TABLES'!$AL$4,"Estrutura", J30)/GETPIVOTDATA("Duração da Parada (h)",'BCKSTG-TABLES'!$AI$4,"Estrutura", J30)), "0,00") &amp; "h", "—")</f>
        <v>4,89h</v>
      </c>
      <c r="L32" s="2" t="s">
        <v>129</v>
      </c>
      <c r="M32" s="46" t="str">
        <f>IFERROR(TEXT((GETPIVOTDATA("Duração da Parada (h)",'BCKSTG-TABLES'!$AL$4,"Estrutura", L30)/GETPIVOTDATA("Duração da Parada (h)",'BCKSTG-TABLES'!$AI$4,"Estrutura", L30)), "0,00") &amp; "h", "—")</f>
        <v>5,73h</v>
      </c>
      <c r="O32" s="15" t="s">
        <v>6</v>
      </c>
      <c r="P32" s="45">
        <f>_xlfn.NUMBERVALUE(MID(K42, 1, LEN(K42) - 1))</f>
        <v>12687.84</v>
      </c>
      <c r="Q32" s="45">
        <f>_xlfn.NUMBERVALUE(MID(K43, 1, LEN(K43) - 1))</f>
        <v>8.16</v>
      </c>
      <c r="R32" s="45">
        <f>_xlfn.NUMBERVALUE(MID(K44, 1, LEN(K44) - 1))</f>
        <v>0.99935727788279005</v>
      </c>
      <c r="S32" s="45">
        <f>_xlfn.NUMBERVALUE(MID(K45, 1, LEN(K45) - 1))</f>
        <v>0.98688612480391003</v>
      </c>
    </row>
    <row r="33" spans="2:19" x14ac:dyDescent="0.25">
      <c r="B33" s="1" t="s">
        <v>179</v>
      </c>
      <c r="H33" s="2" t="s">
        <v>130</v>
      </c>
      <c r="I33" s="16">
        <f>IFERROR((MID('BCKSTG-ANALYSIS'!I31, 1, LEN('BCKSTG-ANALYSIS'!I31) - 1))/(MID('BCKSTG-ANALYSIS'!I31, 1, LEN('BCKSTG-ANALYSIS'!I31) - 1) + MID('BCKSTG-ANALYSIS'!I32, 1, LEN('BCKSTG-ANALYSIS'!I32) - 1)), "—")</f>
        <v>0.9995562085593731</v>
      </c>
      <c r="J33" s="2" t="s">
        <v>130</v>
      </c>
      <c r="K33" s="16">
        <f>IFERROR((MID('BCKSTG-ANALYSIS'!K31, 1, LEN('BCKSTG-ANALYSIS'!K31) - 1))/(MID('BCKSTG-ANALYSIS'!K31, 1, LEN('BCKSTG-ANALYSIS'!K31) - 1) + MID('BCKSTG-ANALYSIS'!K32, 1, LEN('BCKSTG-ANALYSIS'!K32) - 1)), "—")</f>
        <v>0.9996148393194707</v>
      </c>
      <c r="L33" s="2" t="s">
        <v>130</v>
      </c>
      <c r="M33" s="16">
        <f>IFERROR((MID('BCKSTG-ANALYSIS'!M31, 1, LEN('BCKSTG-ANALYSIS'!M31) - 1))/(MID('BCKSTG-ANALYSIS'!M31, 1, LEN('BCKSTG-ANALYSIS'!M31) - 1) + MID('BCKSTG-ANALYSIS'!M32, 1, LEN('BCKSTG-ANALYSIS'!M32) - 1)), "—")</f>
        <v>0.99975587944960831</v>
      </c>
      <c r="O33" s="15" t="s">
        <v>10</v>
      </c>
      <c r="P33" s="45">
        <f>_xlfn.NUMBERVALUE(MID(M42, 1, LEN(M42) - 1))</f>
        <v>24644.37</v>
      </c>
      <c r="Q33" s="45">
        <f>_xlfn.NUMBERVALUE(MID(M43, 1, LEN(M43) - 1))</f>
        <v>3.63</v>
      </c>
      <c r="R33" s="45">
        <f>_xlfn.NUMBERVALUE(MID(M44, 1, LEN(M44) - 1))</f>
        <v>0.99985272638752998</v>
      </c>
      <c r="S33" s="45">
        <f>_xlfn.NUMBERVALUE(MID(M45, 1, LEN(M45) - 1))</f>
        <v>0.99322687001843002</v>
      </c>
    </row>
    <row r="34" spans="2:19" x14ac:dyDescent="0.25">
      <c r="B34" s="1" t="s">
        <v>180</v>
      </c>
      <c r="H34" s="2" t="s">
        <v>131</v>
      </c>
      <c r="I34" s="48">
        <f>IFERROR((2.71^-((1/MID('BCKSTG-ANALYSIS'!I31, 1, LEN('BCKSTG-ANALYSIS'!I31) - 1))*($M$17))), "—")</f>
        <v>0.98745415763587463</v>
      </c>
      <c r="J34" s="2" t="s">
        <v>131</v>
      </c>
      <c r="K34" s="48">
        <f>IFERROR((2.71^-((1/MID('BCKSTG-ANALYSIS'!K31, 1, LEN('BCKSTG-ANALYSIS'!K31) - 1))*($M$17))), "—")</f>
        <v>0.98688948148667066</v>
      </c>
      <c r="L34" s="2" t="s">
        <v>131</v>
      </c>
      <c r="M34" s="48">
        <f>IFERROR((2.71^-((1/MID('BCKSTG-ANALYSIS'!M31, 1, LEN('BCKSTG-ANALYSIS'!M31) - 1))*($M$17))), "—")</f>
        <v>0.99288804697522026</v>
      </c>
      <c r="O34" s="15" t="s">
        <v>11</v>
      </c>
      <c r="P34" s="45">
        <f>_xlfn.NUMBERVALUE(MID(I53, 1, LEN(I53) - 1))</f>
        <v>24020.37</v>
      </c>
      <c r="Q34" s="45">
        <f>_xlfn.NUMBERVALUE(MID(I54, 1, LEN(I54) - 1))</f>
        <v>3.63</v>
      </c>
      <c r="R34" s="45">
        <f>_xlfn.NUMBERVALUE(MID(I55, 1, LEN(I55) - 1))</f>
        <v>0.99984890109890001</v>
      </c>
      <c r="S34" s="45">
        <f>_xlfn.NUMBERVALUE(MID(I56, 1, LEN(I56) - 1))</f>
        <v>0.99305153067968999</v>
      </c>
    </row>
    <row r="35" spans="2:19" x14ac:dyDescent="0.25">
      <c r="B35" s="1" t="s">
        <v>181</v>
      </c>
      <c r="O35" s="15" t="s">
        <v>9</v>
      </c>
      <c r="P35" s="45">
        <f>_xlfn.NUMBERVALUE(MID(K53, 1, LEN(K53) - 1))</f>
        <v>24812.37</v>
      </c>
      <c r="Q35" s="45">
        <f>_xlfn.NUMBERVALUE(MID(K54, 1, LEN(K54) - 1))</f>
        <v>3.63</v>
      </c>
      <c r="R35" s="45">
        <f>_xlfn.NUMBERVALUE(MID(K55, 1, LEN(K55) - 1))</f>
        <v>0.99985372340425005</v>
      </c>
      <c r="S35" s="45">
        <f>_xlfn.NUMBERVALUE(MID(K56, 1, LEN(K56) - 1))</f>
        <v>0.99327257503067001</v>
      </c>
    </row>
    <row r="36" spans="2:19" x14ac:dyDescent="0.25">
      <c r="B36" s="1" t="s">
        <v>182</v>
      </c>
      <c r="H36" s="15" t="s">
        <v>140</v>
      </c>
      <c r="I36" s="49" cm="1">
        <f t="array" ref="I36">_xlfn.MINIFS(Preenchimento!$B:$B, Preenchimento!$C:$C, 'BCKSTG-ANALYSIS'!H30:H30)</f>
        <v>45489</v>
      </c>
      <c r="J36" s="15" t="s">
        <v>140</v>
      </c>
      <c r="K36" s="49" cm="1">
        <f t="array" ref="K36">_xlfn.MINIFS(Preenchimento!$B:$B, Preenchimento!$C:$C, 'BCKSTG-ANALYSIS'!J30:J30)</f>
        <v>44984</v>
      </c>
      <c r="L36" s="15" t="s">
        <v>140</v>
      </c>
      <c r="M36" s="49" cm="1">
        <f t="array" ref="M36">_xlfn.MINIFS(Preenchimento!$B:$B, Preenchimento!$C:$C, 'BCKSTG-ANALYSIS'!L30:L30)</f>
        <v>45064</v>
      </c>
      <c r="O36" s="15" t="s">
        <v>13</v>
      </c>
      <c r="P36" s="45">
        <f>_xlfn.NUMBERVALUE(MID(M53, 1, LEN(M53) - 1))</f>
        <v>0</v>
      </c>
      <c r="Q36" s="45">
        <f>_xlfn.NUMBERVALUE(MID(M54, 1, LEN(M54) - 1))</f>
        <v>0</v>
      </c>
      <c r="R36" s="45">
        <f>_xlfn.NUMBERVALUE(MID(M55, 1, LEN(M55) - 1))</f>
        <v>0</v>
      </c>
      <c r="S36" s="45">
        <f>_xlfn.NUMBERVALUE(MID(M56, 1, LEN(M56) - 1))</f>
        <v>0</v>
      </c>
    </row>
    <row r="37" spans="2:19" x14ac:dyDescent="0.25">
      <c r="B37" s="1" t="s">
        <v>183</v>
      </c>
      <c r="H37" s="15" t="s">
        <v>141</v>
      </c>
      <c r="I37" s="49" cm="1">
        <f t="array" ref="I37">_xlfn.MAXIFS(Preenchimento!$B:$B, Preenchimento!$C:$C, 'BCKSTG-ANALYSIS'!H30:H30)</f>
        <v>46042</v>
      </c>
      <c r="J37" s="15" t="s">
        <v>141</v>
      </c>
      <c r="K37" s="49" cm="1">
        <f t="array" ref="K37">_xlfn.MAXIFS(Preenchimento!$B:$B, Preenchimento!$C:$C, 'BCKSTG-ANALYSIS'!J30:J30)</f>
        <v>46042</v>
      </c>
      <c r="L37" s="15" t="s">
        <v>141</v>
      </c>
      <c r="M37" s="49" cm="1">
        <f t="array" ref="M37">_xlfn.MAXIFS(Preenchimento!$B:$B, Preenchimento!$C:$C, 'BCKSTG-ANALYSIS'!L30:L30)</f>
        <v>46042</v>
      </c>
    </row>
    <row r="38" spans="2:19" x14ac:dyDescent="0.25">
      <c r="H38" s="15" t="s">
        <v>138</v>
      </c>
      <c r="I38" s="45">
        <f>(I37 - I36)*24</f>
        <v>13272</v>
      </c>
      <c r="J38" s="15" t="s">
        <v>138</v>
      </c>
      <c r="K38" s="45">
        <f>(K37 - K36)*24</f>
        <v>25392</v>
      </c>
      <c r="L38" s="15" t="s">
        <v>138</v>
      </c>
      <c r="M38" s="45">
        <f>(M37 - M36)*24</f>
        <v>23472</v>
      </c>
      <c r="O38" s="72" t="s">
        <v>152</v>
      </c>
      <c r="P38" s="72"/>
      <c r="Q38" s="72"/>
      <c r="R38" s="72"/>
      <c r="S38" s="72"/>
    </row>
    <row r="39" spans="2:19" x14ac:dyDescent="0.25">
      <c r="H39" s="15" t="s">
        <v>139</v>
      </c>
      <c r="I39" s="45" cm="1">
        <f t="array" ref="I39">IFERROR(GETPIVOTDATA("Duração da Parada (h)",'BCKSTG-TABLES'!$AL$4,"Estrutura", 'BCKSTG-ANALYSIS'!H30:H30), "—")</f>
        <v>5.8916666666666657</v>
      </c>
      <c r="J39" s="15" t="s">
        <v>139</v>
      </c>
      <c r="K39" s="45" cm="1">
        <f t="array" ref="K39">IFERROR(GETPIVOTDATA("Duração da Parada (h)",'BCKSTG-TABLES'!$AL$4,"Estrutura", 'BCKSTG-ANALYSIS'!J30:J30), "—")</f>
        <v>9.7749999999999986</v>
      </c>
      <c r="L39" s="15" t="s">
        <v>139</v>
      </c>
      <c r="M39" s="45" cm="1">
        <f t="array" ref="M39">IFERROR(GETPIVOTDATA("Duração da Parada (h)",'BCKSTG-TABLES'!$AL$4,"Estrutura", 'BCKSTG-ANALYSIS'!L30:L30), "—")</f>
        <v>5.7250000000000005</v>
      </c>
      <c r="P39" s="15" t="s">
        <v>124</v>
      </c>
      <c r="Q39" s="15" t="s">
        <v>125</v>
      </c>
      <c r="R39" s="15" t="s">
        <v>126</v>
      </c>
      <c r="S39" s="15" t="s">
        <v>127</v>
      </c>
    </row>
    <row r="40" spans="2:19" x14ac:dyDescent="0.25">
      <c r="O40" s="15" t="s">
        <v>153</v>
      </c>
      <c r="P40" s="46" t="str">
        <f>TEXT(MAX(_xlfn.NUMBERVALUE(MID(I20, 1, LEN(I20) - 1)), _xlfn.NUMBERVALUE(MID(K20, 1, LEN(K20) - 1)), _xlfn.NUMBERVALUE(MID(M20, 1, LEN(M20) - 1)), _xlfn.NUMBERVALUE(MID(I31, 1, LEN(I31) - 1)), _xlfn.NUMBERVALUE(MID(K31, 1, LEN(K31) - 1)), _xlfn.NUMBERVALUE(MID(M31, 1, LEN(M31) - 1)), _xlfn.NUMBERVALUE(MID(I42, 1, LEN(I42) - 1)), _xlfn.NUMBERVALUE(MID(K42, 1, LEN(K42) - 1)), _xlfn.NUMBERVALUE(MID(M42, 1, LEN(M42) - 1)), _xlfn.NUMBERVALUE(MID(I53, 1, LEN(I53) - 1)), _xlfn.NUMBERVALUE(MID(K53, 1, LEN(K53) - 1)), _xlfn.NUMBERVALUE(MID(M53, 1, LEN(M53) - 1))), "0,00") &amp; "h"</f>
        <v>26467,41h</v>
      </c>
      <c r="Q40" s="46" t="str">
        <f>TEXT(MAX(_xlfn.NUMBERVALUE(MID(I21, 1, LEN(I21) - 1)), _xlfn.NUMBERVALUE(MID(K21, 1, LEN(K21) - 1)), _xlfn.NUMBERVALUE(MID(M21, 1, LEN(M21) - 1)), _xlfn.NUMBERVALUE(MID(I32, 1, LEN(I32) - 1)), _xlfn.NUMBERVALUE(MID(K32, 1, LEN(K32) - 1)), _xlfn.NUMBERVALUE(MID(M32, 1, LEN(M32) - 1)), _xlfn.NUMBERVALUE(MID(I43, 1, LEN(I43) - 1)), _xlfn.NUMBERVALUE(MID(K43, 1, LEN(K43) - 1)), _xlfn.NUMBERVALUE(MID(M43, 1, LEN(M43) - 1)), _xlfn.NUMBERVALUE(MID(I54, 1, LEN(I54) - 1)), _xlfn.NUMBERVALUE(MID(K54, 1, LEN(K54) - 1)), _xlfn.NUMBERVALUE(MID(M54, 1, LEN(M54) - 1))), "0,00") &amp; "h"</f>
        <v>8,16h</v>
      </c>
      <c r="R40" s="16">
        <f>MAX(_xlfn.NUMBERVALUE(MID(I22, 1, LEN(I22) - 1)),
        _xlfn.NUMBERVALUE(MID(K22, 1, LEN(K22) - 1)),
        _xlfn.NUMBERVALUE(MID(M22, 1, LEN(M22) - 1)),
        _xlfn.NUMBERVALUE(MID(I33, 1, LEN(I33) - 1)),
        _xlfn.NUMBERVALUE(MID(K33, 1, LEN(K33) - 1)),
        _xlfn.NUMBERVALUE(MID(M33, 1, LEN(M33) - 1)),
        _xlfn.NUMBERVALUE(MID(I44, 1, LEN(I44) - 1)),
        _xlfn.NUMBERVALUE(MID(K44, 1, LEN(K44) - 1)),
        _xlfn.NUMBERVALUE(MID(M44, 1, LEN(M44) - 1)),
        _xlfn.NUMBERVALUE(MID(I55, 1, LEN(I55) - 1)),
        _xlfn.NUMBERVALUE(MID(K55, 1, LEN(K55) - 1)),
        _xlfn.NUMBERVALUE(MID(M55, 1, LEN(M55) - 1)))</f>
        <v>0.99985372340425005</v>
      </c>
      <c r="S40" s="16">
        <f>MAX(_xlfn.NUMBERVALUE(MID(I23, 1, LEN(I23) - 1)),
        _xlfn.NUMBERVALUE(MID(K23, 1, LEN(K23) - 1)),
        _xlfn.NUMBERVALUE(MID(M23, 1, LEN(M23) - 1)),
        _xlfn.NUMBERVALUE(MID(I34, 1, LEN(I34) - 1)),
        _xlfn.NUMBERVALUE(MID(K34, 1, LEN(K34) - 1)),
        _xlfn.NUMBERVALUE(MID(M34, 1, LEN(M34) - 1)),
        _xlfn.NUMBERVALUE(MID(I45, 1, LEN(I45) - 1)),
        _xlfn.NUMBERVALUE(MID(K45, 1, LEN(K45) - 1)),
        _xlfn.NUMBERVALUE(MID(M45, 1, LEN(M45) - 1)),
        _xlfn.NUMBERVALUE(MID(I56, 1, LEN(I56) - 1)),
        _xlfn.NUMBERVALUE(MID(K56, 1, LEN(K56) - 1)),
        _xlfn.NUMBERVALUE(MID(M56, 1, LEN(M56) - 1)))</f>
        <v>0.99369191954889002</v>
      </c>
    </row>
    <row r="41" spans="2:19" x14ac:dyDescent="0.25">
      <c r="H41" s="74" t="s">
        <v>8</v>
      </c>
      <c r="I41" s="74"/>
      <c r="J41" s="74" t="s">
        <v>6</v>
      </c>
      <c r="K41" s="74"/>
      <c r="L41" s="74" t="s">
        <v>10</v>
      </c>
      <c r="M41" s="74"/>
      <c r="O41" s="15" t="s">
        <v>154</v>
      </c>
      <c r="P41" s="46" t="str">
        <f>TEXT(MIN(_xlfn.NUMBERVALUE(MID(I20, 1, LEN(I20) - 1)), _xlfn.NUMBERVALUE(MID(K20, 1, LEN(K20) - 1)), _xlfn.NUMBERVALUE(MID(M20, 1, LEN(M20) - 1)), _xlfn.NUMBERVALUE(MID(I31, 1, LEN(I31) - 1)), _xlfn.NUMBERVALUE(MID(K31, 1, LEN(K31) - 1)), _xlfn.NUMBERVALUE(MID(M31, 1, LEN(M31) - 1)), _xlfn.NUMBERVALUE(MID(I42, 1, LEN(I42) - 1)), _xlfn.NUMBERVALUE(MID(K42, 1, LEN(K42) - 1)), _xlfn.NUMBERVALUE(MID(M42, 1, LEN(M42) - 1)), _xlfn.NUMBERVALUE(MID(I53, 1, LEN(I53) - 1)), _xlfn.NUMBERVALUE(MID(K53, 1, LEN(K53) - 1)), _xlfn.NUMBERVALUE(MID(M53, 1, LEN(M53) - 1))), "0,00") &amp; "h"</f>
        <v>0,00h</v>
      </c>
      <c r="Q41" s="46" t="str">
        <f>TEXT(MIN(_xlfn.NUMBERVALUE(MID(I21, 1, LEN(I21) - 1)),
        _xlfn.NUMBERVALUE(MID(K21, 1, LEN(K21) - 1)),
        _xlfn.NUMBERVALUE(MID(M21, 1, LEN(M21) - 1)),
        _xlfn.NUMBERVALUE(MID(I32, 1, LEN(I32) - 1)),
        _xlfn.NUMBERVALUE(MID(K32, 1, LEN(K32) - 1)),
        _xlfn.NUMBERVALUE(MID(M32, 1, LEN(M32) - 1)),
        _xlfn.NUMBERVALUE(MID(I43, 1, LEN(I43) - 1)),
        _xlfn.NUMBERVALUE(MID(K43, 1, LEN(K43) - 1)),
        _xlfn.NUMBERVALUE(MID(M43, 1, LEN(M43) - 1)),
        _xlfn.NUMBERVALUE(MID(I54, 1, LEN(I54) - 1)),
        _xlfn.NUMBERVALUE(MID(K54, 1, LEN(K54) - 1)),
        _xlfn.NUMBERVALUE(MID(M54, 1, LEN(M54) - 1))), "0,00") &amp; "h"</f>
        <v>0,00h</v>
      </c>
      <c r="R41" s="16">
        <f>MIN(_xlfn.NUMBERVALUE(MID(I22, 1, LEN(I22) - 1)),
        _xlfn.NUMBERVALUE(MID(K22, 1, LEN(K22) - 1)),
        _xlfn.NUMBERVALUE(MID(M22, 1, LEN(M22) - 1)),
        _xlfn.NUMBERVALUE(MID(I33, 1, LEN(I33) - 1)),
        _xlfn.NUMBERVALUE(MID(K33, 1, LEN(K33) - 1)),
        _xlfn.NUMBERVALUE(MID(M33, 1, LEN(M33) - 1)),
        _xlfn.NUMBERVALUE(MID(I44, 1, LEN(I44) - 1)),
        _xlfn.NUMBERVALUE(MID(K44, 1, LEN(K44) - 1)),
        _xlfn.NUMBERVALUE(MID(M44, 1, LEN(M44) - 1)),
        _xlfn.NUMBERVALUE(MID(I55, 1, LEN(I55) - 1)),
        _xlfn.NUMBERVALUE(MID(K55, 1, LEN(K55) - 1)),
        _xlfn.NUMBERVALUE(MID(M55, 1, LEN(M55) - 1)))</f>
        <v>0</v>
      </c>
      <c r="S41" s="16">
        <f>MIN(_xlfn.NUMBERVALUE(MID(I23, 1, LEN(I23) - 1)),
        _xlfn.NUMBERVALUE(MID(K23, 1, LEN(K23) - 1)),
        _xlfn.NUMBERVALUE(MID(M23, 1, LEN(M23) - 1)),
        _xlfn.NUMBERVALUE(MID(I34, 1, LEN(I34) - 1)),
        _xlfn.NUMBERVALUE(MID(K34, 1, LEN(K34) - 1)),
        _xlfn.NUMBERVALUE(MID(M34, 1, LEN(M34) - 1)),
        _xlfn.NUMBERVALUE(MID(I45, 1, LEN(I45) - 1)),
        _xlfn.NUMBERVALUE(MID(K45, 1, LEN(K45) - 1)),
        _xlfn.NUMBERVALUE(MID(M45, 1, LEN(M45) - 1)),
        _xlfn.NUMBERVALUE(MID(I56, 1, LEN(I56) - 1)),
        _xlfn.NUMBERVALUE(MID(K56, 1, LEN(K56) - 1)),
        _xlfn.NUMBERVALUE(MID(M56, 1, LEN(M56) - 1)))</f>
        <v>0</v>
      </c>
    </row>
    <row r="42" spans="2:19" x14ac:dyDescent="0.25">
      <c r="B42" s="34" t="s">
        <v>113</v>
      </c>
      <c r="H42" s="2" t="s">
        <v>128</v>
      </c>
      <c r="I42" s="46" t="str">
        <f>IFERROR(IF(_xlfn.NUMBERVALUE(TEXT((I49 - I50)/GETPIVOTDATA("Duração da Parada (h)",'BCKSTG-TABLES'!$AI$4,"Estrutura", H41), "0,00")) &lt; 0, "—", TEXT((I49 - I50)/GETPIVOTDATA("Duração da Parada (h)",'BCKSTG-TABLES'!$AI$4,"Estrutura", H41), "0,00") &amp; "h"), "—")</f>
        <v>12523,43h</v>
      </c>
      <c r="J42" s="2" t="s">
        <v>128</v>
      </c>
      <c r="K42" s="46" t="str">
        <f>IFERROR(IF(_xlfn.NUMBERVALUE(TEXT((K49 - K50)/GETPIVOTDATA("Duração da Parada (h)",'BCKSTG-TABLES'!$AI$4,"Estrutura", J41), "0,00")) &lt; 0, "—", TEXT((K49 - K50)/GETPIVOTDATA("Duração da Parada (h)",'BCKSTG-TABLES'!$AI$4,"Estrutura", J41), "0,00") &amp; "h"), "—")</f>
        <v>12687,84h</v>
      </c>
      <c r="L42" s="2" t="s">
        <v>128</v>
      </c>
      <c r="M42" s="46" t="str">
        <f>IFERROR(IF(_xlfn.NUMBERVALUE(TEXT((M49 - M50)/GETPIVOTDATA("Duração da Parada (h)",'BCKSTG-TABLES'!$AI$4,"Estrutura", L41), "0,00")) &lt; 0, "—", TEXT((M49 - M50)/GETPIVOTDATA("Duração da Parada (h)",'BCKSTG-TABLES'!$AI$4,"Estrutura", L41), "0,00") &amp; "h"), "—")</f>
        <v>24644,37h</v>
      </c>
      <c r="O42" s="15" t="s">
        <v>155</v>
      </c>
      <c r="P42" s="46" t="str">
        <f>TEXT(AVERAGE(_xlfn.NUMBERVALUE(MID(I20, 1, LEN(I20) - 1)), _xlfn.NUMBERVALUE(MID(K20, 1, LEN(K20) - 1)), _xlfn.NUMBERVALUE(MID(M20, 1, LEN(M20) - 1)), _xlfn.NUMBERVALUE(MID(I31, 1, LEN(I31) - 1)), _xlfn.NUMBERVALUE(MID(K31, 1, LEN(K31) - 1)), _xlfn.NUMBERVALUE(MID(M31, 1, LEN(M31) - 1)), _xlfn.NUMBERVALUE(MID(I42, 1, LEN(I42) - 1)), _xlfn.NUMBERVALUE(MID(K42, 1, LEN(K42) - 1)), _xlfn.NUMBERVALUE(MID(M42, 1, LEN(M42) - 1)), _xlfn.NUMBERVALUE(MID(I53, 1, LEN(I53) - 1)), _xlfn.NUMBERVALUE(MID(K53, 1, LEN(K53) - 1)), _xlfn.NUMBERVALUE(MID(M53, 1, LEN(M53) - 1))), "0,00") &amp; "h"</f>
        <v>16648,54h</v>
      </c>
      <c r="Q42" s="46" t="str">
        <f>TEXT(AVERAGE(_xlfn.NUMBERVALUE(MID(I21, 1, LEN(I21) - 1)),
       _xlfn.NUMBERVALUE(MID(K21, 1, LEN(K21) - 1)),
       _xlfn.NUMBERVALUE(MID(M21, 1, LEN(M21) - 1)),
       _xlfn.NUMBERVALUE(MID(I32, 1, LEN(I32) - 1)),
       _xlfn.NUMBERVALUE(MID(K32, 1, LEN(K32) - 1)),
       _xlfn.NUMBERVALUE(MID(M32, 1, LEN(M32) - 1)),
       _xlfn.NUMBERVALUE(MID(I43, 1, LEN(I43) - 1)),
       _xlfn.NUMBERVALUE(MID(K43, 1, LEN(K43) - 1)),
       _xlfn.NUMBERVALUE(MID(M43, 1, LEN(M43) - 1)),
       _xlfn.NUMBERVALUE(MID(I54, 1, LEN(I54) - 1)),
       _xlfn.NUMBERVALUE(MID(K54, 1, LEN(K54) - 1)),
       _xlfn.NUMBERVALUE(MID(M54, 1, LEN(M54) - 1))), "0,00") &amp; "h"</f>
        <v>4,46h</v>
      </c>
      <c r="R42" s="16">
        <f>AVERAGE(_xlfn.NUMBERVALUE(MID(I22, 1, LEN(I22) - 1)),
       _xlfn.NUMBERVALUE(MID(K22, 1, LEN(K22) - 1)),
       _xlfn.NUMBERVALUE(MID(M22, 1, LEN(M22) - 1)),
       _xlfn.NUMBERVALUE(MID(I33, 1, LEN(I33) - 1)),
       _xlfn.NUMBERVALUE(MID(K33, 1, LEN(K33) - 1)),
       _xlfn.NUMBERVALUE(MID(M33, 1, LEN(M33) - 1)),
       _xlfn.NUMBERVALUE(MID(I44, 1, LEN(I44) - 1)),
       _xlfn.NUMBERVALUE(MID(K44, 1, LEN(K44) - 1)),
       _xlfn.NUMBERVALUE(MID(M44, 1, LEN(M44) - 1)),
       _xlfn.NUMBERVALUE(MID(I55, 1, LEN(I55) - 1)),
       _xlfn.NUMBERVALUE(MID(K55, 1, LEN(K55) - 1)),
       _xlfn.NUMBERVALUE(MID(M55, 1, LEN(M55) - 1)))</f>
        <v>0.91638352013601498</v>
      </c>
      <c r="S42" s="16">
        <f>AVERAGE(_xlfn.NUMBERVALUE(MID(I23, 1, LEN(I23) - 1)),
       _xlfn.NUMBERVALUE(MID(K23, 1, LEN(K23) - 1)),
       _xlfn.NUMBERVALUE(MID(M23, 1, LEN(M23) - 1)),
       _xlfn.NUMBERVALUE(MID(I34, 1, LEN(I34) - 1)),
       _xlfn.NUMBERVALUE(MID(K34, 1, LEN(K34) - 1)),
       _xlfn.NUMBERVALUE(MID(M34, 1, LEN(M34) - 1)),
       _xlfn.NUMBERVALUE(MID(I45, 1, LEN(I45) - 1)),
       _xlfn.NUMBERVALUE(MID(K45, 1, LEN(K45) - 1)),
       _xlfn.NUMBERVALUE(MID(M45, 1, LEN(M45) - 1)),
       _xlfn.NUMBERVALUE(MID(I56, 1, LEN(I56) - 1)),
       _xlfn.NUMBERVALUE(MID(K56, 1, LEN(K56) - 1)),
       _xlfn.NUMBERVALUE(MID(M56, 1, LEN(M56) - 1)))</f>
        <v>0.90730572927444408</v>
      </c>
    </row>
    <row r="43" spans="2:19" x14ac:dyDescent="0.25">
      <c r="H43" s="2" t="s">
        <v>129</v>
      </c>
      <c r="I43" s="46" t="str">
        <f>IFERROR(TEXT((GETPIVOTDATA("Duração da Parada (h)",'BCKSTG-TABLES'!$AL$4,"Estrutura", H41)/GETPIVOTDATA("Duração da Parada (h)",'BCKSTG-TABLES'!$AI$4,"Estrutura", H41)), "0,00") &amp; "h", "—")</f>
        <v>4,57h</v>
      </c>
      <c r="J43" s="2" t="s">
        <v>129</v>
      </c>
      <c r="K43" s="46" t="str">
        <f>IFERROR(TEXT((GETPIVOTDATA("Duração da Parada (h)",'BCKSTG-TABLES'!$AL$4,"Estrutura", J41)/GETPIVOTDATA("Duração da Parada (h)",'BCKSTG-TABLES'!$AI$4,"Estrutura", J41)), "0,00") &amp; "h", "—")</f>
        <v>8,16h</v>
      </c>
      <c r="L43" s="2" t="s">
        <v>129</v>
      </c>
      <c r="M43" s="46" t="str">
        <f>IFERROR(TEXT((GETPIVOTDATA("Duração da Parada (h)",'BCKSTG-TABLES'!$AL$4,"Estrutura", L41)/GETPIVOTDATA("Duração da Parada (h)",'BCKSTG-TABLES'!$AI$4,"Estrutura", L41)), "0,00") &amp; "h", "—")</f>
        <v>3,63h</v>
      </c>
    </row>
    <row r="44" spans="2:19" x14ac:dyDescent="0.25">
      <c r="B44" s="71" t="s">
        <v>119</v>
      </c>
      <c r="C44" s="71"/>
      <c r="H44" s="2" t="s">
        <v>130</v>
      </c>
      <c r="I44" s="16">
        <f>IFERROR((MID('BCKSTG-ANALYSIS'!I42, 1, LEN('BCKSTG-ANALYSIS'!I42) - 1))/(MID('BCKSTG-ANALYSIS'!I42, 1, LEN('BCKSTG-ANALYSIS'!I42) - 1) + MID('BCKSTG-ANALYSIS'!I43, 1, LEN('BCKSTG-ANALYSIS'!I43) - 1)), "—")</f>
        <v>0.99963521711366543</v>
      </c>
      <c r="J44" s="2" t="s">
        <v>130</v>
      </c>
      <c r="K44" s="16">
        <f>IFERROR((MID('BCKSTG-ANALYSIS'!K42, 1, LEN('BCKSTG-ANALYSIS'!K42) - 1))/(MID('BCKSTG-ANALYSIS'!K42, 1, LEN('BCKSTG-ANALYSIS'!K42) - 1) + MID('BCKSTG-ANALYSIS'!K43, 1, LEN('BCKSTG-ANALYSIS'!K43) - 1)), "—")</f>
        <v>0.99935727788279771</v>
      </c>
      <c r="L44" s="2" t="s">
        <v>130</v>
      </c>
      <c r="M44" s="16">
        <f>IFERROR((MID('BCKSTG-ANALYSIS'!M42, 1, LEN('BCKSTG-ANALYSIS'!M42) - 1))/(MID('BCKSTG-ANALYSIS'!M42, 1, LEN('BCKSTG-ANALYSIS'!M42) - 1) + MID('BCKSTG-ANALYSIS'!M43, 1, LEN('BCKSTG-ANALYSIS'!M43) - 1)), "—")</f>
        <v>0.99985272638753653</v>
      </c>
    </row>
    <row r="45" spans="2:19" x14ac:dyDescent="0.25">
      <c r="H45" s="2" t="s">
        <v>131</v>
      </c>
      <c r="I45" s="48">
        <f>IFERROR((2.71^-((1/MID('BCKSTG-ANALYSIS'!I42, 1, LEN('BCKSTG-ANALYSIS'!I42) - 1))*($M$17))), "—")</f>
        <v>0.98671511196365147</v>
      </c>
      <c r="J45" s="2" t="s">
        <v>131</v>
      </c>
      <c r="K45" s="48">
        <f>IFERROR((2.71^-((1/MID('BCKSTG-ANALYSIS'!K42, 1, LEN('BCKSTG-ANALYSIS'!K42) - 1))*($M$17))), "—")</f>
        <v>0.98688612480391624</v>
      </c>
      <c r="L45" s="2" t="s">
        <v>131</v>
      </c>
      <c r="M45" s="48">
        <f>IFERROR((2.71^-((1/MID('BCKSTG-ANALYSIS'!M42, 1, LEN('BCKSTG-ANALYSIS'!M42) - 1))*($M$17))), "—")</f>
        <v>0.9932268700184318</v>
      </c>
    </row>
    <row r="46" spans="2:19" x14ac:dyDescent="0.25">
      <c r="B46" s="15" t="s">
        <v>112</v>
      </c>
      <c r="C46" s="15" t="s">
        <v>100</v>
      </c>
    </row>
    <row r="47" spans="2:19" x14ac:dyDescent="0.25">
      <c r="B47" s="2" t="s">
        <v>16</v>
      </c>
      <c r="C47" s="33">
        <f>COUNTIF($B$47:$B$48, "&lt;&gt;")</f>
        <v>2</v>
      </c>
      <c r="H47" s="15" t="s">
        <v>140</v>
      </c>
      <c r="I47" s="49" cm="1">
        <f t="array" ref="I47">_xlfn.MINIFS(Preenchimento!$B:$B, Preenchimento!$C:$C, 'BCKSTG-ANALYSIS'!H41:H41)</f>
        <v>44998</v>
      </c>
      <c r="J47" s="15" t="s">
        <v>140</v>
      </c>
      <c r="K47" s="49" cm="1">
        <f t="array" ref="K47">_xlfn.MINIFS(Preenchimento!$B:$B, Preenchimento!$C:$C, 'BCKSTG-ANALYSIS'!J41:J41)</f>
        <v>44984</v>
      </c>
      <c r="L47" s="15" t="s">
        <v>140</v>
      </c>
      <c r="M47" s="49" cm="1">
        <f t="array" ref="M47">_xlfn.MINIFS(Preenchimento!$B:$B, Preenchimento!$C:$C, 'BCKSTG-ANALYSIS'!L41:L41)</f>
        <v>45015</v>
      </c>
    </row>
    <row r="48" spans="2:19" x14ac:dyDescent="0.25">
      <c r="B48" s="2" t="s">
        <v>17</v>
      </c>
      <c r="H48" s="15" t="s">
        <v>141</v>
      </c>
      <c r="I48" s="49" cm="1">
        <f t="array" ref="I48">_xlfn.MAXIFS(Preenchimento!$B:$B, Preenchimento!$C:$C, 'BCKSTG-ANALYSIS'!H41:H41)</f>
        <v>46042</v>
      </c>
      <c r="J48" s="15" t="s">
        <v>141</v>
      </c>
      <c r="K48" s="49" cm="1">
        <f t="array" ref="K48">_xlfn.MAXIFS(Preenchimento!$B:$B, Preenchimento!$C:$C, 'BCKSTG-ANALYSIS'!J41:J41)</f>
        <v>46042</v>
      </c>
      <c r="L48" s="15" t="s">
        <v>141</v>
      </c>
      <c r="M48" s="49" cm="1">
        <f t="array" ref="M48">_xlfn.MAXIFS(Preenchimento!$B:$B, Preenchimento!$C:$C, 'BCKSTG-ANALYSIS'!L41:L41)</f>
        <v>46042</v>
      </c>
    </row>
    <row r="49" spans="8:13" x14ac:dyDescent="0.25">
      <c r="H49" s="15" t="s">
        <v>138</v>
      </c>
      <c r="I49" s="45">
        <f>(I48 - I47)*24</f>
        <v>25056</v>
      </c>
      <c r="J49" s="15" t="s">
        <v>138</v>
      </c>
      <c r="K49" s="45">
        <f>(K48 - K47)*24</f>
        <v>25392</v>
      </c>
      <c r="L49" s="15" t="s">
        <v>138</v>
      </c>
      <c r="M49" s="45">
        <f>(M48 - M47)*24</f>
        <v>24648</v>
      </c>
    </row>
    <row r="50" spans="8:13" x14ac:dyDescent="0.25">
      <c r="H50" s="15" t="s">
        <v>139</v>
      </c>
      <c r="I50" s="45" cm="1">
        <f t="array" ref="I50">IFERROR(GETPIVOTDATA("Duração da Parada (h)",'BCKSTG-TABLES'!$AL$4,"Estrutura", 'BCKSTG-ANALYSIS'!H41:H41), "—")</f>
        <v>9.1416666666666675</v>
      </c>
      <c r="J50" s="15" t="s">
        <v>139</v>
      </c>
      <c r="K50" s="45" cm="1">
        <f t="array" ref="K50">IFERROR(GETPIVOTDATA("Duração da Parada (h)",'BCKSTG-TABLES'!$AL$4,"Estrutura", 'BCKSTG-ANALYSIS'!J41:J41), "—")</f>
        <v>16.316666666666666</v>
      </c>
      <c r="L50" s="15" t="s">
        <v>139</v>
      </c>
      <c r="M50" s="45" cm="1">
        <f t="array" ref="M50">IFERROR(GETPIVOTDATA("Duração da Parada (h)",'BCKSTG-TABLES'!$AL$4,"Estrutura", 'BCKSTG-ANALYSIS'!L41:L41), "—")</f>
        <v>3.6333333333333333</v>
      </c>
    </row>
    <row r="52" spans="8:13" x14ac:dyDescent="0.25">
      <c r="H52" s="74" t="s">
        <v>11</v>
      </c>
      <c r="I52" s="74"/>
      <c r="J52" s="74" t="s">
        <v>9</v>
      </c>
      <c r="K52" s="74"/>
      <c r="L52" s="74" t="s">
        <v>13</v>
      </c>
      <c r="M52" s="74"/>
    </row>
    <row r="53" spans="8:13" x14ac:dyDescent="0.25">
      <c r="H53" s="2" t="s">
        <v>128</v>
      </c>
      <c r="I53" s="46" t="str">
        <f>IFERROR(IF(_xlfn.NUMBERVALUE(TEXT((I60 - I61)/GETPIVOTDATA("Duração da Parada (h)",'BCKSTG-TABLES'!$AI$4,"Estrutura", H52), "0,00")) &lt; 0, "—", TEXT((I60 - I61)/GETPIVOTDATA("Duração da Parada (h)",'BCKSTG-TABLES'!$AI$4,"Estrutura", H52), "0,00") &amp; "h"), "—")</f>
        <v>24020,37h</v>
      </c>
      <c r="J53" s="2" t="s">
        <v>128</v>
      </c>
      <c r="K53" s="46" t="str">
        <f>IFERROR(IF(_xlfn.NUMBERVALUE(TEXT((K60 - K61)/GETPIVOTDATA("Duração da Parada (h)",'BCKSTG-TABLES'!$AI$4,"Estrutura", J52), "0,00")) &lt; 0, "—", TEXT((K60 - K61)/GETPIVOTDATA("Duração da Parada (h)",'BCKSTG-TABLES'!$AI$4,"Estrutura", J52), "0,00") &amp; "h"), "—")</f>
        <v>24812,37h</v>
      </c>
      <c r="L53" s="2" t="s">
        <v>128</v>
      </c>
      <c r="M53" s="46" t="str">
        <f>IFERROR(IF(_xlfn.NUMBERVALUE(TEXT((M60 - M61)/GETPIVOTDATA("Duração da Parada (h)",'BCKSTG-TABLES'!$AI$4,"Estrutura", L52), "0,00")) &lt; 0, "—", TEXT((M60 - M61)/GETPIVOTDATA("Duração da Parada (h)",'BCKSTG-TABLES'!$AI$4,"Estrutura", L52), "0,00") &amp; "h"), "—")</f>
        <v>—</v>
      </c>
    </row>
    <row r="54" spans="8:13" x14ac:dyDescent="0.25">
      <c r="H54" s="2" t="s">
        <v>129</v>
      </c>
      <c r="I54" s="46" t="str">
        <f>IFERROR(TEXT((GETPIVOTDATA("Duração da Parada (h)",'BCKSTG-TABLES'!$AL$4,"Estrutura", H52)/GETPIVOTDATA("Duração da Parada (h)",'BCKSTG-TABLES'!$AI$4,"Estrutura", H52)), "0,00") &amp; "h", "—")</f>
        <v>3,63h</v>
      </c>
      <c r="J54" s="2" t="s">
        <v>129</v>
      </c>
      <c r="K54" s="46" t="str">
        <f>IFERROR(TEXT((GETPIVOTDATA("Duração da Parada (h)",'BCKSTG-TABLES'!$AL$4,"Estrutura", J52)/GETPIVOTDATA("Duração da Parada (h)",'BCKSTG-TABLES'!$AI$4,"Estrutura", J52)), "0,00") &amp; "h", "—")</f>
        <v>3,63h</v>
      </c>
      <c r="L54" s="2" t="s">
        <v>129</v>
      </c>
      <c r="M54" s="46" t="str">
        <f>IFERROR(TEXT((GETPIVOTDATA("Duração da Parada (h)",'BCKSTG-TABLES'!$AL$4,"Estrutura", L52)/GETPIVOTDATA("Duração da Parada (h)",'BCKSTG-TABLES'!$AI$4,"Estrutura", L52)), "0,00") &amp; "h", "—")</f>
        <v>—</v>
      </c>
    </row>
    <row r="55" spans="8:13" x14ac:dyDescent="0.25">
      <c r="H55" s="2" t="s">
        <v>130</v>
      </c>
      <c r="I55" s="16">
        <f>IFERROR((MID('BCKSTG-ANALYSIS'!I53, 1, LEN('BCKSTG-ANALYSIS'!I53) - 1))/(MID('BCKSTG-ANALYSIS'!I53, 1, LEN('BCKSTG-ANALYSIS'!I53) - 1) + MID('BCKSTG-ANALYSIS'!I54, 1, LEN('BCKSTG-ANALYSIS'!I54) - 1)), "—")</f>
        <v>0.99984890109890101</v>
      </c>
      <c r="J55" s="2" t="s">
        <v>130</v>
      </c>
      <c r="K55" s="16">
        <f>IFERROR((MID('BCKSTG-ANALYSIS'!K53, 1, LEN('BCKSTG-ANALYSIS'!K53) - 1))/(MID('BCKSTG-ANALYSIS'!K53, 1, LEN('BCKSTG-ANALYSIS'!K53) - 1) + MID('BCKSTG-ANALYSIS'!K54, 1, LEN('BCKSTG-ANALYSIS'!K54) - 1)), "—")</f>
        <v>0.99985372340425527</v>
      </c>
      <c r="L55" s="2" t="s">
        <v>130</v>
      </c>
      <c r="M55" s="16" t="str">
        <f>IFERROR((MID('BCKSTG-ANALYSIS'!M53, 1, LEN('BCKSTG-ANALYSIS'!M53) - 1))/(MID('BCKSTG-ANALYSIS'!M53, 1, LEN('BCKSTG-ANALYSIS'!M53) - 1) + MID('BCKSTG-ANALYSIS'!M54, 1, LEN('BCKSTG-ANALYSIS'!M54) - 1)), "—")</f>
        <v>—</v>
      </c>
    </row>
    <row r="56" spans="8:13" x14ac:dyDescent="0.25">
      <c r="H56" s="2" t="s">
        <v>131</v>
      </c>
      <c r="I56" s="48">
        <f>IFERROR((2.71^-((1/MID('BCKSTG-ANALYSIS'!I53, 1, LEN('BCKSTG-ANALYSIS'!I53) - 1))*($M$17))), "—")</f>
        <v>0.99305153067969754</v>
      </c>
      <c r="J56" s="2" t="s">
        <v>131</v>
      </c>
      <c r="K56" s="48">
        <f>IFERROR((2.71^-((1/MID('BCKSTG-ANALYSIS'!K53, 1, LEN('BCKSTG-ANALYSIS'!K53) - 1))*($M$17))), "—")</f>
        <v>0.99327257503067545</v>
      </c>
      <c r="L56" s="2" t="s">
        <v>131</v>
      </c>
      <c r="M56" s="48" t="str">
        <f>IFERROR((2.71^-((1/MID('BCKSTG-ANALYSIS'!M53, 1, LEN('BCKSTG-ANALYSIS'!M53) - 1))*($M$17))), "—")</f>
        <v>—</v>
      </c>
    </row>
    <row r="58" spans="8:13" x14ac:dyDescent="0.25">
      <c r="H58" s="15" t="s">
        <v>140</v>
      </c>
      <c r="I58" s="49" cm="1">
        <f t="array" ref="I58">_xlfn.MINIFS(Preenchimento!$B:$B, Preenchimento!$C:$C, 'BCKSTG-ANALYSIS'!H52:H52)</f>
        <v>45041</v>
      </c>
      <c r="J58" s="15" t="s">
        <v>140</v>
      </c>
      <c r="K58" s="49" cm="1">
        <f t="array" ref="K58">_xlfn.MINIFS(Preenchimento!$B:$B, Preenchimento!$C:$C, 'BCKSTG-ANALYSIS'!J52:J52)</f>
        <v>45008</v>
      </c>
      <c r="L58" s="15" t="s">
        <v>140</v>
      </c>
      <c r="M58" s="49" cm="1">
        <f t="array" ref="M58">_xlfn.MINIFS(Preenchimento!$B:$B, Preenchimento!$C:$C, 'BCKSTG-ANALYSIS'!L52:L52)</f>
        <v>45106</v>
      </c>
    </row>
    <row r="59" spans="8:13" x14ac:dyDescent="0.25">
      <c r="H59" s="15" t="s">
        <v>141</v>
      </c>
      <c r="I59" s="49" cm="1">
        <f t="array" ref="I59">_xlfn.MAXIFS(Preenchimento!$B:$B, Preenchimento!$C:$C, 'BCKSTG-ANALYSIS'!H52:H52)</f>
        <v>46042</v>
      </c>
      <c r="J59" s="15" t="s">
        <v>141</v>
      </c>
      <c r="K59" s="49" cm="1">
        <f t="array" ref="K59">_xlfn.MAXIFS(Preenchimento!$B:$B, Preenchimento!$C:$C, 'BCKSTG-ANALYSIS'!J52:J52)</f>
        <v>46042</v>
      </c>
      <c r="L59" s="15" t="s">
        <v>141</v>
      </c>
      <c r="M59" s="49" cm="1">
        <f t="array" ref="M59">_xlfn.MAXIFS(Preenchimento!$B:$B, Preenchimento!$C:$C, 'BCKSTG-ANALYSIS'!L52:L52)</f>
        <v>45107</v>
      </c>
    </row>
    <row r="60" spans="8:13" x14ac:dyDescent="0.25">
      <c r="H60" s="15" t="s">
        <v>138</v>
      </c>
      <c r="I60" s="45">
        <f>(I59 - I58)*24</f>
        <v>24024</v>
      </c>
      <c r="J60" s="15" t="s">
        <v>138</v>
      </c>
      <c r="K60" s="45">
        <f>(K59 - K58)*24</f>
        <v>24816</v>
      </c>
      <c r="L60" s="15" t="s">
        <v>138</v>
      </c>
      <c r="M60" s="45">
        <f>(M59 - M58)*24</f>
        <v>24</v>
      </c>
    </row>
    <row r="61" spans="8:13" x14ac:dyDescent="0.25">
      <c r="H61" s="15" t="s">
        <v>139</v>
      </c>
      <c r="I61" s="45" cm="1">
        <f t="array" ref="I61">IFERROR(GETPIVOTDATA("Duração da Parada (h)",'BCKSTG-TABLES'!$AL$4,"Estrutura", 'BCKSTG-ANALYSIS'!H52:H52), "—")</f>
        <v>3.6333333333333333</v>
      </c>
      <c r="J61" s="15" t="s">
        <v>139</v>
      </c>
      <c r="K61" s="45" cm="1">
        <f t="array" ref="K61">IFERROR(GETPIVOTDATA("Duração da Parada (h)",'BCKSTG-TABLES'!$AL$4,"Estrutura", 'BCKSTG-ANALYSIS'!J52:J52), "—")</f>
        <v>3.6333333333333333</v>
      </c>
      <c r="L61" s="15" t="s">
        <v>139</v>
      </c>
      <c r="M61" s="45" t="str" cm="1">
        <f t="array" ref="M61">IFERROR(GETPIVOTDATA("Duração da Parada (h)",'BCKSTG-TABLES'!$AL$4,"Estrutura", 'BCKSTG-ANALYSIS'!L52:L52), "—")</f>
        <v>—</v>
      </c>
    </row>
  </sheetData>
  <mergeCells count="20">
    <mergeCell ref="B44:C44"/>
    <mergeCell ref="H17:L17"/>
    <mergeCell ref="H19:I19"/>
    <mergeCell ref="O17:S17"/>
    <mergeCell ref="H52:I52"/>
    <mergeCell ref="H41:I41"/>
    <mergeCell ref="H30:I30"/>
    <mergeCell ref="J30:K30"/>
    <mergeCell ref="J41:K41"/>
    <mergeCell ref="J52:K52"/>
    <mergeCell ref="L52:M52"/>
    <mergeCell ref="L41:M41"/>
    <mergeCell ref="L30:M30"/>
    <mergeCell ref="L19:M19"/>
    <mergeCell ref="J19:K19"/>
    <mergeCell ref="B2:F2"/>
    <mergeCell ref="B7:F7"/>
    <mergeCell ref="B12:F12"/>
    <mergeCell ref="B17:C17"/>
    <mergeCell ref="O38:S38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Preenchimento</vt:lpstr>
      <vt:lpstr>Resumo!Area_de_impressao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Carvalho</dc:creator>
  <cp:lastModifiedBy>claudenison do nascimento</cp:lastModifiedBy>
  <cp:lastPrinted>2025-02-26T13:13:41Z</cp:lastPrinted>
  <dcterms:created xsi:type="dcterms:W3CDTF">2025-02-20T13:58:14Z</dcterms:created>
  <dcterms:modified xsi:type="dcterms:W3CDTF">2026-02-24T20:34:32Z</dcterms:modified>
</cp:coreProperties>
</file>