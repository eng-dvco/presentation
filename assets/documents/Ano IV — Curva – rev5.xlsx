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theme/themeOverride8.xml" ContentType="application/vnd.openxmlformats-officedocument.themeOverride+xml"/>
  <Override PartName="/xl/charts/chart9.xml" ContentType="application/vnd.openxmlformats-officedocument.drawingml.chart+xml"/>
  <Override PartName="/xl/theme/themeOverride9.xml" ContentType="application/vnd.openxmlformats-officedocument.themeOverride+xml"/>
  <Override PartName="/xl/charts/chart10.xml" ContentType="application/vnd.openxmlformats-officedocument.drawingml.chart+xml"/>
  <Override PartName="/xl/theme/themeOverride10.xml" ContentType="application/vnd.openxmlformats-officedocument.themeOverride+xml"/>
  <Override PartName="/xl/charts/chart11.xml" ContentType="application/vnd.openxmlformats-officedocument.drawingml.chart+xml"/>
  <Override PartName="/xl/theme/themeOverride11.xml" ContentType="application/vnd.openxmlformats-officedocument.themeOverride+xml"/>
  <Override PartName="/xl/charts/chart12.xml" ContentType="application/vnd.openxmlformats-officedocument.drawingml.chart+xml"/>
  <Override PartName="/xl/theme/themeOverride12.xml" ContentType="application/vnd.openxmlformats-officedocument.themeOverride+xml"/>
  <Override PartName="/xl/charts/chart13.xml" ContentType="application/vnd.openxmlformats-officedocument.drawingml.chart+xml"/>
  <Override PartName="/xl/theme/themeOverride13.xml" ContentType="application/vnd.openxmlformats-officedocument.themeOverride+xml"/>
  <Override PartName="/xl/charts/chart14.xml" ContentType="application/vnd.openxmlformats-officedocument.drawingml.chart+xml"/>
  <Override PartName="/xl/theme/themeOverride14.xml" ContentType="application/vnd.openxmlformats-officedocument.themeOverride+xml"/>
  <Override PartName="/xl/drawings/drawing2.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style1.xml" ContentType="application/vnd.ms-office.chartstyle+xml"/>
  <Override PartName="/xl/charts/colors1.xml" ContentType="application/vnd.ms-office.chartcolorstyle+xml"/>
  <Override PartName="/xl/charts/chart18.xml" ContentType="application/vnd.openxmlformats-officedocument.drawingml.chart+xml"/>
  <Override PartName="/xl/drawings/drawing4.xml" ContentType="application/vnd.openxmlformats-officedocument.drawing+xml"/>
  <Override PartName="/xl/charts/chart19.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EstaPastaDeTrabalho" defaultThemeVersion="124226"/>
  <mc:AlternateContent xmlns:mc="http://schemas.openxmlformats.org/markup-compatibility/2006">
    <mc:Choice Requires="x15">
      <x15ac:absPath xmlns:x15ac="http://schemas.microsoft.com/office/spreadsheetml/2010/11/ac" url="C:\Users\CMT-33933\Desktop\BKP CMT\AREA DE TRABALHO\REUNIÕES\"/>
    </mc:Choice>
  </mc:AlternateContent>
  <xr:revisionPtr revIDLastSave="0" documentId="13_ncr:1_{4E19A200-787E-4C27-96C4-ED5B61EB3DF0}" xr6:coauthVersionLast="47" xr6:coauthVersionMax="47" xr10:uidLastSave="{00000000-0000-0000-0000-000000000000}"/>
  <bookViews>
    <workbookView xWindow="-108" yWindow="-108" windowWidth="23256" windowHeight="12456" tabRatio="873" firstSheet="5" activeTab="5" xr2:uid="{00000000-000D-0000-FFFF-FFFF00000000}"/>
  </bookViews>
  <sheets>
    <sheet name="RESUMO-CURVA ACM" sheetId="87" r:id="rId1"/>
    <sheet name="RESUMO-CURVA PREV" sheetId="90" r:id="rId2"/>
    <sheet name="GRÁFICO" sheetId="88" r:id="rId3"/>
    <sheet name="Evolução Mensal" sheetId="95" r:id="rId4"/>
    <sheet name="RESUMO-CURVA GRÁFICO" sheetId="94" r:id="rId5"/>
    <sheet name="CUSTO DIRETO- P x R" sheetId="49" r:id="rId6"/>
    <sheet name="MÃO DE OBRA- P x R" sheetId="48" r:id="rId7"/>
  </sheets>
  <externalReferences>
    <externalReference r:id="rId8"/>
  </externalReferences>
  <definedNames>
    <definedName name="__123Graph_A" localSheetId="5" hidden="1">#REF!</definedName>
    <definedName name="__123Graph_A" localSheetId="6" hidden="1">#REF!</definedName>
    <definedName name="__123Graph_A" localSheetId="0" hidden="1">#REF!</definedName>
    <definedName name="__123Graph_A" localSheetId="4" hidden="1">#REF!</definedName>
    <definedName name="__123Graph_A" localSheetId="1" hidden="1">#REF!</definedName>
    <definedName name="__123Graph_A" hidden="1">#REF!</definedName>
    <definedName name="__123Graph_B" localSheetId="5" hidden="1">#REF!</definedName>
    <definedName name="__123Graph_B" localSheetId="6" hidden="1">#REF!</definedName>
    <definedName name="__123Graph_B" localSheetId="0" hidden="1">#REF!</definedName>
    <definedName name="__123Graph_B" localSheetId="4" hidden="1">#REF!</definedName>
    <definedName name="__123Graph_B" localSheetId="1" hidden="1">#REF!</definedName>
    <definedName name="__123Graph_B" hidden="1">#REF!</definedName>
    <definedName name="__123Graph_C" localSheetId="5" hidden="1">#REF!</definedName>
    <definedName name="__123Graph_C" localSheetId="6" hidden="1">#REF!</definedName>
    <definedName name="__123Graph_C" localSheetId="0" hidden="1">#REF!</definedName>
    <definedName name="__123Graph_C" localSheetId="4" hidden="1">#REF!</definedName>
    <definedName name="__123Graph_C" localSheetId="1" hidden="1">#REF!</definedName>
    <definedName name="__123Graph_C" hidden="1">#REF!</definedName>
    <definedName name="__123Graph_D" localSheetId="3" hidden="1">#REF!</definedName>
    <definedName name="__123Graph_D" hidden="1">#REF!</definedName>
    <definedName name="__123Graph_E" localSheetId="3" hidden="1">#REF!</definedName>
    <definedName name="__123Graph_E" hidden="1">#REF!</definedName>
    <definedName name="__123Graph_X" localSheetId="5" hidden="1">#REF!</definedName>
    <definedName name="__123Graph_X" localSheetId="6" hidden="1">#REF!</definedName>
    <definedName name="__123Graph_X" localSheetId="0" hidden="1">#REF!</definedName>
    <definedName name="__123Graph_X" localSheetId="4" hidden="1">#REF!</definedName>
    <definedName name="__123Graph_X" localSheetId="1" hidden="1">#REF!</definedName>
    <definedName name="__123Graph_X" hidden="1">#REF!</definedName>
    <definedName name="_xlnm._FilterDatabase" localSheetId="5" hidden="1">'CUSTO DIRETO- P x R'!$A$4:$AD$945</definedName>
    <definedName name="_xlnm._FilterDatabase" localSheetId="6" hidden="1">'MÃO DE OBRA- P x R'!$A$4:$X$192</definedName>
    <definedName name="_xlnm._FilterDatabase" localSheetId="0" hidden="1">'RESUMO-CURVA ACM'!$A$3:$G$23</definedName>
    <definedName name="_xlnm._FilterDatabase" localSheetId="4" hidden="1">'RESUMO-CURVA GRÁFICO'!$B$4:$AH$261</definedName>
    <definedName name="_xlnm._FilterDatabase" localSheetId="1" hidden="1">'RESUMO-CURVA PREV'!$A$3:$G$23</definedName>
    <definedName name="_xlnm._FilterDatabase" hidden="1">#REF!</definedName>
    <definedName name="_MM" localSheetId="5" hidden="1">#REF!</definedName>
    <definedName name="_MM" localSheetId="6" hidden="1">#REF!</definedName>
    <definedName name="_MM" localSheetId="0" hidden="1">#REF!</definedName>
    <definedName name="_MM" localSheetId="4" hidden="1">#REF!</definedName>
    <definedName name="_MM" localSheetId="1" hidden="1">#REF!</definedName>
    <definedName name="_MM" hidden="1">#REF!</definedName>
    <definedName name="_Order1" hidden="1">255</definedName>
    <definedName name="anscount" hidden="1">3</definedName>
    <definedName name="EFETIVO" localSheetId="3">#REF!</definedName>
    <definedName name="EFETIVO">#REF!</definedName>
    <definedName name="_xlnm.Print_Area" localSheetId="5">'CUSTO DIRETO- P x R'!$A$1:$Y$975</definedName>
    <definedName name="_xlnm.Print_Area" localSheetId="3">'Evolução Mensal'!$B$2:$AP$46</definedName>
    <definedName name="_xlnm.Print_Area" localSheetId="6">'MÃO DE OBRA- P x R'!$A$1:$X$190</definedName>
    <definedName name="_xlnm.Print_Area" localSheetId="0">'RESUMO-CURVA ACM'!$A$3:$J$23</definedName>
    <definedName name="_xlnm.Print_Area" localSheetId="4">'RESUMO-CURVA GRÁFICO'!$A$1:$AD$295</definedName>
    <definedName name="_xlnm.Print_Area" localSheetId="1">'RESUMO-CURVA PREV'!$A$3:$J$23</definedName>
    <definedName name="seila" localSheetId="5" hidden="1">#REF!</definedName>
    <definedName name="seila" localSheetId="6" hidden="1">#REF!</definedName>
    <definedName name="seila" localSheetId="0" hidden="1">#REF!</definedName>
    <definedName name="seila" localSheetId="4" hidden="1">#REF!</definedName>
    <definedName name="seila" localSheetId="1" hidden="1">#REF!</definedName>
    <definedName name="seila" hidden="1">#REF!</definedName>
    <definedName name="seinao" localSheetId="5" hidden="1">#REF!</definedName>
    <definedName name="seinao" localSheetId="6" hidden="1">#REF!</definedName>
    <definedName name="seinao" localSheetId="0" hidden="1">#REF!</definedName>
    <definedName name="seinao" localSheetId="4" hidden="1">#REF!</definedName>
    <definedName name="seinao" localSheetId="1" hidden="1">#REF!</definedName>
    <definedName name="seinao" hidden="1">#REF!</definedName>
    <definedName name="sencount" hidden="1">1</definedName>
    <definedName name="SSSSS" localSheetId="3">#REF!</definedName>
    <definedName name="SSSSS">#REF!</definedName>
    <definedName name="SSSSSS" localSheetId="3">#REF!</definedName>
    <definedName name="SSSSSS">#REF!</definedName>
    <definedName name="wrn.Orçamento." localSheetId="3" hidden="1">{#N/A,#N/A,FALSE,"Planilha";#N/A,#N/A,FALSE,"Resumo";#N/A,#N/A,FALSE,"Fisico";#N/A,#N/A,FALSE,"Financeiro";#N/A,#N/A,FALSE,"Financeiro"}</definedName>
    <definedName name="wrn.Orçamento." localSheetId="0" hidden="1">{#N/A,#N/A,FALSE,"Planilha";#N/A,#N/A,FALSE,"Resumo";#N/A,#N/A,FALSE,"Fisico";#N/A,#N/A,FALSE,"Financeiro";#N/A,#N/A,FALSE,"Financeiro"}</definedName>
    <definedName name="wrn.Orçamento." localSheetId="4" hidden="1">{#N/A,#N/A,FALSE,"Planilha";#N/A,#N/A,FALSE,"Resumo";#N/A,#N/A,FALSE,"Fisico";#N/A,#N/A,FALSE,"Financeiro";#N/A,#N/A,FALSE,"Financeiro"}</definedName>
    <definedName name="wrn.Orçamento." localSheetId="1" hidden="1">{#N/A,#N/A,FALSE,"Planilha";#N/A,#N/A,FALSE,"Resumo";#N/A,#N/A,FALSE,"Fisico";#N/A,#N/A,FALSE,"Financeiro";#N/A,#N/A,FALSE,"Financeiro"}</definedName>
    <definedName name="wrn.Orçamento." hidden="1">{#N/A,#N/A,FALSE,"Planilha";#N/A,#N/A,FALSE,"Resumo";#N/A,#N/A,FALSE,"Fisico";#N/A,#N/A,FALSE,"Financeiro";#N/A,#N/A,FALSE,"Financeiro"}</definedName>
    <definedName name="xxxxxxxxxxx" localSheetId="3">#REF!</definedName>
    <definedName name="xxxxxxxxxxx">#REF!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5" i="95" l="1"/>
  <c r="AI15" i="95" s="1"/>
  <c r="AJ15" i="95" s="1"/>
  <c r="O101" i="94"/>
  <c r="J165" i="94" l="1"/>
  <c r="K165" i="94"/>
  <c r="L165" i="94"/>
  <c r="M165" i="94"/>
  <c r="N165" i="94"/>
  <c r="O165" i="94"/>
  <c r="P165" i="94"/>
  <c r="Q165" i="94"/>
  <c r="R165" i="94"/>
  <c r="S165" i="94"/>
  <c r="T165" i="94"/>
  <c r="U165" i="94"/>
  <c r="I165" i="94"/>
  <c r="AB193" i="94" l="1"/>
  <c r="V193" i="94"/>
  <c r="X193" i="94" s="1"/>
  <c r="G193" i="94"/>
  <c r="U192" i="94"/>
  <c r="V192" i="94" s="1"/>
  <c r="X192" i="94" s="1"/>
  <c r="H192" i="94"/>
  <c r="G192" i="94"/>
  <c r="AB191" i="94"/>
  <c r="V191" i="94"/>
  <c r="X191" i="94" s="1"/>
  <c r="G191" i="94"/>
  <c r="U190" i="94"/>
  <c r="V190" i="94" s="1"/>
  <c r="X190" i="94" s="1"/>
  <c r="H190" i="94"/>
  <c r="G190" i="94"/>
  <c r="AD15" i="95"/>
  <c r="AE15" i="95" s="1"/>
  <c r="Q15" i="95"/>
  <c r="R15" i="95" s="1"/>
  <c r="S15" i="95" s="1"/>
  <c r="T15" i="95" s="1"/>
  <c r="U15" i="95" s="1"/>
  <c r="V15" i="95" s="1"/>
  <c r="F15" i="95"/>
  <c r="G15" i="95" s="1"/>
  <c r="H15" i="95" s="1"/>
  <c r="I15" i="95" s="1"/>
  <c r="J15" i="95" s="1"/>
  <c r="K15" i="95" s="1"/>
  <c r="L15" i="95" s="1"/>
  <c r="M15" i="95" s="1"/>
  <c r="N15" i="95" s="1"/>
  <c r="O15" i="95" s="1"/>
  <c r="E15" i="95"/>
  <c r="AD14" i="95"/>
  <c r="AE14" i="95" s="1"/>
  <c r="Q14" i="95"/>
  <c r="R14" i="95" s="1"/>
  <c r="S14" i="95" s="1"/>
  <c r="T14" i="95" s="1"/>
  <c r="U14" i="95" s="1"/>
  <c r="V14" i="95" s="1"/>
  <c r="W14" i="95" s="1"/>
  <c r="X14" i="95" s="1"/>
  <c r="Y14" i="95" s="1"/>
  <c r="Z14" i="95" s="1"/>
  <c r="AA14" i="95" s="1"/>
  <c r="AB14" i="95" s="1"/>
  <c r="AC14" i="95" s="1"/>
  <c r="E14" i="95"/>
  <c r="F14" i="95" s="1"/>
  <c r="G14" i="95" s="1"/>
  <c r="H14" i="95" s="1"/>
  <c r="I14" i="95" s="1"/>
  <c r="J14" i="95" s="1"/>
  <c r="K14" i="95" s="1"/>
  <c r="L14" i="95" s="1"/>
  <c r="M14" i="95" s="1"/>
  <c r="N14" i="95" s="1"/>
  <c r="O14" i="95" s="1"/>
  <c r="P14" i="95" s="1"/>
  <c r="AP13" i="95"/>
  <c r="AO13" i="95"/>
  <c r="AN13" i="95"/>
  <c r="AM13" i="95"/>
  <c r="AL13" i="95"/>
  <c r="AK13" i="95"/>
  <c r="AJ13" i="95"/>
  <c r="AI13" i="95"/>
  <c r="AH13" i="95"/>
  <c r="AG13" i="95"/>
  <c r="AE13" i="95"/>
  <c r="AD13" i="95"/>
  <c r="AC13" i="95"/>
  <c r="AB13" i="95"/>
  <c r="AA13" i="95"/>
  <c r="Z13" i="95"/>
  <c r="Y13" i="95"/>
  <c r="X13" i="95"/>
  <c r="W13" i="95"/>
  <c r="V13" i="95"/>
  <c r="U13" i="95"/>
  <c r="T13" i="95"/>
  <c r="S13" i="95"/>
  <c r="R13" i="95"/>
  <c r="Q13" i="95"/>
  <c r="O13" i="95"/>
  <c r="N13" i="95"/>
  <c r="M13" i="95"/>
  <c r="L13" i="95"/>
  <c r="K13" i="95"/>
  <c r="J13" i="95"/>
  <c r="I13" i="95"/>
  <c r="H13" i="95"/>
  <c r="G13" i="95"/>
  <c r="F13" i="95"/>
  <c r="E13" i="95"/>
  <c r="AE12" i="95"/>
  <c r="AD12" i="95"/>
  <c r="AC12" i="95"/>
  <c r="AB12" i="95"/>
  <c r="AA12" i="95"/>
  <c r="Z12" i="95"/>
  <c r="Y12" i="95"/>
  <c r="X12" i="95"/>
  <c r="W12" i="95"/>
  <c r="V12" i="95"/>
  <c r="T12" i="95"/>
  <c r="S12" i="95"/>
  <c r="R12" i="95"/>
  <c r="Q12" i="95"/>
  <c r="O12" i="95"/>
  <c r="N12" i="95"/>
  <c r="M12" i="95"/>
  <c r="L12" i="95"/>
  <c r="K12" i="95"/>
  <c r="J12" i="95"/>
  <c r="I12" i="95"/>
  <c r="H12" i="95"/>
  <c r="G12" i="95"/>
  <c r="F12" i="95"/>
  <c r="E12" i="95"/>
  <c r="AF11" i="95"/>
  <c r="P11" i="95"/>
  <c r="AT10" i="95"/>
  <c r="AM10" i="95" s="1"/>
  <c r="AO10" i="95"/>
  <c r="AN10" i="95"/>
  <c r="AF10" i="95"/>
  <c r="P10" i="95"/>
  <c r="P12" i="95" s="1"/>
  <c r="AF9" i="95"/>
  <c r="AR9" i="95" s="1"/>
  <c r="P9" i="95"/>
  <c r="AT8" i="95"/>
  <c r="AI12" i="95" s="1"/>
  <c r="P8" i="95"/>
  <c r="AT6" i="95"/>
  <c r="AM6" i="95" s="1"/>
  <c r="AO6" i="95"/>
  <c r="U6" i="95" s="1"/>
  <c r="U12" i="95" s="1"/>
  <c r="AN6" i="95"/>
  <c r="AF6" i="95"/>
  <c r="P6" i="95"/>
  <c r="AC193" i="94" l="1"/>
  <c r="AD193" i="94" s="1"/>
  <c r="AC191" i="94"/>
  <c r="AD191" i="94" s="1"/>
  <c r="Y191" i="94"/>
  <c r="H191" i="94" s="1"/>
  <c r="Y193" i="94"/>
  <c r="H193" i="94" s="1"/>
  <c r="AM12" i="95"/>
  <c r="AN12" i="95"/>
  <c r="U54" i="95"/>
  <c r="W15" i="95"/>
  <c r="X15" i="95" s="1"/>
  <c r="Y15" i="95" s="1"/>
  <c r="Z15" i="95" s="1"/>
  <c r="AA15" i="95" s="1"/>
  <c r="AB15" i="95" s="1"/>
  <c r="AC15" i="95" s="1"/>
  <c r="AU8" i="95"/>
  <c r="AL8" i="95"/>
  <c r="AR11" i="95"/>
  <c r="AN8" i="95"/>
  <c r="AK6" i="95"/>
  <c r="AU6" i="95"/>
  <c r="AG12" i="95"/>
  <c r="AO8" i="95"/>
  <c r="AO12" i="95" s="1"/>
  <c r="AK10" i="95"/>
  <c r="AU10" i="95"/>
  <c r="AK8" i="95"/>
  <c r="AM8" i="95"/>
  <c r="AL6" i="95"/>
  <c r="AV6" i="95"/>
  <c r="AH12" i="95"/>
  <c r="AL10" i="95"/>
  <c r="AV10" i="95"/>
  <c r="AV8" i="95"/>
  <c r="AF8" i="95"/>
  <c r="AF12" i="95" s="1"/>
  <c r="Z193" i="94" l="1"/>
  <c r="Z191" i="94"/>
  <c r="AW6" i="95"/>
  <c r="AP6" i="95"/>
  <c r="AR6" i="95" s="1"/>
  <c r="AW10" i="95"/>
  <c r="AP10" i="95"/>
  <c r="AK12" i="95"/>
  <c r="AL12" i="95"/>
  <c r="AW8" i="95"/>
  <c r="AP8" i="95"/>
  <c r="AR8" i="95" s="1"/>
  <c r="AJ12" i="95"/>
  <c r="AF14" i="95"/>
  <c r="AG14" i="95" s="1"/>
  <c r="AH14" i="95" s="1"/>
  <c r="AI14" i="95" s="1"/>
  <c r="AJ14" i="95" s="1"/>
  <c r="AK14" i="95" s="1"/>
  <c r="AL14" i="95" s="1"/>
  <c r="AM14" i="95" s="1"/>
  <c r="AN14" i="95" s="1"/>
  <c r="AO14" i="95" s="1"/>
  <c r="AP12" i="95" l="1"/>
  <c r="AR12" i="95" s="1"/>
  <c r="AR10" i="95"/>
  <c r="AP14" i="95"/>
  <c r="AB12" i="94" l="1"/>
  <c r="N237" i="94" l="1"/>
  <c r="D204" i="48" l="1"/>
  <c r="J108" i="48" l="1"/>
  <c r="I108" i="48"/>
  <c r="J50" i="48"/>
  <c r="I50" i="48"/>
  <c r="S197" i="48" l="1"/>
  <c r="R197" i="48"/>
  <c r="Q197" i="48"/>
  <c r="P197" i="48"/>
  <c r="O197" i="48"/>
  <c r="N197" i="48"/>
  <c r="M197" i="48"/>
  <c r="L197" i="48"/>
  <c r="J197" i="48"/>
  <c r="I197" i="48"/>
  <c r="H197" i="48"/>
  <c r="G197" i="48"/>
  <c r="K197" i="48"/>
  <c r="K50" i="48" l="1"/>
  <c r="K108" i="48"/>
  <c r="G60" i="49" l="1"/>
  <c r="G52" i="49"/>
  <c r="AB201" i="94" l="1"/>
  <c r="AB217" i="94"/>
  <c r="AB229" i="94"/>
  <c r="AB225" i="94"/>
  <c r="AB221" i="94"/>
  <c r="AB209" i="94"/>
  <c r="AB205" i="94"/>
  <c r="AB8" i="94"/>
  <c r="AB213" i="94"/>
  <c r="F938" i="49" l="1"/>
  <c r="F937" i="49"/>
  <c r="F936" i="49"/>
  <c r="F935" i="49"/>
  <c r="F932" i="49"/>
  <c r="F931" i="49"/>
  <c r="F928" i="49"/>
  <c r="F927" i="49"/>
  <c r="F926" i="49"/>
  <c r="F925" i="49"/>
  <c r="F924" i="49"/>
  <c r="F923" i="49"/>
  <c r="F922" i="49"/>
  <c r="F921" i="49"/>
  <c r="F920" i="49"/>
  <c r="F919" i="49"/>
  <c r="F918" i="49"/>
  <c r="F917" i="49"/>
  <c r="F916" i="49"/>
  <c r="F915" i="49"/>
  <c r="F914" i="49"/>
  <c r="F913" i="49"/>
  <c r="F912" i="49"/>
  <c r="F911" i="49"/>
  <c r="F910" i="49"/>
  <c r="F909" i="49"/>
  <c r="F908" i="49"/>
  <c r="F907" i="49"/>
  <c r="F906" i="49"/>
  <c r="F905" i="49"/>
  <c r="F904" i="49"/>
  <c r="F903" i="49"/>
  <c r="F902" i="49"/>
  <c r="F901" i="49"/>
  <c r="F900" i="49"/>
  <c r="F899" i="49"/>
  <c r="F898" i="49"/>
  <c r="F897" i="49"/>
  <c r="F896" i="49"/>
  <c r="F895" i="49"/>
  <c r="F894" i="49"/>
  <c r="F893" i="49"/>
  <c r="F892" i="49"/>
  <c r="F891" i="49"/>
  <c r="F890" i="49"/>
  <c r="F889" i="49"/>
  <c r="F888" i="49"/>
  <c r="F887" i="49"/>
  <c r="F886" i="49"/>
  <c r="F885" i="49"/>
  <c r="F884" i="49"/>
  <c r="F883" i="49"/>
  <c r="F882" i="49"/>
  <c r="F881" i="49"/>
  <c r="F880" i="49"/>
  <c r="F879" i="49"/>
  <c r="F878" i="49"/>
  <c r="F877" i="49"/>
  <c r="F876" i="49"/>
  <c r="F875" i="49"/>
  <c r="F874" i="49"/>
  <c r="F873" i="49"/>
  <c r="F872" i="49"/>
  <c r="F871" i="49"/>
  <c r="F870" i="49"/>
  <c r="F869" i="49"/>
  <c r="F868" i="49"/>
  <c r="F867" i="49"/>
  <c r="F866" i="49"/>
  <c r="F865" i="49"/>
  <c r="F864" i="49"/>
  <c r="F863" i="49"/>
  <c r="F862" i="49"/>
  <c r="F861" i="49"/>
  <c r="F860" i="49"/>
  <c r="F859" i="49"/>
  <c r="F858" i="49"/>
  <c r="F857" i="49"/>
  <c r="F856" i="49"/>
  <c r="F855" i="49"/>
  <c r="F854" i="49"/>
  <c r="F853" i="49"/>
  <c r="F852" i="49"/>
  <c r="F851" i="49"/>
  <c r="F850" i="49"/>
  <c r="F849" i="49"/>
  <c r="F848" i="49"/>
  <c r="F847" i="49"/>
  <c r="F846" i="49"/>
  <c r="F845" i="49"/>
  <c r="F844" i="49"/>
  <c r="F843" i="49"/>
  <c r="F842" i="49"/>
  <c r="F841" i="49"/>
  <c r="F840" i="49"/>
  <c r="F839" i="49"/>
  <c r="F838" i="49"/>
  <c r="F837" i="49"/>
  <c r="F836" i="49"/>
  <c r="F835" i="49"/>
  <c r="F834" i="49"/>
  <c r="F833" i="49"/>
  <c r="F832" i="49"/>
  <c r="F831" i="49"/>
  <c r="F830" i="49"/>
  <c r="F829" i="49"/>
  <c r="F828" i="49"/>
  <c r="F827" i="49"/>
  <c r="F826" i="49"/>
  <c r="F825" i="49"/>
  <c r="F824" i="49"/>
  <c r="F823" i="49"/>
  <c r="F822" i="49"/>
  <c r="F821" i="49"/>
  <c r="F818" i="49"/>
  <c r="F817" i="49"/>
  <c r="F816" i="49"/>
  <c r="F815" i="49"/>
  <c r="F814" i="49"/>
  <c r="F813" i="49"/>
  <c r="F812" i="49"/>
  <c r="F811" i="49"/>
  <c r="F810" i="49"/>
  <c r="F809" i="49"/>
  <c r="F808" i="49"/>
  <c r="F807" i="49"/>
  <c r="F806" i="49"/>
  <c r="F805" i="49"/>
  <c r="F804" i="49"/>
  <c r="F803" i="49"/>
  <c r="F802" i="49"/>
  <c r="F801" i="49"/>
  <c r="F800" i="49"/>
  <c r="F799" i="49"/>
  <c r="F798" i="49"/>
  <c r="F797" i="49"/>
  <c r="F796" i="49"/>
  <c r="F795" i="49"/>
  <c r="F794" i="49"/>
  <c r="F793" i="49"/>
  <c r="F792" i="49"/>
  <c r="F791" i="49"/>
  <c r="F790" i="49"/>
  <c r="F789" i="49"/>
  <c r="F788" i="49"/>
  <c r="F787" i="49"/>
  <c r="F786" i="49"/>
  <c r="F785" i="49"/>
  <c r="F784" i="49"/>
  <c r="F783" i="49"/>
  <c r="F782" i="49"/>
  <c r="F781" i="49"/>
  <c r="F780" i="49"/>
  <c r="F779" i="49"/>
  <c r="F778" i="49"/>
  <c r="F777" i="49"/>
  <c r="F776" i="49"/>
  <c r="F775" i="49"/>
  <c r="F774" i="49"/>
  <c r="F773" i="49"/>
  <c r="F772" i="49"/>
  <c r="F771" i="49"/>
  <c r="E956" i="49" s="1"/>
  <c r="F770" i="49"/>
  <c r="F769" i="49"/>
  <c r="F768" i="49"/>
  <c r="F767" i="49"/>
  <c r="F766" i="49"/>
  <c r="F765" i="49"/>
  <c r="F764" i="49"/>
  <c r="F763" i="49"/>
  <c r="F762" i="49"/>
  <c r="F761" i="49"/>
  <c r="F760" i="49"/>
  <c r="F759" i="49"/>
  <c r="F758" i="49"/>
  <c r="F757" i="49"/>
  <c r="F756" i="49"/>
  <c r="F755" i="49"/>
  <c r="F754" i="49"/>
  <c r="F753" i="49"/>
  <c r="F752" i="49"/>
  <c r="F751" i="49"/>
  <c r="F750" i="49"/>
  <c r="F749" i="49"/>
  <c r="F748" i="49"/>
  <c r="F747" i="49"/>
  <c r="F746" i="49"/>
  <c r="F745" i="49"/>
  <c r="F742" i="49"/>
  <c r="F741" i="49"/>
  <c r="F740" i="49"/>
  <c r="F739" i="49"/>
  <c r="F738" i="49"/>
  <c r="F737" i="49"/>
  <c r="F736" i="49"/>
  <c r="F735" i="49"/>
  <c r="F734" i="49"/>
  <c r="F733" i="49"/>
  <c r="F732" i="49"/>
  <c r="F731" i="49"/>
  <c r="F730" i="49"/>
  <c r="F729" i="49"/>
  <c r="F728" i="49"/>
  <c r="F727" i="49"/>
  <c r="F726" i="49"/>
  <c r="F725" i="49"/>
  <c r="F724" i="49"/>
  <c r="F723" i="49"/>
  <c r="F722" i="49"/>
  <c r="F721" i="49"/>
  <c r="F720" i="49"/>
  <c r="F719" i="49"/>
  <c r="F718" i="49"/>
  <c r="F717" i="49"/>
  <c r="F716" i="49"/>
  <c r="F715" i="49"/>
  <c r="F714" i="49"/>
  <c r="F713" i="49"/>
  <c r="F712" i="49"/>
  <c r="F711" i="49"/>
  <c r="F710" i="49"/>
  <c r="F709" i="49"/>
  <c r="F708" i="49"/>
  <c r="F707" i="49"/>
  <c r="F704" i="49"/>
  <c r="F703" i="49"/>
  <c r="F702" i="49"/>
  <c r="F701" i="49"/>
  <c r="F700" i="49"/>
  <c r="F699" i="49"/>
  <c r="F698" i="49"/>
  <c r="F697" i="49"/>
  <c r="F696" i="49"/>
  <c r="F695" i="49"/>
  <c r="F694" i="49"/>
  <c r="F693" i="49"/>
  <c r="F692" i="49"/>
  <c r="F691" i="49"/>
  <c r="F690" i="49"/>
  <c r="F689" i="49"/>
  <c r="F688" i="49"/>
  <c r="F687" i="49"/>
  <c r="F686" i="49"/>
  <c r="F685" i="49"/>
  <c r="F684" i="49"/>
  <c r="F683" i="49"/>
  <c r="F682" i="49"/>
  <c r="F681" i="49"/>
  <c r="F680" i="49"/>
  <c r="F679" i="49"/>
  <c r="F678" i="49"/>
  <c r="F677" i="49"/>
  <c r="F676" i="49"/>
  <c r="F675" i="49"/>
  <c r="F674" i="49"/>
  <c r="F673" i="49"/>
  <c r="F672" i="49"/>
  <c r="F671" i="49"/>
  <c r="F670" i="49"/>
  <c r="F669" i="49"/>
  <c r="F668" i="49"/>
  <c r="F667" i="49"/>
  <c r="F666" i="49"/>
  <c r="F665" i="49"/>
  <c r="F662" i="49"/>
  <c r="F661" i="49"/>
  <c r="F660" i="49"/>
  <c r="F659" i="49"/>
  <c r="F658" i="49"/>
  <c r="F657" i="49"/>
  <c r="F656" i="49"/>
  <c r="F655" i="49"/>
  <c r="F654" i="49"/>
  <c r="F653" i="49"/>
  <c r="F652" i="49"/>
  <c r="F651" i="49"/>
  <c r="F650" i="49"/>
  <c r="F649" i="49"/>
  <c r="F648" i="49"/>
  <c r="F647" i="49"/>
  <c r="F646" i="49"/>
  <c r="F645" i="49"/>
  <c r="F644" i="49"/>
  <c r="F643" i="49"/>
  <c r="F642" i="49"/>
  <c r="F641" i="49"/>
  <c r="F640" i="49"/>
  <c r="F639" i="49"/>
  <c r="F638" i="49"/>
  <c r="F637" i="49"/>
  <c r="F636" i="49"/>
  <c r="F635" i="49"/>
  <c r="F634" i="49"/>
  <c r="F633" i="49"/>
  <c r="F632" i="49"/>
  <c r="F631" i="49"/>
  <c r="F630" i="49"/>
  <c r="F629" i="49"/>
  <c r="F628" i="49"/>
  <c r="F627" i="49"/>
  <c r="F626" i="49"/>
  <c r="F625" i="49"/>
  <c r="F624" i="49"/>
  <c r="F623" i="49"/>
  <c r="F622" i="49"/>
  <c r="F621" i="49"/>
  <c r="F620" i="49"/>
  <c r="F619" i="49"/>
  <c r="F618" i="49"/>
  <c r="F617" i="49"/>
  <c r="F616" i="49"/>
  <c r="F615" i="49"/>
  <c r="F614" i="49"/>
  <c r="F613" i="49"/>
  <c r="F612" i="49"/>
  <c r="F611" i="49"/>
  <c r="F610" i="49"/>
  <c r="F609" i="49"/>
  <c r="F608" i="49"/>
  <c r="F607" i="49"/>
  <c r="F606" i="49"/>
  <c r="F605" i="49"/>
  <c r="F604" i="49"/>
  <c r="F603" i="49"/>
  <c r="F602" i="49"/>
  <c r="F601" i="49"/>
  <c r="F600" i="49"/>
  <c r="F599" i="49"/>
  <c r="F598" i="49"/>
  <c r="F597" i="49"/>
  <c r="F596" i="49"/>
  <c r="F595" i="49"/>
  <c r="F594" i="49"/>
  <c r="F593" i="49"/>
  <c r="F592" i="49"/>
  <c r="F591" i="49"/>
  <c r="F590" i="49"/>
  <c r="F589" i="49"/>
  <c r="F588" i="49"/>
  <c r="F587" i="49"/>
  <c r="F586" i="49"/>
  <c r="F585" i="49"/>
  <c r="F584" i="49"/>
  <c r="F583" i="49"/>
  <c r="F582" i="49"/>
  <c r="F581" i="49"/>
  <c r="F580" i="49"/>
  <c r="F579" i="49"/>
  <c r="F578" i="49"/>
  <c r="F577" i="49"/>
  <c r="F576" i="49"/>
  <c r="F575" i="49"/>
  <c r="F574" i="49"/>
  <c r="F573" i="49"/>
  <c r="F572" i="49"/>
  <c r="F571" i="49"/>
  <c r="F570" i="49"/>
  <c r="F569" i="49"/>
  <c r="F568" i="49"/>
  <c r="F567" i="49"/>
  <c r="F566" i="49"/>
  <c r="F565" i="49"/>
  <c r="F564" i="49"/>
  <c r="F563" i="49"/>
  <c r="F562" i="49"/>
  <c r="F561" i="49"/>
  <c r="F560" i="49"/>
  <c r="F559" i="49"/>
  <c r="F558" i="49"/>
  <c r="F557" i="49"/>
  <c r="F556" i="49"/>
  <c r="F555" i="49"/>
  <c r="F554" i="49"/>
  <c r="F553" i="49"/>
  <c r="F552" i="49"/>
  <c r="F551" i="49"/>
  <c r="F550" i="49"/>
  <c r="F549" i="49"/>
  <c r="F548" i="49"/>
  <c r="F547" i="49"/>
  <c r="F546" i="49"/>
  <c r="F545" i="49"/>
  <c r="F544" i="49"/>
  <c r="F543" i="49"/>
  <c r="F542" i="49"/>
  <c r="F541" i="49"/>
  <c r="F540" i="49"/>
  <c r="F539" i="49"/>
  <c r="F538" i="49"/>
  <c r="F537" i="49"/>
  <c r="F536" i="49"/>
  <c r="F535" i="49"/>
  <c r="F534" i="49"/>
  <c r="F533" i="49"/>
  <c r="F532" i="49"/>
  <c r="F531" i="49"/>
  <c r="F530" i="49"/>
  <c r="F529" i="49"/>
  <c r="F528" i="49"/>
  <c r="F527" i="49"/>
  <c r="F526" i="49"/>
  <c r="F525" i="49"/>
  <c r="F524" i="49"/>
  <c r="F523" i="49"/>
  <c r="F522" i="49"/>
  <c r="F521" i="49"/>
  <c r="F520" i="49"/>
  <c r="F519" i="49"/>
  <c r="F518" i="49"/>
  <c r="F517" i="49"/>
  <c r="F516" i="49"/>
  <c r="F515" i="49"/>
  <c r="F514" i="49"/>
  <c r="F513" i="49"/>
  <c r="F512" i="49"/>
  <c r="F511" i="49"/>
  <c r="F510" i="49"/>
  <c r="F509" i="49"/>
  <c r="F508" i="49"/>
  <c r="F507" i="49"/>
  <c r="F506" i="49"/>
  <c r="F505" i="49"/>
  <c r="F504" i="49"/>
  <c r="F503" i="49"/>
  <c r="F502" i="49"/>
  <c r="F501" i="49"/>
  <c r="F500" i="49"/>
  <c r="F499" i="49"/>
  <c r="F498" i="49"/>
  <c r="F497" i="49"/>
  <c r="F496" i="49"/>
  <c r="F495" i="49"/>
  <c r="F494" i="49"/>
  <c r="F493" i="49"/>
  <c r="F492" i="49"/>
  <c r="F491" i="49"/>
  <c r="F490" i="49"/>
  <c r="F489" i="49"/>
  <c r="F488" i="49"/>
  <c r="F487" i="49"/>
  <c r="F486" i="49"/>
  <c r="F485" i="49"/>
  <c r="F484" i="49"/>
  <c r="F483" i="49"/>
  <c r="F482" i="49"/>
  <c r="F481" i="49"/>
  <c r="F480" i="49"/>
  <c r="F479" i="49"/>
  <c r="F478" i="49"/>
  <c r="F477" i="49"/>
  <c r="F476" i="49"/>
  <c r="F475" i="49"/>
  <c r="F474" i="49"/>
  <c r="F473" i="49"/>
  <c r="F472" i="49"/>
  <c r="F471" i="49"/>
  <c r="F470" i="49"/>
  <c r="F469" i="49"/>
  <c r="F468" i="49"/>
  <c r="F467" i="49"/>
  <c r="F466" i="49"/>
  <c r="F465" i="49"/>
  <c r="F464" i="49"/>
  <c r="F463" i="49"/>
  <c r="F462" i="49"/>
  <c r="F461" i="49"/>
  <c r="F460" i="49"/>
  <c r="F459" i="49"/>
  <c r="F458" i="49"/>
  <c r="F457" i="49"/>
  <c r="F456" i="49"/>
  <c r="F455" i="49"/>
  <c r="F454" i="49"/>
  <c r="F453" i="49"/>
  <c r="F452" i="49"/>
  <c r="F451" i="49"/>
  <c r="F450" i="49"/>
  <c r="F449" i="49"/>
  <c r="F448" i="49"/>
  <c r="F447" i="49"/>
  <c r="F446" i="49"/>
  <c r="F445" i="49"/>
  <c r="F444" i="49"/>
  <c r="F443" i="49"/>
  <c r="F442" i="49"/>
  <c r="F441" i="49"/>
  <c r="F440" i="49"/>
  <c r="F439" i="49"/>
  <c r="F436" i="49"/>
  <c r="F435" i="49"/>
  <c r="F434" i="49"/>
  <c r="F433" i="49"/>
  <c r="F432" i="49"/>
  <c r="F431" i="49"/>
  <c r="F430" i="49"/>
  <c r="F429" i="49"/>
  <c r="F428" i="49"/>
  <c r="F427" i="49"/>
  <c r="F426" i="49"/>
  <c r="F425" i="49"/>
  <c r="F424" i="49"/>
  <c r="F423" i="49"/>
  <c r="F422" i="49"/>
  <c r="F421" i="49"/>
  <c r="F420" i="49"/>
  <c r="F419" i="49"/>
  <c r="F418" i="49"/>
  <c r="F417" i="49"/>
  <c r="F416" i="49"/>
  <c r="F415" i="49"/>
  <c r="F414" i="49"/>
  <c r="F413" i="49"/>
  <c r="F412" i="49"/>
  <c r="F411" i="49"/>
  <c r="F410" i="49"/>
  <c r="F409" i="49"/>
  <c r="F408" i="49"/>
  <c r="F407" i="49"/>
  <c r="F406" i="49"/>
  <c r="F405" i="49"/>
  <c r="F404" i="49"/>
  <c r="F403" i="49"/>
  <c r="F402" i="49"/>
  <c r="F401" i="49"/>
  <c r="F400" i="49"/>
  <c r="F399" i="49"/>
  <c r="F398" i="49"/>
  <c r="F397" i="49"/>
  <c r="F396" i="49"/>
  <c r="F395" i="49"/>
  <c r="F394" i="49"/>
  <c r="F393" i="49"/>
  <c r="F392" i="49"/>
  <c r="F391" i="49"/>
  <c r="F390" i="49"/>
  <c r="F389" i="49"/>
  <c r="F388" i="49"/>
  <c r="F387" i="49"/>
  <c r="F386" i="49"/>
  <c r="F385" i="49"/>
  <c r="F384" i="49"/>
  <c r="F383" i="49"/>
  <c r="F382" i="49"/>
  <c r="F381" i="49"/>
  <c r="F380" i="49"/>
  <c r="F379" i="49"/>
  <c r="F378" i="49"/>
  <c r="F377" i="49"/>
  <c r="F376" i="49"/>
  <c r="F375" i="49"/>
  <c r="F374" i="49"/>
  <c r="F373" i="49"/>
  <c r="F372" i="49"/>
  <c r="F371" i="49"/>
  <c r="F370" i="49"/>
  <c r="F369" i="49"/>
  <c r="F368" i="49"/>
  <c r="F367" i="49"/>
  <c r="F366" i="49"/>
  <c r="F365" i="49"/>
  <c r="F364" i="49"/>
  <c r="F363" i="49"/>
  <c r="F362" i="49"/>
  <c r="F361" i="49"/>
  <c r="F360" i="49"/>
  <c r="F359" i="49"/>
  <c r="F358" i="49"/>
  <c r="F357" i="49"/>
  <c r="F356" i="49"/>
  <c r="F355" i="49"/>
  <c r="F354" i="49"/>
  <c r="F353" i="49"/>
  <c r="F352" i="49"/>
  <c r="F351" i="49"/>
  <c r="F350" i="49"/>
  <c r="F349" i="49"/>
  <c r="F348" i="49"/>
  <c r="F347" i="49"/>
  <c r="F346" i="49"/>
  <c r="F345" i="49"/>
  <c r="F344" i="49"/>
  <c r="F343" i="49"/>
  <c r="F342" i="49"/>
  <c r="F341" i="49"/>
  <c r="F340" i="49"/>
  <c r="F339" i="49"/>
  <c r="F338" i="49"/>
  <c r="F337" i="49"/>
  <c r="F336" i="49"/>
  <c r="F335" i="49"/>
  <c r="F334" i="49"/>
  <c r="F333" i="49"/>
  <c r="F332" i="49"/>
  <c r="F331" i="49"/>
  <c r="F330" i="49"/>
  <c r="F329" i="49"/>
  <c r="F328" i="49"/>
  <c r="F327" i="49"/>
  <c r="F326" i="49"/>
  <c r="F325" i="49"/>
  <c r="F324" i="49"/>
  <c r="F323" i="49"/>
  <c r="F322" i="49"/>
  <c r="F321" i="49"/>
  <c r="F320" i="49"/>
  <c r="F319" i="49"/>
  <c r="F318" i="49"/>
  <c r="F317" i="49"/>
  <c r="F316" i="49"/>
  <c r="F315" i="49"/>
  <c r="F314" i="49"/>
  <c r="F313" i="49"/>
  <c r="F312" i="49"/>
  <c r="F311" i="49"/>
  <c r="F310" i="49"/>
  <c r="F309" i="49"/>
  <c r="F308" i="49"/>
  <c r="F307" i="49"/>
  <c r="F306" i="49"/>
  <c r="F305" i="49"/>
  <c r="F304" i="49"/>
  <c r="F303" i="49"/>
  <c r="F302" i="49"/>
  <c r="F301" i="49"/>
  <c r="F300" i="49"/>
  <c r="F299" i="49"/>
  <c r="F298" i="49"/>
  <c r="F297" i="49"/>
  <c r="F296" i="49"/>
  <c r="F295" i="49"/>
  <c r="F294" i="49"/>
  <c r="F293" i="49"/>
  <c r="F292" i="49"/>
  <c r="F291" i="49"/>
  <c r="F290" i="49"/>
  <c r="F289" i="49"/>
  <c r="F288" i="49"/>
  <c r="F287" i="49"/>
  <c r="F286" i="49"/>
  <c r="F285" i="49"/>
  <c r="F284" i="49"/>
  <c r="F283" i="49"/>
  <c r="F282" i="49"/>
  <c r="F281" i="49"/>
  <c r="F280" i="49"/>
  <c r="F279" i="49"/>
  <c r="F278" i="49"/>
  <c r="F277" i="49"/>
  <c r="F276" i="49"/>
  <c r="F275" i="49"/>
  <c r="F274" i="49"/>
  <c r="F273" i="49"/>
  <c r="F272" i="49"/>
  <c r="F271" i="49"/>
  <c r="F270" i="49"/>
  <c r="F269" i="49"/>
  <c r="F268" i="49"/>
  <c r="F267" i="49"/>
  <c r="F266" i="49"/>
  <c r="F265" i="49"/>
  <c r="F264" i="49"/>
  <c r="F263" i="49"/>
  <c r="F262" i="49"/>
  <c r="F261" i="49"/>
  <c r="F260" i="49"/>
  <c r="F259" i="49"/>
  <c r="F258" i="49"/>
  <c r="F257" i="49"/>
  <c r="F256" i="49"/>
  <c r="F255" i="49"/>
  <c r="F254" i="49"/>
  <c r="F253" i="49"/>
  <c r="F252" i="49"/>
  <c r="F251" i="49"/>
  <c r="F250" i="49"/>
  <c r="F249" i="49"/>
  <c r="F248" i="49"/>
  <c r="F247" i="49"/>
  <c r="F246" i="49"/>
  <c r="F245" i="49"/>
  <c r="F244" i="49"/>
  <c r="F243" i="49"/>
  <c r="F242" i="49"/>
  <c r="F241" i="49"/>
  <c r="F240" i="49"/>
  <c r="F239" i="49"/>
  <c r="F238" i="49"/>
  <c r="F237" i="49"/>
  <c r="F236" i="49"/>
  <c r="F235" i="49"/>
  <c r="F234" i="49"/>
  <c r="F233" i="49"/>
  <c r="F232" i="49"/>
  <c r="F231" i="49"/>
  <c r="F230" i="49"/>
  <c r="F229" i="49"/>
  <c r="F228" i="49"/>
  <c r="F227" i="49"/>
  <c r="F226" i="49"/>
  <c r="F225" i="49"/>
  <c r="F224" i="49"/>
  <c r="F223" i="49"/>
  <c r="F222" i="49"/>
  <c r="F221" i="49"/>
  <c r="F218" i="49"/>
  <c r="F217" i="49"/>
  <c r="F216" i="49"/>
  <c r="F215" i="49"/>
  <c r="F214" i="49"/>
  <c r="F213" i="49"/>
  <c r="F212" i="49"/>
  <c r="F211" i="49"/>
  <c r="F210" i="49"/>
  <c r="F209" i="49"/>
  <c r="F208" i="49"/>
  <c r="F207" i="49"/>
  <c r="F206" i="49"/>
  <c r="F205" i="49"/>
  <c r="F204" i="49"/>
  <c r="F203" i="49"/>
  <c r="F202" i="49"/>
  <c r="F201" i="49"/>
  <c r="F200" i="49"/>
  <c r="F199" i="49"/>
  <c r="F198" i="49"/>
  <c r="F197" i="49"/>
  <c r="F196" i="49"/>
  <c r="F195" i="49"/>
  <c r="F194" i="49"/>
  <c r="F193" i="49"/>
  <c r="F192" i="49"/>
  <c r="F191" i="49"/>
  <c r="F190" i="49"/>
  <c r="F189" i="49"/>
  <c r="F186" i="49"/>
  <c r="F185" i="49"/>
  <c r="F184" i="49"/>
  <c r="F183" i="49"/>
  <c r="F182" i="49"/>
  <c r="F181" i="49"/>
  <c r="F180" i="49"/>
  <c r="F179" i="49"/>
  <c r="F178" i="49"/>
  <c r="F177" i="49"/>
  <c r="F176" i="49"/>
  <c r="F175" i="49"/>
  <c r="F174" i="49"/>
  <c r="F173" i="49"/>
  <c r="F172" i="49"/>
  <c r="F171" i="49"/>
  <c r="F170" i="49"/>
  <c r="F169" i="49"/>
  <c r="F168" i="49"/>
  <c r="F167" i="49"/>
  <c r="F166" i="49"/>
  <c r="F165" i="49"/>
  <c r="F164" i="49"/>
  <c r="F163" i="49"/>
  <c r="F162" i="49"/>
  <c r="F161" i="49"/>
  <c r="F160" i="49"/>
  <c r="F159" i="49"/>
  <c r="F156" i="49"/>
  <c r="F155" i="49"/>
  <c r="F154" i="49"/>
  <c r="F153" i="49"/>
  <c r="F152" i="49"/>
  <c r="F151" i="49"/>
  <c r="F150" i="49"/>
  <c r="F149" i="49"/>
  <c r="F148" i="49"/>
  <c r="F147" i="49"/>
  <c r="F146" i="49"/>
  <c r="F145" i="49"/>
  <c r="F142" i="49"/>
  <c r="F141" i="49"/>
  <c r="F140" i="49"/>
  <c r="F139" i="49"/>
  <c r="F138" i="49"/>
  <c r="F137" i="49"/>
  <c r="F136" i="49"/>
  <c r="F135" i="49"/>
  <c r="F132" i="49"/>
  <c r="F131" i="49"/>
  <c r="F130" i="49"/>
  <c r="F129" i="49"/>
  <c r="F128" i="49"/>
  <c r="F127" i="49"/>
  <c r="F126" i="49"/>
  <c r="F125" i="49"/>
  <c r="F118" i="49"/>
  <c r="F117" i="49"/>
  <c r="F116" i="49"/>
  <c r="F115" i="49"/>
  <c r="F114" i="49"/>
  <c r="F113" i="49"/>
  <c r="F112" i="49"/>
  <c r="F111" i="49"/>
  <c r="F108" i="49"/>
  <c r="F107" i="49"/>
  <c r="F106" i="49"/>
  <c r="F105" i="49"/>
  <c r="F104" i="49"/>
  <c r="F103" i="49"/>
  <c r="F96" i="49"/>
  <c r="F95" i="49"/>
  <c r="F94" i="49"/>
  <c r="F93" i="49"/>
  <c r="F92" i="49"/>
  <c r="F91" i="49"/>
  <c r="F90" i="49"/>
  <c r="F89" i="49"/>
  <c r="F88" i="49"/>
  <c r="F87" i="49"/>
  <c r="F86" i="49"/>
  <c r="F85" i="49"/>
  <c r="F84" i="49"/>
  <c r="F83" i="49"/>
  <c r="F80" i="49"/>
  <c r="F79" i="49"/>
  <c r="F78" i="49"/>
  <c r="F77" i="49"/>
  <c r="F76" i="49"/>
  <c r="F75" i="49"/>
  <c r="F74" i="49"/>
  <c r="F73" i="49"/>
  <c r="F72" i="49"/>
  <c r="F71" i="49"/>
  <c r="F66" i="49"/>
  <c r="F65" i="49"/>
  <c r="F64" i="49"/>
  <c r="F63" i="49"/>
  <c r="F62" i="49"/>
  <c r="F61" i="49"/>
  <c r="F60" i="49"/>
  <c r="F59" i="49"/>
  <c r="F58" i="49"/>
  <c r="F57" i="49"/>
  <c r="F56" i="49"/>
  <c r="F55" i="49"/>
  <c r="F54" i="49"/>
  <c r="F53" i="49"/>
  <c r="F52" i="49"/>
  <c r="F51" i="49"/>
  <c r="F50"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18" i="49"/>
  <c r="F17" i="49"/>
  <c r="F16" i="49"/>
  <c r="F15" i="49"/>
  <c r="F14" i="49"/>
  <c r="F13" i="49"/>
  <c r="F12" i="49"/>
  <c r="F11" i="49"/>
  <c r="F10" i="49"/>
  <c r="F9" i="49"/>
  <c r="F956" i="49" l="1"/>
  <c r="M955" i="49"/>
  <c r="P955" i="49"/>
  <c r="O955" i="49"/>
  <c r="N955" i="49"/>
  <c r="I956" i="49"/>
  <c r="P956" i="49"/>
  <c r="H956" i="49"/>
  <c r="L955" i="49"/>
  <c r="L956" i="49"/>
  <c r="K956" i="49"/>
  <c r="J956" i="49"/>
  <c r="K955" i="49"/>
  <c r="E955" i="49"/>
  <c r="Q956" i="49"/>
  <c r="O956" i="49"/>
  <c r="N956" i="49"/>
  <c r="J955" i="49"/>
  <c r="G956" i="49"/>
  <c r="M956" i="49"/>
  <c r="Q955" i="49"/>
  <c r="I955" i="49"/>
  <c r="H955" i="49"/>
  <c r="G955" i="49"/>
  <c r="F955" i="49"/>
  <c r="AB159" i="94"/>
  <c r="H248" i="94" l="1"/>
  <c r="H246" i="94"/>
  <c r="H244" i="94"/>
  <c r="H242" i="94"/>
  <c r="H240" i="94"/>
  <c r="H238" i="94"/>
  <c r="H234" i="94"/>
  <c r="H232" i="94"/>
  <c r="H228" i="94"/>
  <c r="H224" i="94"/>
  <c r="H220" i="94"/>
  <c r="H216" i="94"/>
  <c r="H212" i="94"/>
  <c r="H208" i="94"/>
  <c r="H204" i="94"/>
  <c r="H200" i="94"/>
  <c r="H196" i="94"/>
  <c r="H194" i="94"/>
  <c r="H188" i="94"/>
  <c r="H186" i="94"/>
  <c r="H184" i="94"/>
  <c r="H182" i="94"/>
  <c r="H180" i="94"/>
  <c r="H178" i="94"/>
  <c r="H176" i="94"/>
  <c r="H174" i="94"/>
  <c r="H172" i="94"/>
  <c r="H170" i="94"/>
  <c r="H168" i="94"/>
  <c r="H166" i="94"/>
  <c r="H162" i="94"/>
  <c r="H160" i="94"/>
  <c r="H158" i="94"/>
  <c r="H154" i="94"/>
  <c r="H152" i="94"/>
  <c r="H150" i="94"/>
  <c r="H148" i="94"/>
  <c r="H146" i="94"/>
  <c r="H144" i="94"/>
  <c r="H142" i="94"/>
  <c r="H138" i="94"/>
  <c r="H136" i="94"/>
  <c r="H134" i="94"/>
  <c r="H132" i="94"/>
  <c r="H130" i="94"/>
  <c r="H128" i="94"/>
  <c r="H126" i="94"/>
  <c r="H122" i="94"/>
  <c r="H120" i="94"/>
  <c r="H118" i="94"/>
  <c r="H116" i="94"/>
  <c r="H114" i="94"/>
  <c r="H112" i="94"/>
  <c r="H108" i="94"/>
  <c r="H106" i="94"/>
  <c r="H104" i="94"/>
  <c r="H102" i="94"/>
  <c r="H98" i="94"/>
  <c r="H96" i="94"/>
  <c r="H94" i="94"/>
  <c r="H92" i="94"/>
  <c r="H90" i="94"/>
  <c r="H9" i="94"/>
  <c r="H11" i="94"/>
  <c r="H13" i="94"/>
  <c r="H15" i="94"/>
  <c r="H17" i="94"/>
  <c r="H19" i="94"/>
  <c r="H21" i="94"/>
  <c r="H23" i="94"/>
  <c r="H25" i="94"/>
  <c r="H27" i="94"/>
  <c r="H29" i="94"/>
  <c r="H31" i="94"/>
  <c r="H33" i="94"/>
  <c r="H35" i="94"/>
  <c r="H37" i="94"/>
  <c r="H39" i="94"/>
  <c r="H41" i="94"/>
  <c r="H43" i="94"/>
  <c r="H45" i="94"/>
  <c r="H47" i="94"/>
  <c r="H49" i="94"/>
  <c r="H51" i="94"/>
  <c r="H53" i="94"/>
  <c r="H55" i="94"/>
  <c r="H57" i="94"/>
  <c r="H59" i="94"/>
  <c r="H61" i="94"/>
  <c r="H63" i="94"/>
  <c r="H65" i="94"/>
  <c r="H67" i="94"/>
  <c r="H69" i="94"/>
  <c r="H71" i="94"/>
  <c r="H73" i="94"/>
  <c r="H75" i="94"/>
  <c r="H77" i="94"/>
  <c r="H79" i="94"/>
  <c r="H7" i="94"/>
  <c r="U259" i="94"/>
  <c r="T259" i="94"/>
  <c r="S259" i="94"/>
  <c r="R259" i="94"/>
  <c r="Q259" i="94"/>
  <c r="P259" i="94"/>
  <c r="O259" i="94"/>
  <c r="N259" i="94"/>
  <c r="M259" i="94"/>
  <c r="L259" i="94"/>
  <c r="K259" i="94"/>
  <c r="J259" i="94"/>
  <c r="I259" i="94"/>
  <c r="AB256" i="94"/>
  <c r="AB254" i="94" s="1"/>
  <c r="V256" i="94"/>
  <c r="X256" i="94" s="1"/>
  <c r="X259" i="94" s="1"/>
  <c r="J13" i="87" s="1"/>
  <c r="F13" i="87" s="1"/>
  <c r="G256" i="94"/>
  <c r="X255" i="94"/>
  <c r="G255" i="94"/>
  <c r="AB249" i="94"/>
  <c r="V249" i="94"/>
  <c r="X249" i="94" s="1"/>
  <c r="G249" i="94"/>
  <c r="X248" i="94"/>
  <c r="G248" i="94"/>
  <c r="AB247" i="94"/>
  <c r="V247" i="94"/>
  <c r="X247" i="94" s="1"/>
  <c r="G247" i="94"/>
  <c r="X246" i="94"/>
  <c r="G246" i="94"/>
  <c r="AB245" i="94"/>
  <c r="V245" i="94"/>
  <c r="X245" i="94" s="1"/>
  <c r="G245" i="94"/>
  <c r="X244" i="94"/>
  <c r="G244" i="94"/>
  <c r="AB243" i="94"/>
  <c r="V243" i="94"/>
  <c r="X243" i="94" s="1"/>
  <c r="G243" i="94"/>
  <c r="X242" i="94"/>
  <c r="G242" i="94"/>
  <c r="AB241" i="94"/>
  <c r="V241" i="94"/>
  <c r="X241" i="94" s="1"/>
  <c r="G241" i="94"/>
  <c r="X240" i="94"/>
  <c r="G240" i="94"/>
  <c r="AB239" i="94"/>
  <c r="V239" i="94"/>
  <c r="X239" i="94" s="1"/>
  <c r="G239" i="94"/>
  <c r="X238" i="94"/>
  <c r="G238" i="94"/>
  <c r="U237" i="94"/>
  <c r="T237" i="94"/>
  <c r="S237" i="94"/>
  <c r="R237" i="94"/>
  <c r="Q237" i="94"/>
  <c r="P237" i="94"/>
  <c r="O237" i="94"/>
  <c r="M237" i="94"/>
  <c r="L237" i="94"/>
  <c r="K237" i="94"/>
  <c r="J237" i="94"/>
  <c r="I237" i="94"/>
  <c r="V235" i="94"/>
  <c r="G235" i="94"/>
  <c r="X234" i="94"/>
  <c r="G234" i="94"/>
  <c r="V233" i="94"/>
  <c r="G233" i="94"/>
  <c r="X232" i="94"/>
  <c r="G232" i="94"/>
  <c r="U231" i="94"/>
  <c r="T231" i="94"/>
  <c r="S231" i="94"/>
  <c r="R231" i="94"/>
  <c r="Q231" i="94"/>
  <c r="P231" i="94"/>
  <c r="O231" i="94"/>
  <c r="N231" i="94"/>
  <c r="M231" i="94"/>
  <c r="K231" i="94"/>
  <c r="J231" i="94"/>
  <c r="V229" i="94"/>
  <c r="X229" i="94" s="1"/>
  <c r="G229" i="94"/>
  <c r="X228" i="94"/>
  <c r="G228" i="94"/>
  <c r="U227" i="94"/>
  <c r="T227" i="94"/>
  <c r="S227" i="94"/>
  <c r="R227" i="94"/>
  <c r="Q227" i="94"/>
  <c r="P227" i="94"/>
  <c r="O227" i="94"/>
  <c r="N227" i="94"/>
  <c r="M227" i="94"/>
  <c r="L227" i="94"/>
  <c r="K227" i="94"/>
  <c r="J227" i="94"/>
  <c r="V225" i="94"/>
  <c r="X225" i="94" s="1"/>
  <c r="G225" i="94"/>
  <c r="X224" i="94"/>
  <c r="X222" i="94" s="1"/>
  <c r="G224" i="94"/>
  <c r="U223" i="94"/>
  <c r="T223" i="94"/>
  <c r="S223" i="94"/>
  <c r="R223" i="94"/>
  <c r="Q223" i="94"/>
  <c r="P223" i="94"/>
  <c r="O223" i="94"/>
  <c r="N223" i="94"/>
  <c r="M223" i="94"/>
  <c r="L223" i="94"/>
  <c r="K223" i="94"/>
  <c r="J223" i="94"/>
  <c r="I223" i="94"/>
  <c r="V221" i="94"/>
  <c r="X221" i="94" s="1"/>
  <c r="G221" i="94"/>
  <c r="X220" i="94"/>
  <c r="G220" i="94"/>
  <c r="U219" i="94"/>
  <c r="T219" i="94"/>
  <c r="S219" i="94"/>
  <c r="R219" i="94"/>
  <c r="Q219" i="94"/>
  <c r="P219" i="94"/>
  <c r="O219" i="94"/>
  <c r="N219" i="94"/>
  <c r="M219" i="94"/>
  <c r="L219" i="94"/>
  <c r="K219" i="94"/>
  <c r="J219" i="94"/>
  <c r="I219" i="94"/>
  <c r="V217" i="94"/>
  <c r="X217" i="94" s="1"/>
  <c r="G217" i="94"/>
  <c r="X216" i="94"/>
  <c r="AC217" i="94" s="1"/>
  <c r="G216" i="94"/>
  <c r="U215" i="94"/>
  <c r="T215" i="94"/>
  <c r="S215" i="94"/>
  <c r="R215" i="94"/>
  <c r="Q215" i="94"/>
  <c r="P215" i="94"/>
  <c r="O215" i="94"/>
  <c r="N215" i="94"/>
  <c r="M215" i="94"/>
  <c r="L215" i="94"/>
  <c r="K215" i="94"/>
  <c r="J215" i="94"/>
  <c r="I215" i="94"/>
  <c r="V213" i="94"/>
  <c r="X213" i="94" s="1"/>
  <c r="X211" i="94" s="1"/>
  <c r="J16" i="87" s="1"/>
  <c r="F16" i="87" s="1"/>
  <c r="G213" i="94"/>
  <c r="X212" i="94"/>
  <c r="X210" i="94" s="1"/>
  <c r="G212" i="94"/>
  <c r="T211" i="94"/>
  <c r="S211" i="94"/>
  <c r="R211" i="94"/>
  <c r="Q211" i="94"/>
  <c r="P211" i="94"/>
  <c r="O211" i="94"/>
  <c r="N211" i="94"/>
  <c r="M211" i="94"/>
  <c r="L211" i="94"/>
  <c r="K211" i="94"/>
  <c r="J211" i="94"/>
  <c r="V209" i="94"/>
  <c r="X209" i="94" s="1"/>
  <c r="G209" i="94"/>
  <c r="X208" i="94"/>
  <c r="X206" i="94" s="1"/>
  <c r="G208" i="94"/>
  <c r="U207" i="94"/>
  <c r="T207" i="94"/>
  <c r="S207" i="94"/>
  <c r="R207" i="94"/>
  <c r="Q207" i="94"/>
  <c r="P207" i="94"/>
  <c r="O207" i="94"/>
  <c r="N207" i="94"/>
  <c r="M207" i="94"/>
  <c r="L207" i="94"/>
  <c r="K207" i="94"/>
  <c r="J207" i="94"/>
  <c r="V205" i="94"/>
  <c r="X205" i="94" s="1"/>
  <c r="G205" i="94"/>
  <c r="X204" i="94"/>
  <c r="X202" i="94" s="1"/>
  <c r="G204" i="94"/>
  <c r="U203" i="94"/>
  <c r="T203" i="94"/>
  <c r="S203" i="94"/>
  <c r="R203" i="94"/>
  <c r="Q203" i="94"/>
  <c r="P203" i="94"/>
  <c r="O203" i="94"/>
  <c r="N203" i="94"/>
  <c r="M203" i="94"/>
  <c r="L203" i="94"/>
  <c r="K203" i="94"/>
  <c r="J203" i="94"/>
  <c r="I203" i="94"/>
  <c r="V201" i="94"/>
  <c r="X201" i="94" s="1"/>
  <c r="G201" i="94"/>
  <c r="X200" i="94"/>
  <c r="G200" i="94"/>
  <c r="U199" i="94"/>
  <c r="T199" i="94"/>
  <c r="S199" i="94"/>
  <c r="R199" i="94"/>
  <c r="Q199" i="94"/>
  <c r="P199" i="94"/>
  <c r="O199" i="94"/>
  <c r="N199" i="94"/>
  <c r="M199" i="94"/>
  <c r="L199" i="94"/>
  <c r="K199" i="94"/>
  <c r="J199" i="94"/>
  <c r="AB197" i="94"/>
  <c r="V197" i="94"/>
  <c r="X197" i="94" s="1"/>
  <c r="G197" i="94"/>
  <c r="V196" i="94"/>
  <c r="G196" i="94"/>
  <c r="AB195" i="94"/>
  <c r="V195" i="94"/>
  <c r="X195" i="94" s="1"/>
  <c r="G195" i="94"/>
  <c r="V194" i="94"/>
  <c r="G194" i="94"/>
  <c r="AB189" i="94"/>
  <c r="V189" i="94"/>
  <c r="X189" i="94" s="1"/>
  <c r="G189" i="94"/>
  <c r="U188" i="94"/>
  <c r="V188" i="94" s="1"/>
  <c r="X188" i="94" s="1"/>
  <c r="G188" i="94"/>
  <c r="AB187" i="94"/>
  <c r="V187" i="94"/>
  <c r="X187" i="94" s="1"/>
  <c r="G187" i="94"/>
  <c r="U186" i="94"/>
  <c r="V186" i="94" s="1"/>
  <c r="X186" i="94" s="1"/>
  <c r="G186" i="94"/>
  <c r="AB185" i="94"/>
  <c r="V185" i="94"/>
  <c r="X185" i="94" s="1"/>
  <c r="G185" i="94"/>
  <c r="U184" i="94"/>
  <c r="V184" i="94" s="1"/>
  <c r="X184" i="94" s="1"/>
  <c r="G184" i="94"/>
  <c r="AB183" i="94"/>
  <c r="V183" i="94"/>
  <c r="X183" i="94" s="1"/>
  <c r="G183" i="94"/>
  <c r="U182" i="94"/>
  <c r="V182" i="94" s="1"/>
  <c r="X182" i="94" s="1"/>
  <c r="G182" i="94"/>
  <c r="AB181" i="94"/>
  <c r="V181" i="94"/>
  <c r="X181" i="94" s="1"/>
  <c r="G181" i="94"/>
  <c r="U180" i="94"/>
  <c r="V180" i="94" s="1"/>
  <c r="X180" i="94" s="1"/>
  <c r="G180" i="94"/>
  <c r="AB179" i="94"/>
  <c r="V179" i="94"/>
  <c r="X179" i="94" s="1"/>
  <c r="G179" i="94"/>
  <c r="U178" i="94"/>
  <c r="V178" i="94" s="1"/>
  <c r="X178" i="94" s="1"/>
  <c r="G178" i="94"/>
  <c r="AB177" i="94"/>
  <c r="V177" i="94"/>
  <c r="X177" i="94" s="1"/>
  <c r="G177" i="94"/>
  <c r="U176" i="94"/>
  <c r="V176" i="94" s="1"/>
  <c r="X176" i="94" s="1"/>
  <c r="G176" i="94"/>
  <c r="AB175" i="94"/>
  <c r="V175" i="94"/>
  <c r="X175" i="94" s="1"/>
  <c r="G175" i="94"/>
  <c r="U174" i="94"/>
  <c r="V174" i="94" s="1"/>
  <c r="X174" i="94" s="1"/>
  <c r="G174" i="94"/>
  <c r="AB173" i="94"/>
  <c r="V173" i="94"/>
  <c r="X173" i="94" s="1"/>
  <c r="G173" i="94"/>
  <c r="U172" i="94"/>
  <c r="V172" i="94" s="1"/>
  <c r="X172" i="94" s="1"/>
  <c r="G172" i="94"/>
  <c r="AB171" i="94"/>
  <c r="V171" i="94"/>
  <c r="X171" i="94" s="1"/>
  <c r="G171" i="94"/>
  <c r="U170" i="94"/>
  <c r="V170" i="94" s="1"/>
  <c r="X170" i="94" s="1"/>
  <c r="G170" i="94"/>
  <c r="AB169" i="94"/>
  <c r="V169" i="94"/>
  <c r="X169" i="94" s="1"/>
  <c r="G169" i="94"/>
  <c r="X168" i="94"/>
  <c r="G168" i="94"/>
  <c r="AB167" i="94"/>
  <c r="V167" i="94"/>
  <c r="X167" i="94" s="1"/>
  <c r="G167" i="94"/>
  <c r="X166" i="94"/>
  <c r="G166" i="94"/>
  <c r="AB163" i="94"/>
  <c r="V163" i="94"/>
  <c r="X163" i="94" s="1"/>
  <c r="G163" i="94"/>
  <c r="X162" i="94"/>
  <c r="G162" i="94"/>
  <c r="AB161" i="94"/>
  <c r="V161" i="94"/>
  <c r="X161" i="94" s="1"/>
  <c r="G161" i="94"/>
  <c r="X160" i="94"/>
  <c r="G160" i="94"/>
  <c r="V159" i="94"/>
  <c r="G159" i="94"/>
  <c r="X158" i="94"/>
  <c r="G158" i="94"/>
  <c r="U157" i="94"/>
  <c r="T157" i="94"/>
  <c r="S157" i="94"/>
  <c r="R157" i="94"/>
  <c r="Q157" i="94"/>
  <c r="P157" i="94"/>
  <c r="O157" i="94"/>
  <c r="N157" i="94"/>
  <c r="M157" i="94"/>
  <c r="L157" i="94"/>
  <c r="K157" i="94"/>
  <c r="J157" i="94"/>
  <c r="I157" i="94"/>
  <c r="AB155" i="94"/>
  <c r="G155" i="94"/>
  <c r="G154" i="94"/>
  <c r="AB153" i="94"/>
  <c r="G153" i="94"/>
  <c r="G152" i="94"/>
  <c r="AB151" i="94"/>
  <c r="V151" i="94"/>
  <c r="X151" i="94" s="1"/>
  <c r="G151" i="94"/>
  <c r="X150" i="94"/>
  <c r="G150" i="94"/>
  <c r="AB149" i="94"/>
  <c r="V149" i="94"/>
  <c r="X149" i="94" s="1"/>
  <c r="G149" i="94"/>
  <c r="X148" i="94"/>
  <c r="G148" i="94"/>
  <c r="AB147" i="94"/>
  <c r="V147" i="94"/>
  <c r="X147" i="94" s="1"/>
  <c r="G147" i="94"/>
  <c r="X146" i="94"/>
  <c r="G146" i="94"/>
  <c r="AB145" i="94"/>
  <c r="V145" i="94"/>
  <c r="X145" i="94" s="1"/>
  <c r="G145" i="94"/>
  <c r="X144" i="94"/>
  <c r="G144" i="94"/>
  <c r="AB143" i="94"/>
  <c r="V143" i="94"/>
  <c r="X143" i="94" s="1"/>
  <c r="G143" i="94"/>
  <c r="X142" i="94"/>
  <c r="G142" i="94"/>
  <c r="U141" i="94"/>
  <c r="T141" i="94"/>
  <c r="S141" i="94"/>
  <c r="R141" i="94"/>
  <c r="Q141" i="94"/>
  <c r="P141" i="94"/>
  <c r="O141" i="94"/>
  <c r="N141" i="94"/>
  <c r="M141" i="94"/>
  <c r="L141" i="94"/>
  <c r="K141" i="94"/>
  <c r="J141" i="94"/>
  <c r="I141" i="94"/>
  <c r="AB139" i="94"/>
  <c r="V139" i="94"/>
  <c r="X139" i="94" s="1"/>
  <c r="G139" i="94"/>
  <c r="X138" i="94"/>
  <c r="G138" i="94"/>
  <c r="AB137" i="94"/>
  <c r="V137" i="94"/>
  <c r="X137" i="94" s="1"/>
  <c r="G137" i="94"/>
  <c r="X136" i="94"/>
  <c r="G136" i="94"/>
  <c r="AB135" i="94"/>
  <c r="V135" i="94"/>
  <c r="X135" i="94" s="1"/>
  <c r="G135" i="94"/>
  <c r="X134" i="94"/>
  <c r="G134" i="94"/>
  <c r="AB133" i="94"/>
  <c r="V133" i="94"/>
  <c r="X133" i="94" s="1"/>
  <c r="G133" i="94"/>
  <c r="X132" i="94"/>
  <c r="G132" i="94"/>
  <c r="AB131" i="94"/>
  <c r="V131" i="94"/>
  <c r="X131" i="94" s="1"/>
  <c r="G131" i="94"/>
  <c r="X130" i="94"/>
  <c r="G130" i="94"/>
  <c r="AB129" i="94"/>
  <c r="V129" i="94"/>
  <c r="X129" i="94" s="1"/>
  <c r="G129" i="94"/>
  <c r="X128" i="94"/>
  <c r="G128" i="94"/>
  <c r="AB127" i="94"/>
  <c r="V127" i="94"/>
  <c r="X127" i="94" s="1"/>
  <c r="G127" i="94"/>
  <c r="U126" i="94"/>
  <c r="V126" i="94" s="1"/>
  <c r="X126" i="94" s="1"/>
  <c r="G126" i="94"/>
  <c r="U125" i="94"/>
  <c r="T125" i="94"/>
  <c r="S125" i="94"/>
  <c r="R125" i="94"/>
  <c r="Q125" i="94"/>
  <c r="P125" i="94"/>
  <c r="O125" i="94"/>
  <c r="N125" i="94"/>
  <c r="M125" i="94"/>
  <c r="L125" i="94"/>
  <c r="K125" i="94"/>
  <c r="J125" i="94"/>
  <c r="I125" i="94"/>
  <c r="AB123" i="94"/>
  <c r="V123" i="94"/>
  <c r="X123" i="94" s="1"/>
  <c r="G123" i="94"/>
  <c r="X122" i="94"/>
  <c r="G122" i="94"/>
  <c r="AB121" i="94"/>
  <c r="V121" i="94"/>
  <c r="X121" i="94" s="1"/>
  <c r="G121" i="94"/>
  <c r="X120" i="94"/>
  <c r="G120" i="94"/>
  <c r="AB119" i="94"/>
  <c r="V119" i="94"/>
  <c r="X119" i="94" s="1"/>
  <c r="G119" i="94"/>
  <c r="X118" i="94"/>
  <c r="G118" i="94"/>
  <c r="AB117" i="94"/>
  <c r="V117" i="94"/>
  <c r="X117" i="94" s="1"/>
  <c r="G117" i="94"/>
  <c r="X116" i="94"/>
  <c r="G116" i="94"/>
  <c r="AB115" i="94"/>
  <c r="V115" i="94"/>
  <c r="X115" i="94" s="1"/>
  <c r="G115" i="94"/>
  <c r="X114" i="94"/>
  <c r="G114" i="94"/>
  <c r="AB113" i="94"/>
  <c r="V113" i="94"/>
  <c r="X113" i="94" s="1"/>
  <c r="G113" i="94"/>
  <c r="V112" i="94"/>
  <c r="X112" i="94" s="1"/>
  <c r="G112" i="94"/>
  <c r="U111" i="94"/>
  <c r="T111" i="94"/>
  <c r="S111" i="94"/>
  <c r="R111" i="94"/>
  <c r="Q111" i="94"/>
  <c r="P111" i="94"/>
  <c r="O111" i="94"/>
  <c r="N111" i="94"/>
  <c r="M111" i="94"/>
  <c r="L111" i="94"/>
  <c r="K111" i="94"/>
  <c r="J111" i="94"/>
  <c r="I111" i="94"/>
  <c r="AB109" i="94"/>
  <c r="V109" i="94"/>
  <c r="X109" i="94" s="1"/>
  <c r="G109" i="94"/>
  <c r="X108" i="94"/>
  <c r="G108" i="94"/>
  <c r="AB107" i="94"/>
  <c r="V107" i="94"/>
  <c r="X107" i="94" s="1"/>
  <c r="G107" i="94"/>
  <c r="X106" i="94"/>
  <c r="G106" i="94"/>
  <c r="AB105" i="94"/>
  <c r="V105" i="94"/>
  <c r="X105" i="94" s="1"/>
  <c r="G105" i="94"/>
  <c r="X104" i="94"/>
  <c r="G104" i="94"/>
  <c r="AB103" i="94"/>
  <c r="V103" i="94"/>
  <c r="X103" i="94" s="1"/>
  <c r="G103" i="94"/>
  <c r="X102" i="94"/>
  <c r="G102" i="94"/>
  <c r="U101" i="94"/>
  <c r="T101" i="94"/>
  <c r="S101" i="94"/>
  <c r="R101" i="94"/>
  <c r="Q101" i="94"/>
  <c r="P101" i="94"/>
  <c r="N101" i="94"/>
  <c r="M101" i="94"/>
  <c r="L101" i="94"/>
  <c r="K101" i="94"/>
  <c r="J101" i="94"/>
  <c r="I101" i="94"/>
  <c r="AB99" i="94"/>
  <c r="V99" i="94"/>
  <c r="X99" i="94" s="1"/>
  <c r="G99" i="94"/>
  <c r="U98" i="94"/>
  <c r="V98" i="94" s="1"/>
  <c r="X98" i="94" s="1"/>
  <c r="G98" i="94"/>
  <c r="AB97" i="94"/>
  <c r="V97" i="94"/>
  <c r="X97" i="94" s="1"/>
  <c r="G97" i="94"/>
  <c r="V96" i="94"/>
  <c r="X96" i="94" s="1"/>
  <c r="G96" i="94"/>
  <c r="AB95" i="94"/>
  <c r="V95" i="94"/>
  <c r="X95" i="94" s="1"/>
  <c r="G95" i="94"/>
  <c r="V94" i="94"/>
  <c r="X94" i="94" s="1"/>
  <c r="G94" i="94"/>
  <c r="AB93" i="94"/>
  <c r="V93" i="94"/>
  <c r="X93" i="94" s="1"/>
  <c r="G93" i="94"/>
  <c r="V92" i="94"/>
  <c r="X92" i="94" s="1"/>
  <c r="G92" i="94"/>
  <c r="AB91" i="94"/>
  <c r="V91" i="94"/>
  <c r="X91" i="94" s="1"/>
  <c r="G91" i="94"/>
  <c r="V90" i="94"/>
  <c r="X90" i="94" s="1"/>
  <c r="G90" i="94"/>
  <c r="U89" i="94"/>
  <c r="T89" i="94"/>
  <c r="S89" i="94"/>
  <c r="R89" i="94"/>
  <c r="Q89" i="94"/>
  <c r="P89" i="94"/>
  <c r="O89" i="94"/>
  <c r="N89" i="94"/>
  <c r="M89" i="94"/>
  <c r="L89" i="94"/>
  <c r="K89" i="94"/>
  <c r="J89" i="94"/>
  <c r="I89" i="94"/>
  <c r="U83" i="94"/>
  <c r="T83" i="94"/>
  <c r="R83" i="94"/>
  <c r="Q83" i="94"/>
  <c r="P83" i="94"/>
  <c r="AB80" i="94"/>
  <c r="V80" i="94"/>
  <c r="X80" i="94" s="1"/>
  <c r="G80" i="94"/>
  <c r="V79" i="94"/>
  <c r="X79" i="94" s="1"/>
  <c r="G79" i="94"/>
  <c r="AB78" i="94"/>
  <c r="V78" i="94"/>
  <c r="X78" i="94" s="1"/>
  <c r="G78" i="94"/>
  <c r="V77" i="94"/>
  <c r="X77" i="94" s="1"/>
  <c r="G77" i="94"/>
  <c r="AB76" i="94"/>
  <c r="V76" i="94"/>
  <c r="X76" i="94" s="1"/>
  <c r="G76" i="94"/>
  <c r="X75" i="94"/>
  <c r="G75" i="94"/>
  <c r="AB74" i="94"/>
  <c r="V74" i="94"/>
  <c r="X74" i="94" s="1"/>
  <c r="G74" i="94"/>
  <c r="X73" i="94"/>
  <c r="G73" i="94"/>
  <c r="AB72" i="94"/>
  <c r="V72" i="94"/>
  <c r="X72" i="94" s="1"/>
  <c r="G72" i="94"/>
  <c r="V71" i="94"/>
  <c r="X71" i="94" s="1"/>
  <c r="G71" i="94"/>
  <c r="AB70" i="94"/>
  <c r="V70" i="94"/>
  <c r="X70" i="94" s="1"/>
  <c r="G70" i="94"/>
  <c r="V69" i="94"/>
  <c r="X69" i="94" s="1"/>
  <c r="G69" i="94"/>
  <c r="AB68" i="94"/>
  <c r="V68" i="94"/>
  <c r="X68" i="94" s="1"/>
  <c r="G68" i="94"/>
  <c r="V67" i="94"/>
  <c r="X67" i="94" s="1"/>
  <c r="G67" i="94"/>
  <c r="AB66" i="94"/>
  <c r="V66" i="94"/>
  <c r="X66" i="94" s="1"/>
  <c r="G66" i="94"/>
  <c r="V65" i="94"/>
  <c r="X65" i="94" s="1"/>
  <c r="G65" i="94"/>
  <c r="AB64" i="94"/>
  <c r="V64" i="94"/>
  <c r="X64" i="94" s="1"/>
  <c r="G64" i="94"/>
  <c r="V63" i="94"/>
  <c r="X63" i="94" s="1"/>
  <c r="G63" i="94"/>
  <c r="AB62" i="94"/>
  <c r="V62" i="94"/>
  <c r="X62" i="94" s="1"/>
  <c r="G62" i="94"/>
  <c r="V61" i="94"/>
  <c r="X61" i="94" s="1"/>
  <c r="G61" i="94"/>
  <c r="G60" i="94"/>
  <c r="V59" i="94"/>
  <c r="X59" i="94" s="1"/>
  <c r="G59" i="94"/>
  <c r="G58" i="94"/>
  <c r="V57" i="94"/>
  <c r="X57" i="94" s="1"/>
  <c r="G57" i="94"/>
  <c r="AB56" i="94"/>
  <c r="V56" i="94"/>
  <c r="X56" i="94" s="1"/>
  <c r="G56" i="94"/>
  <c r="V55" i="94"/>
  <c r="X55" i="94" s="1"/>
  <c r="G55" i="94"/>
  <c r="G54" i="94"/>
  <c r="V53" i="94"/>
  <c r="X53" i="94" s="1"/>
  <c r="G53" i="94"/>
  <c r="G52" i="94"/>
  <c r="V51" i="94"/>
  <c r="X51" i="94" s="1"/>
  <c r="G51" i="94"/>
  <c r="G50" i="94"/>
  <c r="V49" i="94"/>
  <c r="X49" i="94" s="1"/>
  <c r="G49" i="94"/>
  <c r="G48" i="94"/>
  <c r="V47" i="94"/>
  <c r="X47" i="94" s="1"/>
  <c r="G47" i="94"/>
  <c r="G46" i="94"/>
  <c r="V45" i="94"/>
  <c r="X45" i="94" s="1"/>
  <c r="G45" i="94"/>
  <c r="AB44" i="94"/>
  <c r="V44" i="94"/>
  <c r="X44" i="94" s="1"/>
  <c r="G44" i="94"/>
  <c r="V43" i="94"/>
  <c r="X43" i="94" s="1"/>
  <c r="G43" i="94"/>
  <c r="AB42" i="94"/>
  <c r="V42" i="94"/>
  <c r="X42" i="94" s="1"/>
  <c r="G42" i="94"/>
  <c r="V41" i="94"/>
  <c r="X41" i="94" s="1"/>
  <c r="G41" i="94"/>
  <c r="AB40" i="94"/>
  <c r="V40" i="94"/>
  <c r="X40" i="94" s="1"/>
  <c r="G40" i="94"/>
  <c r="V39" i="94"/>
  <c r="X39" i="94" s="1"/>
  <c r="G39" i="94"/>
  <c r="G38" i="94"/>
  <c r="V37" i="94"/>
  <c r="X37" i="94" s="1"/>
  <c r="G37" i="94"/>
  <c r="G36" i="94"/>
  <c r="V35" i="94"/>
  <c r="X35" i="94" s="1"/>
  <c r="G35" i="94"/>
  <c r="G34" i="94"/>
  <c r="V33" i="94"/>
  <c r="X33" i="94" s="1"/>
  <c r="G33" i="94"/>
  <c r="AB32" i="94"/>
  <c r="V32" i="94"/>
  <c r="X32" i="94" s="1"/>
  <c r="G32" i="94"/>
  <c r="V31" i="94"/>
  <c r="X31" i="94" s="1"/>
  <c r="G31" i="94"/>
  <c r="G30" i="94"/>
  <c r="V29" i="94"/>
  <c r="X29" i="94" s="1"/>
  <c r="G29" i="94"/>
  <c r="AB28" i="94"/>
  <c r="V28" i="94"/>
  <c r="X28" i="94" s="1"/>
  <c r="G28" i="94"/>
  <c r="V27" i="94"/>
  <c r="X27" i="94" s="1"/>
  <c r="G27" i="94"/>
  <c r="G26" i="94"/>
  <c r="V25" i="94"/>
  <c r="X25" i="94" s="1"/>
  <c r="G25" i="94"/>
  <c r="AB24" i="94"/>
  <c r="V24" i="94"/>
  <c r="X24" i="94" s="1"/>
  <c r="G24" i="94"/>
  <c r="V23" i="94"/>
  <c r="X23" i="94" s="1"/>
  <c r="G23" i="94"/>
  <c r="AB22" i="94"/>
  <c r="V22" i="94"/>
  <c r="X22" i="94" s="1"/>
  <c r="G22" i="94"/>
  <c r="V21" i="94"/>
  <c r="X21" i="94" s="1"/>
  <c r="G21" i="94"/>
  <c r="G20" i="94"/>
  <c r="V19" i="94"/>
  <c r="X19" i="94" s="1"/>
  <c r="G19" i="94"/>
  <c r="G18" i="94"/>
  <c r="V17" i="94"/>
  <c r="X17" i="94" s="1"/>
  <c r="G17" i="94"/>
  <c r="G16" i="94"/>
  <c r="V15" i="94"/>
  <c r="X15" i="94" s="1"/>
  <c r="G15" i="94"/>
  <c r="AB14" i="94"/>
  <c r="V14" i="94"/>
  <c r="X14" i="94" s="1"/>
  <c r="G14" i="94"/>
  <c r="V13" i="94"/>
  <c r="X13" i="94" s="1"/>
  <c r="G13" i="94"/>
  <c r="V12" i="94"/>
  <c r="X12" i="94" s="1"/>
  <c r="G12" i="94"/>
  <c r="V11" i="94"/>
  <c r="X11" i="94" s="1"/>
  <c r="G11" i="94"/>
  <c r="AB10" i="94"/>
  <c r="V10" i="94"/>
  <c r="X10" i="94" s="1"/>
  <c r="G10" i="94"/>
  <c r="V9" i="94"/>
  <c r="X9" i="94" s="1"/>
  <c r="G9" i="94"/>
  <c r="V8" i="94"/>
  <c r="X8" i="94" s="1"/>
  <c r="G8" i="94"/>
  <c r="V7" i="94"/>
  <c r="G7" i="94"/>
  <c r="J252" i="94" l="1"/>
  <c r="AC159" i="94"/>
  <c r="AD159" i="94" s="1"/>
  <c r="X156" i="94"/>
  <c r="X233" i="94"/>
  <c r="Y233" i="94" s="1"/>
  <c r="H233" i="94" s="1"/>
  <c r="AB233" i="94"/>
  <c r="AC233" i="94" s="1"/>
  <c r="AD233" i="94" s="1"/>
  <c r="X235" i="94"/>
  <c r="Y235" i="94" s="1"/>
  <c r="H235" i="94" s="1"/>
  <c r="AB235" i="94"/>
  <c r="AC235" i="94" s="1"/>
  <c r="AD235" i="94" s="1"/>
  <c r="AC255" i="94"/>
  <c r="AD255" i="94" s="1"/>
  <c r="I13" i="90"/>
  <c r="E13" i="90" s="1"/>
  <c r="I4" i="87"/>
  <c r="E4" i="87" s="1"/>
  <c r="I4" i="90"/>
  <c r="E4" i="90" s="1"/>
  <c r="I9" i="87"/>
  <c r="E9" i="87" s="1"/>
  <c r="I9" i="90"/>
  <c r="E9" i="90" s="1"/>
  <c r="I15" i="90"/>
  <c r="E15" i="90" s="1"/>
  <c r="I15" i="87"/>
  <c r="E15" i="87" s="1"/>
  <c r="I16" i="87"/>
  <c r="E16" i="87" s="1"/>
  <c r="I16" i="90"/>
  <c r="E16" i="90" s="1"/>
  <c r="X159" i="94"/>
  <c r="X157" i="94" s="1"/>
  <c r="J19" i="87" s="1"/>
  <c r="F19" i="87" s="1"/>
  <c r="U211" i="94"/>
  <c r="V211" i="94" s="1"/>
  <c r="AC62" i="94"/>
  <c r="AD62" i="94" s="1"/>
  <c r="Y121" i="94"/>
  <c r="H121" i="94" s="1"/>
  <c r="Y119" i="94"/>
  <c r="H119" i="94" s="1"/>
  <c r="Y151" i="94"/>
  <c r="H151" i="94" s="1"/>
  <c r="AC249" i="94"/>
  <c r="AD249" i="94" s="1"/>
  <c r="Y107" i="94"/>
  <c r="H107" i="94" s="1"/>
  <c r="Y187" i="94"/>
  <c r="H187" i="94" s="1"/>
  <c r="AC107" i="94"/>
  <c r="AD107" i="94" s="1"/>
  <c r="AC14" i="94"/>
  <c r="AD14" i="94" s="1"/>
  <c r="AC169" i="94"/>
  <c r="Z169" i="94" s="1"/>
  <c r="AC205" i="94"/>
  <c r="AD205" i="94" s="1"/>
  <c r="AC179" i="94"/>
  <c r="AD179" i="94" s="1"/>
  <c r="AC225" i="94"/>
  <c r="AD225" i="94" s="1"/>
  <c r="AC245" i="94"/>
  <c r="AD245" i="94" s="1"/>
  <c r="Y145" i="94"/>
  <c r="H145" i="94" s="1"/>
  <c r="Y167" i="94"/>
  <c r="H167" i="94" s="1"/>
  <c r="AC127" i="94"/>
  <c r="AD127" i="94" s="1"/>
  <c r="AC10" i="94"/>
  <c r="AD10" i="94" s="1"/>
  <c r="AC115" i="94"/>
  <c r="AD115" i="94" s="1"/>
  <c r="AC131" i="94"/>
  <c r="AD131" i="94" s="1"/>
  <c r="Y221" i="94"/>
  <c r="H221" i="94" s="1"/>
  <c r="AC247" i="94"/>
  <c r="AD247" i="94" s="1"/>
  <c r="AC221" i="94"/>
  <c r="AC219" i="94" s="1"/>
  <c r="J11" i="90" s="1"/>
  <c r="F11" i="90" s="1"/>
  <c r="AC119" i="94"/>
  <c r="AD119" i="94" s="1"/>
  <c r="AC135" i="94"/>
  <c r="AD135" i="94" s="1"/>
  <c r="AC56" i="94"/>
  <c r="AD56" i="94" s="1"/>
  <c r="AC151" i="94"/>
  <c r="AD151" i="94" s="1"/>
  <c r="Y161" i="94"/>
  <c r="H161" i="94" s="1"/>
  <c r="AC209" i="94"/>
  <c r="AD209" i="94" s="1"/>
  <c r="Y249" i="94"/>
  <c r="H249" i="94" s="1"/>
  <c r="Y78" i="94"/>
  <c r="H78" i="94" s="1"/>
  <c r="Y149" i="94"/>
  <c r="H149" i="94" s="1"/>
  <c r="AC44" i="94"/>
  <c r="Z44" i="94" s="1"/>
  <c r="AC97" i="94"/>
  <c r="AD97" i="94" s="1"/>
  <c r="AC243" i="94"/>
  <c r="AD243" i="94" s="1"/>
  <c r="Y109" i="94"/>
  <c r="H109" i="94" s="1"/>
  <c r="Y115" i="94"/>
  <c r="H115" i="94" s="1"/>
  <c r="Y247" i="94"/>
  <c r="H247" i="94" s="1"/>
  <c r="Y123" i="94"/>
  <c r="H123" i="94" s="1"/>
  <c r="AC129" i="94"/>
  <c r="AD129" i="94" s="1"/>
  <c r="AC161" i="94"/>
  <c r="AD161" i="94" s="1"/>
  <c r="Y245" i="94"/>
  <c r="H245" i="94" s="1"/>
  <c r="Y76" i="94"/>
  <c r="H76" i="94" s="1"/>
  <c r="AC123" i="94"/>
  <c r="AD123" i="94" s="1"/>
  <c r="Y133" i="94"/>
  <c r="H133" i="94" s="1"/>
  <c r="AC137" i="94"/>
  <c r="AD137" i="94" s="1"/>
  <c r="Y175" i="94"/>
  <c r="H175" i="94" s="1"/>
  <c r="AC181" i="94"/>
  <c r="AD181" i="94" s="1"/>
  <c r="AC185" i="94"/>
  <c r="AD185" i="94" s="1"/>
  <c r="AC197" i="94"/>
  <c r="AD197" i="94" s="1"/>
  <c r="AC175" i="94"/>
  <c r="AD175" i="94" s="1"/>
  <c r="AC239" i="94"/>
  <c r="Z239" i="94" s="1"/>
  <c r="AC76" i="94"/>
  <c r="AD76" i="94" s="1"/>
  <c r="V101" i="94"/>
  <c r="Y103" i="94"/>
  <c r="H103" i="94" s="1"/>
  <c r="Y143" i="94"/>
  <c r="H143" i="94" s="1"/>
  <c r="Y155" i="94"/>
  <c r="Y185" i="94"/>
  <c r="H185" i="94" s="1"/>
  <c r="Y243" i="94"/>
  <c r="H243" i="94" s="1"/>
  <c r="Y97" i="94"/>
  <c r="H97" i="94" s="1"/>
  <c r="AC155" i="94"/>
  <c r="AD155" i="94" s="1"/>
  <c r="AC189" i="94"/>
  <c r="AD189" i="94" s="1"/>
  <c r="AC42" i="94"/>
  <c r="AD42" i="94" s="1"/>
  <c r="AC109" i="94"/>
  <c r="AD109" i="94" s="1"/>
  <c r="Y147" i="94"/>
  <c r="H147" i="94" s="1"/>
  <c r="Y135" i="94"/>
  <c r="H135" i="94" s="1"/>
  <c r="Y241" i="94"/>
  <c r="H241" i="94" s="1"/>
  <c r="Y205" i="94"/>
  <c r="H205" i="94" s="1"/>
  <c r="X203" i="94"/>
  <c r="Y225" i="94"/>
  <c r="H225" i="94" s="1"/>
  <c r="X223" i="94"/>
  <c r="X125" i="94"/>
  <c r="J17" i="87" s="1"/>
  <c r="F17" i="87" s="1"/>
  <c r="Y127" i="94"/>
  <c r="H127" i="94" s="1"/>
  <c r="AC28" i="94"/>
  <c r="Z28" i="94" s="1"/>
  <c r="Y24" i="94"/>
  <c r="H24" i="94" s="1"/>
  <c r="AC78" i="94"/>
  <c r="AD78" i="94" s="1"/>
  <c r="AC74" i="94"/>
  <c r="AD74" i="94" s="1"/>
  <c r="AC105" i="94"/>
  <c r="Z105" i="94" s="1"/>
  <c r="AC147" i="94"/>
  <c r="AD147" i="94" s="1"/>
  <c r="AC22" i="94"/>
  <c r="AD22" i="94" s="1"/>
  <c r="AC95" i="94"/>
  <c r="AD95" i="94" s="1"/>
  <c r="AC103" i="94"/>
  <c r="AD103" i="94" s="1"/>
  <c r="X100" i="94"/>
  <c r="V141" i="94"/>
  <c r="AC145" i="94"/>
  <c r="AD145" i="94" s="1"/>
  <c r="AC149" i="94"/>
  <c r="AD149" i="94" s="1"/>
  <c r="V157" i="94"/>
  <c r="AC163" i="94"/>
  <c r="AD163" i="94" s="1"/>
  <c r="P252" i="94"/>
  <c r="P261" i="94" s="1"/>
  <c r="AC177" i="94"/>
  <c r="AD177" i="94" s="1"/>
  <c r="V215" i="94"/>
  <c r="M252" i="94"/>
  <c r="AC229" i="94"/>
  <c r="Z229" i="94" s="1"/>
  <c r="K252" i="94"/>
  <c r="S252" i="94"/>
  <c r="AC201" i="94"/>
  <c r="Z201" i="94" s="1"/>
  <c r="Y10" i="94"/>
  <c r="H10" i="94" s="1"/>
  <c r="Y95" i="94"/>
  <c r="H95" i="94" s="1"/>
  <c r="Y137" i="94"/>
  <c r="H137" i="94" s="1"/>
  <c r="Y44" i="94"/>
  <c r="H44" i="94" s="1"/>
  <c r="Y14" i="94"/>
  <c r="H14" i="94" s="1"/>
  <c r="AC121" i="94"/>
  <c r="AD121" i="94" s="1"/>
  <c r="AC143" i="94"/>
  <c r="Z143" i="94" s="1"/>
  <c r="AC153" i="94"/>
  <c r="AD153" i="94" s="1"/>
  <c r="L252" i="94"/>
  <c r="T252" i="94"/>
  <c r="T261" i="94" s="1"/>
  <c r="X258" i="94"/>
  <c r="Y28" i="94"/>
  <c r="H28" i="94" s="1"/>
  <c r="V199" i="94"/>
  <c r="Y163" i="94"/>
  <c r="H163" i="94" s="1"/>
  <c r="Y12" i="94"/>
  <c r="H12" i="94" s="1"/>
  <c r="Y32" i="94"/>
  <c r="H32" i="94" s="1"/>
  <c r="Y66" i="94"/>
  <c r="H66" i="94" s="1"/>
  <c r="AC80" i="94"/>
  <c r="AD80" i="94" s="1"/>
  <c r="AC91" i="94"/>
  <c r="Z91" i="94" s="1"/>
  <c r="V111" i="94"/>
  <c r="Y129" i="94"/>
  <c r="H129" i="94" s="1"/>
  <c r="AC133" i="94"/>
  <c r="AD133" i="94" s="1"/>
  <c r="AC167" i="94"/>
  <c r="AD167" i="94" s="1"/>
  <c r="X164" i="94"/>
  <c r="Y179" i="94"/>
  <c r="H179" i="94" s="1"/>
  <c r="AC187" i="94"/>
  <c r="AD187" i="94" s="1"/>
  <c r="V207" i="94"/>
  <c r="V219" i="94"/>
  <c r="X226" i="94"/>
  <c r="V231" i="94"/>
  <c r="J276" i="94"/>
  <c r="Y42" i="94"/>
  <c r="H42" i="94" s="1"/>
  <c r="AC12" i="94"/>
  <c r="AD12" i="94" s="1"/>
  <c r="AC213" i="94"/>
  <c r="AC211" i="94" s="1"/>
  <c r="Y195" i="94"/>
  <c r="H195" i="94" s="1"/>
  <c r="Y239" i="94"/>
  <c r="H239" i="94" s="1"/>
  <c r="AC241" i="94"/>
  <c r="AD241" i="94" s="1"/>
  <c r="F276" i="94"/>
  <c r="AC32" i="94"/>
  <c r="AD32" i="94" s="1"/>
  <c r="Y40" i="94"/>
  <c r="H40" i="94" s="1"/>
  <c r="Y91" i="94"/>
  <c r="H91" i="94" s="1"/>
  <c r="X89" i="94"/>
  <c r="J14" i="87" s="1"/>
  <c r="F14" i="87" s="1"/>
  <c r="Y201" i="94"/>
  <c r="H201" i="94" s="1"/>
  <c r="X199" i="94"/>
  <c r="J8" i="87" s="1"/>
  <c r="F8" i="87" s="1"/>
  <c r="AC40" i="94"/>
  <c r="AD40" i="94" s="1"/>
  <c r="X88" i="94"/>
  <c r="AC93" i="94"/>
  <c r="AD93" i="94" s="1"/>
  <c r="AC24" i="94"/>
  <c r="AD24" i="94" s="1"/>
  <c r="Y22" i="94"/>
  <c r="H22" i="94" s="1"/>
  <c r="AC68" i="94"/>
  <c r="AD68" i="94" s="1"/>
  <c r="AC113" i="94"/>
  <c r="X110" i="94"/>
  <c r="Y173" i="94"/>
  <c r="H173" i="94" s="1"/>
  <c r="V227" i="94"/>
  <c r="Y68" i="94"/>
  <c r="H68" i="94" s="1"/>
  <c r="Y256" i="94"/>
  <c r="H256" i="94" s="1"/>
  <c r="R277" i="94"/>
  <c r="J277" i="94"/>
  <c r="O276" i="94"/>
  <c r="G276" i="94"/>
  <c r="Q277" i="94"/>
  <c r="P277" i="94"/>
  <c r="H277" i="94"/>
  <c r="M276" i="94"/>
  <c r="O277" i="94"/>
  <c r="G277" i="94"/>
  <c r="L276" i="94"/>
  <c r="N277" i="94"/>
  <c r="M277" i="94"/>
  <c r="L277" i="94"/>
  <c r="Q276" i="94"/>
  <c r="I276" i="94"/>
  <c r="K277" i="94"/>
  <c r="P276" i="94"/>
  <c r="H276" i="94"/>
  <c r="Y56" i="94"/>
  <c r="H56" i="94" s="1"/>
  <c r="Y62" i="94"/>
  <c r="H62" i="94" s="1"/>
  <c r="Y64" i="94"/>
  <c r="H64" i="94" s="1"/>
  <c r="AC66" i="94"/>
  <c r="AD66" i="94" s="1"/>
  <c r="Y70" i="94"/>
  <c r="H70" i="94" s="1"/>
  <c r="Y72" i="94"/>
  <c r="H72" i="94" s="1"/>
  <c r="Y74" i="94"/>
  <c r="H74" i="94" s="1"/>
  <c r="Y80" i="94"/>
  <c r="H80" i="94" s="1"/>
  <c r="Y99" i="94"/>
  <c r="H99" i="94" s="1"/>
  <c r="V125" i="94"/>
  <c r="Y139" i="94"/>
  <c r="H139" i="94" s="1"/>
  <c r="Y183" i="94"/>
  <c r="H183" i="94" s="1"/>
  <c r="Y197" i="94"/>
  <c r="H197" i="94" s="1"/>
  <c r="Y217" i="94"/>
  <c r="H217" i="94" s="1"/>
  <c r="X230" i="94"/>
  <c r="R252" i="94"/>
  <c r="R261" i="94" s="1"/>
  <c r="K276" i="94"/>
  <c r="X101" i="94"/>
  <c r="J10" i="87" s="1"/>
  <c r="F10" i="87" s="1"/>
  <c r="Y105" i="94"/>
  <c r="H105" i="94" s="1"/>
  <c r="X254" i="94"/>
  <c r="Y93" i="94"/>
  <c r="H93" i="94" s="1"/>
  <c r="X111" i="94"/>
  <c r="J21" i="87" s="1"/>
  <c r="F21" i="87" s="1"/>
  <c r="Y117" i="94"/>
  <c r="H117" i="94" s="1"/>
  <c r="X124" i="94"/>
  <c r="V165" i="94"/>
  <c r="Y171" i="94"/>
  <c r="H171" i="94" s="1"/>
  <c r="AC173" i="94"/>
  <c r="AD173" i="94" s="1"/>
  <c r="Y181" i="94"/>
  <c r="H181" i="94" s="1"/>
  <c r="AC183" i="94"/>
  <c r="AD183" i="94" s="1"/>
  <c r="V203" i="94"/>
  <c r="Y211" i="94"/>
  <c r="H16" i="87" s="1"/>
  <c r="N252" i="94"/>
  <c r="X237" i="94"/>
  <c r="J7" i="87" s="1"/>
  <c r="F7" i="87" s="1"/>
  <c r="N276" i="94"/>
  <c r="X214" i="94"/>
  <c r="V82" i="94"/>
  <c r="AC64" i="94"/>
  <c r="AD64" i="94" s="1"/>
  <c r="AC70" i="94"/>
  <c r="AD70" i="94" s="1"/>
  <c r="AC72" i="94"/>
  <c r="AD72" i="94" s="1"/>
  <c r="AC99" i="94"/>
  <c r="AD99" i="94" s="1"/>
  <c r="Y113" i="94"/>
  <c r="H113" i="94" s="1"/>
  <c r="AC117" i="94"/>
  <c r="AD117" i="94" s="1"/>
  <c r="AC139" i="94"/>
  <c r="AD139" i="94" s="1"/>
  <c r="X141" i="94"/>
  <c r="J18" i="87" s="1"/>
  <c r="F18" i="87" s="1"/>
  <c r="X165" i="94"/>
  <c r="J20" i="87" s="1"/>
  <c r="F20" i="87" s="1"/>
  <c r="Y169" i="94"/>
  <c r="H169" i="94" s="1"/>
  <c r="AC171" i="94"/>
  <c r="AD171" i="94" s="1"/>
  <c r="Y209" i="94"/>
  <c r="H209" i="94" s="1"/>
  <c r="X207" i="94"/>
  <c r="Y213" i="94"/>
  <c r="H213" i="94" s="1"/>
  <c r="Z217" i="94"/>
  <c r="X219" i="94"/>
  <c r="O252" i="94"/>
  <c r="R276" i="94"/>
  <c r="X7" i="94"/>
  <c r="AC8" i="94" s="1"/>
  <c r="Z8" i="94" s="1"/>
  <c r="Y131" i="94"/>
  <c r="H131" i="94" s="1"/>
  <c r="X140" i="94"/>
  <c r="Y153" i="94"/>
  <c r="Y189" i="94"/>
  <c r="H189" i="94" s="1"/>
  <c r="AC195" i="94"/>
  <c r="AD195" i="94" s="1"/>
  <c r="X215" i="94"/>
  <c r="J5" i="87" s="1"/>
  <c r="F5" i="87" s="1"/>
  <c r="V223" i="94"/>
  <c r="X236" i="94"/>
  <c r="F277" i="94"/>
  <c r="Y177" i="94"/>
  <c r="H177" i="94" s="1"/>
  <c r="Y229" i="94"/>
  <c r="H229" i="94" s="1"/>
  <c r="X227" i="94"/>
  <c r="J12" i="87" s="1"/>
  <c r="F12" i="87" s="1"/>
  <c r="I252" i="94"/>
  <c r="Q252" i="94"/>
  <c r="Q261" i="94" s="1"/>
  <c r="I277" i="94"/>
  <c r="AC256" i="94"/>
  <c r="J13" i="90" s="1"/>
  <c r="F13" i="90" s="1"/>
  <c r="X218" i="94"/>
  <c r="X198" i="94"/>
  <c r="V237" i="94"/>
  <c r="X231" i="94" l="1"/>
  <c r="J6" i="87" s="1"/>
  <c r="F6" i="87" s="1"/>
  <c r="X82" i="94"/>
  <c r="J11" i="87"/>
  <c r="F11" i="87" s="1"/>
  <c r="Y159" i="94"/>
  <c r="H159" i="94" s="1"/>
  <c r="Z109" i="94"/>
  <c r="Z243" i="94"/>
  <c r="Z151" i="94"/>
  <c r="Y203" i="94"/>
  <c r="H9" i="87" s="1"/>
  <c r="J9" i="87"/>
  <c r="F9" i="87" s="1"/>
  <c r="Y259" i="94"/>
  <c r="I13" i="87"/>
  <c r="E13" i="87" s="1"/>
  <c r="I6" i="87"/>
  <c r="E6" i="87" s="1"/>
  <c r="I6" i="90"/>
  <c r="E6" i="90" s="1"/>
  <c r="I21" i="87"/>
  <c r="E21" i="87" s="1"/>
  <c r="I21" i="90"/>
  <c r="E21" i="90" s="1"/>
  <c r="I19" i="87"/>
  <c r="E19" i="87" s="1"/>
  <c r="I19" i="90"/>
  <c r="E19" i="90" s="1"/>
  <c r="D263" i="94"/>
  <c r="E278" i="94" s="1"/>
  <c r="I11" i="87"/>
  <c r="E11" i="87" s="1"/>
  <c r="I11" i="90"/>
  <c r="E11" i="90" s="1"/>
  <c r="I18" i="90"/>
  <c r="E18" i="90" s="1"/>
  <c r="I18" i="87"/>
  <c r="E18" i="87" s="1"/>
  <c r="I17" i="87"/>
  <c r="E17" i="87" s="1"/>
  <c r="I17" i="90"/>
  <c r="E17" i="90" s="1"/>
  <c r="I12" i="90"/>
  <c r="E12" i="90" s="1"/>
  <c r="I12" i="87"/>
  <c r="E12" i="87" s="1"/>
  <c r="I8" i="87"/>
  <c r="E8" i="87" s="1"/>
  <c r="I8" i="90"/>
  <c r="E8" i="90" s="1"/>
  <c r="I10" i="90"/>
  <c r="E10" i="90" s="1"/>
  <c r="I10" i="87"/>
  <c r="E10" i="87" s="1"/>
  <c r="Y207" i="94"/>
  <c r="H15" i="87" s="1"/>
  <c r="J15" i="87"/>
  <c r="F15" i="87" s="1"/>
  <c r="I7" i="90"/>
  <c r="E7" i="90" s="1"/>
  <c r="I7" i="87"/>
  <c r="E7" i="87" s="1"/>
  <c r="I5" i="90"/>
  <c r="E5" i="90" s="1"/>
  <c r="I5" i="87"/>
  <c r="E5" i="87" s="1"/>
  <c r="I14" i="87"/>
  <c r="E14" i="87" s="1"/>
  <c r="I14" i="90"/>
  <c r="E14" i="90" s="1"/>
  <c r="AD211" i="94"/>
  <c r="H16" i="90" s="1"/>
  <c r="J16" i="90"/>
  <c r="F16" i="90" s="1"/>
  <c r="Y223" i="94"/>
  <c r="H4" i="87" s="1"/>
  <c r="J4" i="87"/>
  <c r="F4" i="87" s="1"/>
  <c r="I20" i="87"/>
  <c r="E20" i="87" s="1"/>
  <c r="I20" i="90"/>
  <c r="E20" i="90" s="1"/>
  <c r="Z62" i="94"/>
  <c r="Z103" i="94"/>
  <c r="Z247" i="94"/>
  <c r="Z12" i="94"/>
  <c r="Z159" i="94"/>
  <c r="Z177" i="94"/>
  <c r="Z133" i="94"/>
  <c r="U252" i="94"/>
  <c r="U261" i="94" s="1"/>
  <c r="Z245" i="94"/>
  <c r="Z209" i="94"/>
  <c r="Z221" i="94"/>
  <c r="AD221" i="94"/>
  <c r="Z56" i="94"/>
  <c r="Z179" i="94"/>
  <c r="AD169" i="94"/>
  <c r="Z42" i="94"/>
  <c r="Z131" i="94"/>
  <c r="Z127" i="94"/>
  <c r="Z66" i="94"/>
  <c r="Z14" i="94"/>
  <c r="Z249" i="94"/>
  <c r="Z185" i="94"/>
  <c r="Z175" i="94"/>
  <c r="Z97" i="94"/>
  <c r="Z161" i="94"/>
  <c r="Z197" i="94"/>
  <c r="Y215" i="94"/>
  <c r="H5" i="87" s="1"/>
  <c r="Y101" i="94"/>
  <c r="H10" i="87" s="1"/>
  <c r="Z10" i="94"/>
  <c r="Z189" i="94"/>
  <c r="AC199" i="94"/>
  <c r="Z74" i="94"/>
  <c r="AD105" i="94"/>
  <c r="Z119" i="94"/>
  <c r="Y111" i="94"/>
  <c r="H21" i="87" s="1"/>
  <c r="AC207" i="94"/>
  <c r="AD201" i="94"/>
  <c r="Z107" i="94"/>
  <c r="Y227" i="94"/>
  <c r="H12" i="87" s="1"/>
  <c r="AD91" i="94"/>
  <c r="AC223" i="94"/>
  <c r="AC157" i="94"/>
  <c r="Z225" i="94"/>
  <c r="Z153" i="94"/>
  <c r="Z181" i="94"/>
  <c r="Z205" i="94"/>
  <c r="Z241" i="94"/>
  <c r="Z135" i="94"/>
  <c r="Z155" i="94"/>
  <c r="AD44" i="94"/>
  <c r="AC203" i="94"/>
  <c r="Z163" i="94"/>
  <c r="Z115" i="94"/>
  <c r="Z129" i="94"/>
  <c r="Z95" i="94"/>
  <c r="Z78" i="94"/>
  <c r="AC237" i="94"/>
  <c r="Z40" i="94"/>
  <c r="AD143" i="94"/>
  <c r="Z149" i="94"/>
  <c r="Z187" i="94"/>
  <c r="Z137" i="94"/>
  <c r="Y165" i="94"/>
  <c r="H20" i="87" s="1"/>
  <c r="Z123" i="94"/>
  <c r="AD239" i="94"/>
  <c r="Z93" i="94"/>
  <c r="AC141" i="94"/>
  <c r="Y157" i="94"/>
  <c r="H19" i="87" s="1"/>
  <c r="Z24" i="94"/>
  <c r="AC101" i="94"/>
  <c r="Z76" i="94"/>
  <c r="Z167" i="94"/>
  <c r="Y141" i="94"/>
  <c r="H18" i="87" s="1"/>
  <c r="Z233" i="94"/>
  <c r="Z147" i="94"/>
  <c r="AC125" i="94"/>
  <c r="Z99" i="94"/>
  <c r="Z80" i="94"/>
  <c r="Z32" i="94"/>
  <c r="Z145" i="94"/>
  <c r="Z139" i="94"/>
  <c r="Z22" i="94"/>
  <c r="Z121" i="94"/>
  <c r="Y125" i="94"/>
  <c r="H17" i="87" s="1"/>
  <c r="Z213" i="94"/>
  <c r="AD213" i="94"/>
  <c r="Y89" i="94"/>
  <c r="H14" i="87" s="1"/>
  <c r="AD28" i="94"/>
  <c r="Z235" i="94"/>
  <c r="AD229" i="94"/>
  <c r="AC227" i="94"/>
  <c r="AD8" i="94"/>
  <c r="Z72" i="94"/>
  <c r="X251" i="94"/>
  <c r="AC89" i="94"/>
  <c r="Z173" i="94"/>
  <c r="Z195" i="94"/>
  <c r="Y8" i="94"/>
  <c r="H8" i="94" s="1"/>
  <c r="AC111" i="94"/>
  <c r="AD113" i="94"/>
  <c r="Y219" i="94"/>
  <c r="H11" i="87" s="1"/>
  <c r="AD219" i="94"/>
  <c r="H11" i="90" s="1"/>
  <c r="Z68" i="94"/>
  <c r="Z70" i="94"/>
  <c r="Y199" i="94"/>
  <c r="H8" i="87" s="1"/>
  <c r="AC254" i="94"/>
  <c r="AD256" i="94"/>
  <c r="AC215" i="94"/>
  <c r="AD217" i="94"/>
  <c r="AC231" i="94"/>
  <c r="Z113" i="94"/>
  <c r="AC165" i="94"/>
  <c r="Z171" i="94"/>
  <c r="Y237" i="94"/>
  <c r="H7" i="87" s="1"/>
  <c r="Z183" i="94"/>
  <c r="Z117" i="94"/>
  <c r="Z64" i="94"/>
  <c r="X260" i="94" l="1"/>
  <c r="Y231" i="94"/>
  <c r="H6" i="87" s="1"/>
  <c r="X252" i="94"/>
  <c r="J23" i="87" s="1"/>
  <c r="F23" i="87" s="1"/>
  <c r="AA88" i="94"/>
  <c r="AA110" i="94"/>
  <c r="AA164" i="94"/>
  <c r="AA140" i="94"/>
  <c r="AD89" i="94"/>
  <c r="H14" i="90" s="1"/>
  <c r="J14" i="90"/>
  <c r="F14" i="90" s="1"/>
  <c r="AD231" i="94"/>
  <c r="H6" i="90" s="1"/>
  <c r="J6" i="90"/>
  <c r="F6" i="90" s="1"/>
  <c r="AD157" i="94"/>
  <c r="H19" i="90" s="1"/>
  <c r="J19" i="90"/>
  <c r="F19" i="90" s="1"/>
  <c r="AA124" i="94"/>
  <c r="AA156" i="94"/>
  <c r="AD111" i="94"/>
  <c r="H21" i="90" s="1"/>
  <c r="J21" i="90"/>
  <c r="F21" i="90" s="1"/>
  <c r="AD141" i="94"/>
  <c r="H18" i="90" s="1"/>
  <c r="J18" i="90"/>
  <c r="F18" i="90" s="1"/>
  <c r="AD207" i="94"/>
  <c r="H15" i="90" s="1"/>
  <c r="J15" i="90"/>
  <c r="F15" i="90" s="1"/>
  <c r="AD101" i="94"/>
  <c r="H10" i="90" s="1"/>
  <c r="J10" i="90"/>
  <c r="F10" i="90" s="1"/>
  <c r="AD203" i="94"/>
  <c r="H9" i="90" s="1"/>
  <c r="J9" i="90"/>
  <c r="F9" i="90" s="1"/>
  <c r="AD215" i="94"/>
  <c r="H5" i="90" s="1"/>
  <c r="J5" i="90"/>
  <c r="F5" i="90" s="1"/>
  <c r="AD254" i="94"/>
  <c r="H13" i="90"/>
  <c r="AD125" i="94"/>
  <c r="H17" i="90" s="1"/>
  <c r="J17" i="90"/>
  <c r="F17" i="90" s="1"/>
  <c r="AD223" i="94"/>
  <c r="H4" i="90" s="1"/>
  <c r="J4" i="90"/>
  <c r="F4" i="90" s="1"/>
  <c r="AD237" i="94"/>
  <c r="H7" i="90" s="1"/>
  <c r="J7" i="90"/>
  <c r="F7" i="90" s="1"/>
  <c r="AD227" i="94"/>
  <c r="H12" i="90" s="1"/>
  <c r="J12" i="90"/>
  <c r="F12" i="90" s="1"/>
  <c r="AD165" i="94"/>
  <c r="H20" i="90" s="1"/>
  <c r="J20" i="90"/>
  <c r="F20" i="90" s="1"/>
  <c r="Y254" i="94"/>
  <c r="Y253" i="94" s="1"/>
  <c r="H13" i="87"/>
  <c r="AD199" i="94"/>
  <c r="H8" i="90" s="1"/>
  <c r="J8" i="90"/>
  <c r="F8" i="90" s="1"/>
  <c r="AA100" i="94"/>
  <c r="I22" i="87"/>
  <c r="I22" i="90"/>
  <c r="I23" i="87"/>
  <c r="E23" i="87" s="1"/>
  <c r="I23" i="90"/>
  <c r="E23" i="90" s="1"/>
  <c r="V252" i="94"/>
  <c r="AC252" i="94"/>
  <c r="J23" i="90" s="1"/>
  <c r="F23" i="90" s="1"/>
  <c r="I24" i="90" l="1"/>
  <c r="I25" i="90" s="1"/>
  <c r="E22" i="90"/>
  <c r="E24" i="90" s="1"/>
  <c r="I24" i="87"/>
  <c r="I25" i="87" s="1"/>
  <c r="E22" i="87"/>
  <c r="E24" i="87" s="1"/>
  <c r="Y252" i="94"/>
  <c r="H23" i="87" s="1"/>
  <c r="AD252" i="94"/>
  <c r="H23" i="90" s="1"/>
  <c r="Y82" i="94"/>
  <c r="E25" i="90" l="1"/>
  <c r="E25" i="87"/>
  <c r="Y87" i="94"/>
  <c r="Y86" i="94" s="1"/>
  <c r="V730" i="49"/>
  <c r="D23" i="90" l="1"/>
  <c r="D22" i="90"/>
  <c r="D21" i="90"/>
  <c r="D20" i="90"/>
  <c r="D19" i="90"/>
  <c r="D18" i="90"/>
  <c r="D17" i="90"/>
  <c r="D16" i="90"/>
  <c r="D15" i="90"/>
  <c r="D14" i="90"/>
  <c r="D13" i="90"/>
  <c r="D12" i="90"/>
  <c r="D11" i="90"/>
  <c r="D10" i="90"/>
  <c r="D9" i="90"/>
  <c r="D8" i="90"/>
  <c r="D7" i="90"/>
  <c r="D6" i="90"/>
  <c r="D5" i="90"/>
  <c r="D4" i="90"/>
  <c r="D23" i="87" l="1"/>
  <c r="D22" i="87"/>
  <c r="D21" i="87"/>
  <c r="D20" i="87"/>
  <c r="D19" i="87"/>
  <c r="D18" i="87"/>
  <c r="D17" i="87"/>
  <c r="D16" i="87"/>
  <c r="D15" i="87"/>
  <c r="D14" i="87"/>
  <c r="D13" i="87"/>
  <c r="D12" i="87"/>
  <c r="D11" i="87"/>
  <c r="D10" i="87"/>
  <c r="D9" i="87"/>
  <c r="D8" i="87"/>
  <c r="D7" i="87"/>
  <c r="D6" i="87"/>
  <c r="D5" i="87"/>
  <c r="D4" i="87"/>
  <c r="H193" i="48" l="1"/>
  <c r="H194" i="48" s="1"/>
  <c r="H196" i="48" s="1"/>
  <c r="I193" i="48"/>
  <c r="I194" i="48" s="1"/>
  <c r="I196" i="48" s="1"/>
  <c r="J193" i="48"/>
  <c r="J194" i="48" s="1"/>
  <c r="J196" i="48" s="1"/>
  <c r="K193" i="48"/>
  <c r="K194" i="48" s="1"/>
  <c r="K196" i="48" s="1"/>
  <c r="L193" i="48"/>
  <c r="L194" i="48" s="1"/>
  <c r="L196" i="48" s="1"/>
  <c r="M193" i="48"/>
  <c r="M194" i="48" s="1"/>
  <c r="M196" i="48" s="1"/>
  <c r="N193" i="48"/>
  <c r="N194" i="48" s="1"/>
  <c r="N196" i="48" s="1"/>
  <c r="O193" i="48"/>
  <c r="O194" i="48" s="1"/>
  <c r="O196" i="48" s="1"/>
  <c r="P193" i="48"/>
  <c r="P194" i="48" s="1"/>
  <c r="P196" i="48" s="1"/>
  <c r="Q193" i="48"/>
  <c r="Q194" i="48" s="1"/>
  <c r="Q196" i="48" s="1"/>
  <c r="R193" i="48"/>
  <c r="R194" i="48" s="1"/>
  <c r="R196" i="48" s="1"/>
  <c r="S193" i="48"/>
  <c r="S194" i="48" s="1"/>
  <c r="S196" i="48" s="1"/>
  <c r="G193" i="48"/>
  <c r="G194" i="48" s="1"/>
  <c r="G196" i="48" s="1"/>
  <c r="V49" i="49" l="1"/>
  <c r="V186" i="49" l="1"/>
  <c r="X186" i="49" s="1"/>
  <c r="V185" i="49"/>
  <c r="X185" i="49" s="1"/>
  <c r="V184" i="49"/>
  <c r="X184" i="49" s="1"/>
  <c r="V183" i="49"/>
  <c r="X183" i="49" s="1"/>
  <c r="V182" i="49"/>
  <c r="X182" i="49" s="1"/>
  <c r="V181" i="49"/>
  <c r="X181" i="49" s="1"/>
  <c r="V180" i="49"/>
  <c r="X180" i="49" s="1"/>
  <c r="V179" i="49"/>
  <c r="X179" i="49" s="1"/>
  <c r="V169" i="49"/>
  <c r="X169" i="49" s="1"/>
  <c r="V168" i="49"/>
  <c r="X168" i="49" s="1"/>
  <c r="V167" i="49"/>
  <c r="X167" i="49" s="1"/>
  <c r="V166" i="49"/>
  <c r="X166" i="49" s="1"/>
  <c r="V165" i="49"/>
  <c r="X165" i="49" s="1"/>
  <c r="V164" i="49"/>
  <c r="X164" i="49" s="1"/>
  <c r="V163" i="49"/>
  <c r="X163" i="49" s="1"/>
  <c r="V162" i="49"/>
  <c r="X162" i="49" s="1"/>
  <c r="V178" i="49"/>
  <c r="X178" i="49" s="1"/>
  <c r="V177" i="49"/>
  <c r="X177" i="49" s="1"/>
  <c r="V176" i="49"/>
  <c r="X176" i="49" s="1"/>
  <c r="V175" i="49"/>
  <c r="X175" i="49" s="1"/>
  <c r="V174" i="49"/>
  <c r="X174" i="49" s="1"/>
  <c r="V173" i="49"/>
  <c r="X173" i="49" s="1"/>
  <c r="V172" i="49"/>
  <c r="X172" i="49" s="1"/>
  <c r="V171" i="49"/>
  <c r="X171" i="49" s="1"/>
  <c r="Y178" i="49" l="1"/>
  <c r="G178" i="49" s="1"/>
  <c r="Y176" i="49"/>
  <c r="G176" i="49" s="1"/>
  <c r="Y182" i="49"/>
  <c r="G182" i="49" s="1"/>
  <c r="Y168" i="49"/>
  <c r="G168" i="49" s="1"/>
  <c r="Y184" i="49"/>
  <c r="G184" i="49" s="1"/>
  <c r="Y186" i="49"/>
  <c r="G186" i="49" s="1"/>
  <c r="Y166" i="49"/>
  <c r="G166" i="49" s="1"/>
  <c r="Y180" i="49"/>
  <c r="G180" i="49" s="1"/>
  <c r="Y172" i="49"/>
  <c r="G172" i="49" s="1"/>
  <c r="G186" i="48"/>
  <c r="H186" i="48"/>
  <c r="V652" i="49" l="1"/>
  <c r="M946" i="49" l="1"/>
  <c r="L946" i="49"/>
  <c r="V578" i="49"/>
  <c r="K946" i="49" l="1"/>
  <c r="J186" i="48" l="1"/>
  <c r="K186" i="48"/>
  <c r="L186" i="48"/>
  <c r="M186" i="48"/>
  <c r="N186" i="48"/>
  <c r="O186" i="48"/>
  <c r="P186" i="48"/>
  <c r="Q186" i="48"/>
  <c r="R186" i="48"/>
  <c r="S186" i="48"/>
  <c r="L50" i="48"/>
  <c r="M50" i="48"/>
  <c r="N50" i="48"/>
  <c r="O50" i="48"/>
  <c r="P50" i="48"/>
  <c r="Q50" i="48"/>
  <c r="R50" i="48"/>
  <c r="S50" i="48"/>
  <c r="L108" i="48"/>
  <c r="M108" i="48"/>
  <c r="N108" i="48"/>
  <c r="O108" i="48"/>
  <c r="P108" i="48"/>
  <c r="Q108" i="48"/>
  <c r="R108" i="48"/>
  <c r="S108" i="48"/>
  <c r="G108" i="48"/>
  <c r="H108" i="48"/>
  <c r="G50" i="48"/>
  <c r="H50" i="48"/>
  <c r="G188" i="48" l="1"/>
  <c r="H188" i="48"/>
  <c r="P188" i="48"/>
  <c r="O188" i="48"/>
  <c r="Q188" i="48"/>
  <c r="J188" i="48"/>
  <c r="L188" i="48"/>
  <c r="M188" i="48"/>
  <c r="S188" i="48"/>
  <c r="K188" i="48"/>
  <c r="N188" i="48"/>
  <c r="R188" i="48"/>
  <c r="I186" i="48"/>
  <c r="X79" i="49" l="1"/>
  <c r="V9" i="49" l="1"/>
  <c r="T24" i="48" l="1"/>
  <c r="V24" i="48" s="1"/>
  <c r="T182" i="48"/>
  <c r="V182" i="48" s="1"/>
  <c r="T181" i="48"/>
  <c r="V181" i="48" s="1"/>
  <c r="T180" i="48"/>
  <c r="V180" i="48" s="1"/>
  <c r="T179" i="48"/>
  <c r="V179" i="48" s="1"/>
  <c r="T178" i="48"/>
  <c r="V178" i="48" s="1"/>
  <c r="T177" i="48"/>
  <c r="V177" i="48" s="1"/>
  <c r="T176" i="48"/>
  <c r="V176" i="48" s="1"/>
  <c r="T175" i="48"/>
  <c r="V175" i="48" s="1"/>
  <c r="T174" i="48"/>
  <c r="V174" i="48" s="1"/>
  <c r="T173" i="48"/>
  <c r="V173" i="48" s="1"/>
  <c r="T172" i="48"/>
  <c r="V172" i="48" s="1"/>
  <c r="T171" i="48"/>
  <c r="V171" i="48" s="1"/>
  <c r="T170" i="48"/>
  <c r="V170" i="48" s="1"/>
  <c r="T169" i="48"/>
  <c r="V169" i="48" s="1"/>
  <c r="T168" i="48"/>
  <c r="V168" i="48" s="1"/>
  <c r="T167" i="48"/>
  <c r="V167" i="48" s="1"/>
  <c r="T166" i="48"/>
  <c r="V166" i="48" s="1"/>
  <c r="T165" i="48"/>
  <c r="V165" i="48" s="1"/>
  <c r="T164" i="48"/>
  <c r="V164" i="48" s="1"/>
  <c r="T163" i="48"/>
  <c r="V163" i="48" s="1"/>
  <c r="T162" i="48"/>
  <c r="V162" i="48" s="1"/>
  <c r="T161" i="48"/>
  <c r="V161" i="48" s="1"/>
  <c r="T160" i="48"/>
  <c r="V160" i="48" s="1"/>
  <c r="T159" i="48"/>
  <c r="V159" i="48" s="1"/>
  <c r="T158" i="48"/>
  <c r="V158" i="48" s="1"/>
  <c r="T157" i="48"/>
  <c r="V157" i="48" s="1"/>
  <c r="T156" i="48"/>
  <c r="V156" i="48" s="1"/>
  <c r="T155" i="48"/>
  <c r="V155" i="48" s="1"/>
  <c r="T154" i="48"/>
  <c r="V154" i="48" s="1"/>
  <c r="T153" i="48"/>
  <c r="V153" i="48" s="1"/>
  <c r="T152" i="48"/>
  <c r="V152" i="48" s="1"/>
  <c r="T151" i="48"/>
  <c r="V151" i="48" s="1"/>
  <c r="T150" i="48"/>
  <c r="V150" i="48" s="1"/>
  <c r="T149" i="48"/>
  <c r="V149" i="48" s="1"/>
  <c r="T148" i="48"/>
  <c r="V148" i="48" s="1"/>
  <c r="T147" i="48"/>
  <c r="V147" i="48" s="1"/>
  <c r="T146" i="48"/>
  <c r="V146" i="48" s="1"/>
  <c r="T145" i="48"/>
  <c r="V145" i="48" s="1"/>
  <c r="T144" i="48"/>
  <c r="V144" i="48" s="1"/>
  <c r="T143" i="48"/>
  <c r="V143" i="48" s="1"/>
  <c r="T142" i="48"/>
  <c r="V142" i="48" s="1"/>
  <c r="T141" i="48"/>
  <c r="V141" i="48" s="1"/>
  <c r="T140" i="48"/>
  <c r="V140" i="48" s="1"/>
  <c r="T139" i="48"/>
  <c r="V139" i="48" s="1"/>
  <c r="T138" i="48"/>
  <c r="V138" i="48" s="1"/>
  <c r="T137" i="48"/>
  <c r="V137" i="48" s="1"/>
  <c r="T136" i="48"/>
  <c r="V136" i="48" s="1"/>
  <c r="T135" i="48"/>
  <c r="V135" i="48" s="1"/>
  <c r="T134" i="48"/>
  <c r="V134" i="48" s="1"/>
  <c r="T133" i="48"/>
  <c r="V133" i="48" s="1"/>
  <c r="T132" i="48"/>
  <c r="V132" i="48" s="1"/>
  <c r="T131" i="48"/>
  <c r="V131" i="48" s="1"/>
  <c r="T130" i="48"/>
  <c r="V130" i="48" s="1"/>
  <c r="T129" i="48"/>
  <c r="V129" i="48" s="1"/>
  <c r="T128" i="48"/>
  <c r="V128" i="48" s="1"/>
  <c r="T127" i="48"/>
  <c r="V127" i="48" s="1"/>
  <c r="T126" i="48"/>
  <c r="V126" i="48" s="1"/>
  <c r="T125" i="48"/>
  <c r="V125" i="48" s="1"/>
  <c r="T124" i="48"/>
  <c r="V124" i="48" s="1"/>
  <c r="T123" i="48"/>
  <c r="V123" i="48" s="1"/>
  <c r="T122" i="48"/>
  <c r="V122" i="48" s="1"/>
  <c r="T121" i="48"/>
  <c r="V121" i="48" s="1"/>
  <c r="T120" i="48"/>
  <c r="V120" i="48" s="1"/>
  <c r="T119" i="48"/>
  <c r="V119" i="48" s="1"/>
  <c r="T118" i="48"/>
  <c r="V118" i="48" s="1"/>
  <c r="T117" i="48"/>
  <c r="V117" i="48" s="1"/>
  <c r="T116" i="48"/>
  <c r="V116" i="48" s="1"/>
  <c r="T115" i="48"/>
  <c r="V115" i="48" s="1"/>
  <c r="T106" i="48"/>
  <c r="V106" i="48" s="1"/>
  <c r="T105" i="48"/>
  <c r="V105" i="48" s="1"/>
  <c r="T104" i="48"/>
  <c r="V104" i="48" s="1"/>
  <c r="T103" i="48"/>
  <c r="V103" i="48" s="1"/>
  <c r="T102" i="48"/>
  <c r="V102" i="48" s="1"/>
  <c r="T101" i="48"/>
  <c r="V101" i="48" s="1"/>
  <c r="T100" i="48"/>
  <c r="V100" i="48" s="1"/>
  <c r="T99" i="48"/>
  <c r="V99" i="48" s="1"/>
  <c r="T98" i="48"/>
  <c r="V98" i="48" s="1"/>
  <c r="T97" i="48"/>
  <c r="V97" i="48" s="1"/>
  <c r="T96" i="48"/>
  <c r="V96" i="48" s="1"/>
  <c r="T95" i="48"/>
  <c r="V95" i="48" s="1"/>
  <c r="T94" i="48"/>
  <c r="V94" i="48" s="1"/>
  <c r="T93" i="48"/>
  <c r="V93" i="48" s="1"/>
  <c r="T92" i="48"/>
  <c r="V92" i="48" s="1"/>
  <c r="T91" i="48"/>
  <c r="V91" i="48" s="1"/>
  <c r="T90" i="48"/>
  <c r="V90" i="48" s="1"/>
  <c r="T89" i="48"/>
  <c r="V89" i="48" s="1"/>
  <c r="T88" i="48"/>
  <c r="V88" i="48" s="1"/>
  <c r="T87" i="48"/>
  <c r="V87" i="48" s="1"/>
  <c r="T86" i="48"/>
  <c r="V86" i="48" s="1"/>
  <c r="T85" i="48"/>
  <c r="V85" i="48" s="1"/>
  <c r="T84" i="48"/>
  <c r="V84" i="48" s="1"/>
  <c r="T83" i="48"/>
  <c r="V83" i="48" s="1"/>
  <c r="T82" i="48"/>
  <c r="V82" i="48" s="1"/>
  <c r="T81" i="48"/>
  <c r="V81" i="48" s="1"/>
  <c r="T80" i="48"/>
  <c r="V80" i="48" s="1"/>
  <c r="T79" i="48"/>
  <c r="V79" i="48" s="1"/>
  <c r="T78" i="48"/>
  <c r="V78" i="48" s="1"/>
  <c r="T77" i="48"/>
  <c r="V77" i="48" s="1"/>
  <c r="T76" i="48"/>
  <c r="V76" i="48" s="1"/>
  <c r="T75" i="48"/>
  <c r="V75" i="48" s="1"/>
  <c r="T74" i="48"/>
  <c r="V74" i="48" s="1"/>
  <c r="T73" i="48"/>
  <c r="V73" i="48" s="1"/>
  <c r="T72" i="48"/>
  <c r="V72" i="48" s="1"/>
  <c r="T71" i="48"/>
  <c r="V71" i="48" s="1"/>
  <c r="T70" i="48"/>
  <c r="V70" i="48" s="1"/>
  <c r="T69" i="48"/>
  <c r="V69" i="48" s="1"/>
  <c r="T68" i="48"/>
  <c r="V68" i="48" s="1"/>
  <c r="T67" i="48"/>
  <c r="V67" i="48" s="1"/>
  <c r="T66" i="48"/>
  <c r="V66" i="48" s="1"/>
  <c r="T65" i="48"/>
  <c r="V65" i="48" s="1"/>
  <c r="T64" i="48"/>
  <c r="V64" i="48" s="1"/>
  <c r="T63" i="48"/>
  <c r="V63" i="48" s="1"/>
  <c r="T62" i="48"/>
  <c r="V62" i="48" s="1"/>
  <c r="T61" i="48"/>
  <c r="V61" i="48" s="1"/>
  <c r="T60" i="48"/>
  <c r="V60" i="48" s="1"/>
  <c r="T59" i="48"/>
  <c r="V59" i="48" s="1"/>
  <c r="T58" i="48"/>
  <c r="V58" i="48" s="1"/>
  <c r="T57" i="48"/>
  <c r="V57" i="48" s="1"/>
  <c r="T56" i="48"/>
  <c r="V56" i="48" s="1"/>
  <c r="T55" i="48"/>
  <c r="V55" i="48" s="1"/>
  <c r="T48" i="48"/>
  <c r="V48" i="48" s="1"/>
  <c r="T47" i="48"/>
  <c r="V47" i="48" s="1"/>
  <c r="T46" i="48"/>
  <c r="V46" i="48" s="1"/>
  <c r="T45" i="48"/>
  <c r="V45" i="48" s="1"/>
  <c r="T44" i="48"/>
  <c r="V44" i="48" s="1"/>
  <c r="T43" i="48"/>
  <c r="V43" i="48" s="1"/>
  <c r="T42" i="48"/>
  <c r="V42" i="48" s="1"/>
  <c r="T41" i="48"/>
  <c r="V41" i="48" s="1"/>
  <c r="T40" i="48"/>
  <c r="V40" i="48" s="1"/>
  <c r="T39" i="48"/>
  <c r="V39" i="48" s="1"/>
  <c r="T38" i="48"/>
  <c r="V38" i="48" s="1"/>
  <c r="T37" i="48"/>
  <c r="V37" i="48" s="1"/>
  <c r="T36" i="48"/>
  <c r="V36" i="48" s="1"/>
  <c r="T35" i="48"/>
  <c r="V35" i="48" s="1"/>
  <c r="T34" i="48"/>
  <c r="V34" i="48" s="1"/>
  <c r="T33" i="48"/>
  <c r="V33" i="48" s="1"/>
  <c r="T32" i="48"/>
  <c r="V32" i="48" s="1"/>
  <c r="T31" i="48"/>
  <c r="V31" i="48" s="1"/>
  <c r="T30" i="48"/>
  <c r="V30" i="48" s="1"/>
  <c r="T29" i="48"/>
  <c r="V29" i="48" s="1"/>
  <c r="T28" i="48"/>
  <c r="V28" i="48" s="1"/>
  <c r="T27" i="48"/>
  <c r="V27" i="48" s="1"/>
  <c r="T26" i="48"/>
  <c r="V26" i="48" s="1"/>
  <c r="T25" i="48"/>
  <c r="V25" i="48" s="1"/>
  <c r="T23" i="48"/>
  <c r="V23" i="48" s="1"/>
  <c r="T22" i="48"/>
  <c r="V22" i="48" s="1"/>
  <c r="T21" i="48"/>
  <c r="V21" i="48" s="1"/>
  <c r="T20" i="48"/>
  <c r="V20" i="48" s="1"/>
  <c r="T19" i="48"/>
  <c r="V19" i="48" s="1"/>
  <c r="T18" i="48"/>
  <c r="V18" i="48" s="1"/>
  <c r="T17" i="48"/>
  <c r="V17" i="48" s="1"/>
  <c r="T16" i="48"/>
  <c r="V16" i="48" s="1"/>
  <c r="T15" i="48"/>
  <c r="V15" i="48" s="1"/>
  <c r="T14" i="48"/>
  <c r="V14" i="48" s="1"/>
  <c r="T13" i="48"/>
  <c r="V13" i="48" s="1"/>
  <c r="T12" i="48"/>
  <c r="V12" i="48" s="1"/>
  <c r="T11" i="48"/>
  <c r="V11" i="48" s="1"/>
  <c r="T10" i="48"/>
  <c r="T9" i="48"/>
  <c r="V9" i="48" s="1"/>
  <c r="W142" i="48" l="1"/>
  <c r="W154" i="48"/>
  <c r="W162" i="48"/>
  <c r="W156" i="48"/>
  <c r="W160" i="48"/>
  <c r="W146" i="48"/>
  <c r="W140" i="48"/>
  <c r="W164" i="48"/>
  <c r="W150" i="48"/>
  <c r="V10" i="48"/>
  <c r="W152" i="48" s="1"/>
  <c r="P946" i="49" l="1"/>
  <c r="O946" i="49"/>
  <c r="N946" i="49"/>
  <c r="J946" i="49"/>
  <c r="I946" i="49"/>
  <c r="V943" i="49"/>
  <c r="X943" i="49" s="1"/>
  <c r="V942" i="49"/>
  <c r="X942" i="49" s="1"/>
  <c r="V938" i="49"/>
  <c r="X938" i="49" s="1"/>
  <c r="V937" i="49"/>
  <c r="V936" i="49"/>
  <c r="X936" i="49" s="1"/>
  <c r="V935" i="49"/>
  <c r="X935" i="49" s="1"/>
  <c r="V934" i="49"/>
  <c r="V932" i="49"/>
  <c r="X932" i="49" s="1"/>
  <c r="V931" i="49"/>
  <c r="X931" i="49" s="1"/>
  <c r="V930" i="49"/>
  <c r="V928" i="49"/>
  <c r="X928" i="49" s="1"/>
  <c r="V927" i="49"/>
  <c r="X927" i="49" s="1"/>
  <c r="V926" i="49"/>
  <c r="X926" i="49" s="1"/>
  <c r="X925" i="49"/>
  <c r="V924" i="49"/>
  <c r="X924" i="49" s="1"/>
  <c r="V923" i="49"/>
  <c r="X923" i="49" s="1"/>
  <c r="V922" i="49"/>
  <c r="X922" i="49" s="1"/>
  <c r="V921" i="49"/>
  <c r="X921" i="49" s="1"/>
  <c r="V920" i="49"/>
  <c r="X920" i="49" s="1"/>
  <c r="V919" i="49"/>
  <c r="X919" i="49" s="1"/>
  <c r="V918" i="49"/>
  <c r="X918" i="49" s="1"/>
  <c r="V917" i="49"/>
  <c r="X917" i="49" s="1"/>
  <c r="V916" i="49"/>
  <c r="X916" i="49" s="1"/>
  <c r="V915" i="49"/>
  <c r="X915" i="49" s="1"/>
  <c r="V914" i="49"/>
  <c r="X914" i="49" s="1"/>
  <c r="V913" i="49"/>
  <c r="X913" i="49" s="1"/>
  <c r="V912" i="49"/>
  <c r="X912" i="49" s="1"/>
  <c r="V911" i="49"/>
  <c r="X911" i="49" s="1"/>
  <c r="V910" i="49"/>
  <c r="X910" i="49" s="1"/>
  <c r="V909" i="49"/>
  <c r="X909" i="49" s="1"/>
  <c r="V908" i="49"/>
  <c r="X908" i="49" s="1"/>
  <c r="V907" i="49"/>
  <c r="X907" i="49" s="1"/>
  <c r="V906" i="49"/>
  <c r="X906" i="49" s="1"/>
  <c r="V905" i="49"/>
  <c r="X905" i="49" s="1"/>
  <c r="V904" i="49"/>
  <c r="X904" i="49" s="1"/>
  <c r="V903" i="49"/>
  <c r="X903" i="49" s="1"/>
  <c r="V902" i="49"/>
  <c r="X902" i="49" s="1"/>
  <c r="V901" i="49"/>
  <c r="X901" i="49" s="1"/>
  <c r="V900" i="49"/>
  <c r="X900" i="49" s="1"/>
  <c r="V899" i="49"/>
  <c r="X899" i="49" s="1"/>
  <c r="V898" i="49"/>
  <c r="X898" i="49" s="1"/>
  <c r="V897" i="49"/>
  <c r="X897" i="49" s="1"/>
  <c r="V896" i="49"/>
  <c r="X896" i="49" s="1"/>
  <c r="X895" i="49"/>
  <c r="V894" i="49"/>
  <c r="X894" i="49" s="1"/>
  <c r="V893" i="49"/>
  <c r="X893" i="49" s="1"/>
  <c r="V892" i="49"/>
  <c r="X892" i="49" s="1"/>
  <c r="V891" i="49"/>
  <c r="X891" i="49" s="1"/>
  <c r="V890" i="49"/>
  <c r="X890" i="49" s="1"/>
  <c r="V889" i="49"/>
  <c r="X889" i="49" s="1"/>
  <c r="V888" i="49"/>
  <c r="X888" i="49" s="1"/>
  <c r="V887" i="49"/>
  <c r="X887" i="49" s="1"/>
  <c r="V886" i="49"/>
  <c r="X886" i="49" s="1"/>
  <c r="V885" i="49"/>
  <c r="X885" i="49" s="1"/>
  <c r="V884" i="49"/>
  <c r="X884" i="49" s="1"/>
  <c r="V883" i="49"/>
  <c r="X883" i="49" s="1"/>
  <c r="V882" i="49"/>
  <c r="X882" i="49" s="1"/>
  <c r="V881" i="49"/>
  <c r="X881" i="49" s="1"/>
  <c r="V880" i="49"/>
  <c r="X880" i="49" s="1"/>
  <c r="V879" i="49"/>
  <c r="X879" i="49" s="1"/>
  <c r="V878" i="49"/>
  <c r="X878" i="49" s="1"/>
  <c r="V877" i="49"/>
  <c r="X877" i="49" s="1"/>
  <c r="V876" i="49"/>
  <c r="X876" i="49" s="1"/>
  <c r="V875" i="49"/>
  <c r="X875" i="49" s="1"/>
  <c r="V874" i="49"/>
  <c r="X874" i="49" s="1"/>
  <c r="V873" i="49"/>
  <c r="X873" i="49" s="1"/>
  <c r="V872" i="49"/>
  <c r="X872" i="49" s="1"/>
  <c r="V871" i="49"/>
  <c r="X871" i="49" s="1"/>
  <c r="V870" i="49"/>
  <c r="X870" i="49" s="1"/>
  <c r="V869" i="49"/>
  <c r="X869" i="49" s="1"/>
  <c r="V868" i="49"/>
  <c r="X868" i="49" s="1"/>
  <c r="V867" i="49"/>
  <c r="X867" i="49" s="1"/>
  <c r="V866" i="49"/>
  <c r="X866" i="49" s="1"/>
  <c r="X865" i="49"/>
  <c r="V864" i="49"/>
  <c r="X864" i="49" s="1"/>
  <c r="X863" i="49"/>
  <c r="V862" i="49"/>
  <c r="X862" i="49" s="1"/>
  <c r="V861" i="49"/>
  <c r="X861" i="49" s="1"/>
  <c r="V860" i="49"/>
  <c r="X860" i="49" s="1"/>
  <c r="V859" i="49"/>
  <c r="X859" i="49" s="1"/>
  <c r="V858" i="49"/>
  <c r="X858" i="49" s="1"/>
  <c r="V857" i="49"/>
  <c r="X857" i="49" s="1"/>
  <c r="V856" i="49"/>
  <c r="X856" i="49" s="1"/>
  <c r="V855" i="49"/>
  <c r="X855" i="49" s="1"/>
  <c r="V854" i="49"/>
  <c r="X854" i="49" s="1"/>
  <c r="V853" i="49"/>
  <c r="X853" i="49" s="1"/>
  <c r="V852" i="49"/>
  <c r="X852" i="49" s="1"/>
  <c r="V851" i="49"/>
  <c r="X851" i="49" s="1"/>
  <c r="V850" i="49"/>
  <c r="X850" i="49" s="1"/>
  <c r="V849" i="49"/>
  <c r="X849" i="49" s="1"/>
  <c r="V848" i="49"/>
  <c r="X848" i="49" s="1"/>
  <c r="V847" i="49"/>
  <c r="X847" i="49" s="1"/>
  <c r="V846" i="49"/>
  <c r="X846" i="49" s="1"/>
  <c r="V845" i="49"/>
  <c r="X845" i="49" s="1"/>
  <c r="V844" i="49"/>
  <c r="X844" i="49" s="1"/>
  <c r="V843" i="49"/>
  <c r="X843" i="49" s="1"/>
  <c r="V842" i="49"/>
  <c r="X842" i="49" s="1"/>
  <c r="V841" i="49"/>
  <c r="X841" i="49" s="1"/>
  <c r="V840" i="49"/>
  <c r="X840" i="49" s="1"/>
  <c r="V839" i="49"/>
  <c r="X839" i="49" s="1"/>
  <c r="V838" i="49"/>
  <c r="X838" i="49" s="1"/>
  <c r="V837" i="49"/>
  <c r="X837" i="49" s="1"/>
  <c r="V836" i="49"/>
  <c r="X836" i="49" s="1"/>
  <c r="V835" i="49"/>
  <c r="X835" i="49" s="1"/>
  <c r="V834" i="49"/>
  <c r="X834" i="49" s="1"/>
  <c r="V833" i="49"/>
  <c r="X833" i="49" s="1"/>
  <c r="V832" i="49"/>
  <c r="X832" i="49" s="1"/>
  <c r="X831" i="49"/>
  <c r="V830" i="49"/>
  <c r="X830" i="49" s="1"/>
  <c r="V829" i="49"/>
  <c r="X829" i="49" s="1"/>
  <c r="V828" i="49"/>
  <c r="X828" i="49" s="1"/>
  <c r="V827" i="49"/>
  <c r="X827" i="49" s="1"/>
  <c r="V826" i="49"/>
  <c r="X826" i="49" s="1"/>
  <c r="V825" i="49"/>
  <c r="X825" i="49" s="1"/>
  <c r="V824" i="49"/>
  <c r="X824" i="49" s="1"/>
  <c r="V823" i="49"/>
  <c r="X823" i="49" s="1"/>
  <c r="V822" i="49"/>
  <c r="X822" i="49" s="1"/>
  <c r="V821" i="49"/>
  <c r="X821" i="49" s="1"/>
  <c r="V818" i="49"/>
  <c r="X818" i="49" s="1"/>
  <c r="V817" i="49"/>
  <c r="X817" i="49" s="1"/>
  <c r="V816" i="49"/>
  <c r="X816" i="49" s="1"/>
  <c r="V815" i="49"/>
  <c r="X815" i="49" s="1"/>
  <c r="V814" i="49"/>
  <c r="X814" i="49" s="1"/>
  <c r="V813" i="49"/>
  <c r="X813" i="49" s="1"/>
  <c r="V812" i="49"/>
  <c r="X812" i="49" s="1"/>
  <c r="V811" i="49"/>
  <c r="X811" i="49" s="1"/>
  <c r="V810" i="49"/>
  <c r="X810" i="49" s="1"/>
  <c r="V809" i="49"/>
  <c r="X809" i="49" s="1"/>
  <c r="V808" i="49"/>
  <c r="X808" i="49" s="1"/>
  <c r="V807" i="49"/>
  <c r="X807" i="49" s="1"/>
  <c r="V806" i="49"/>
  <c r="X806" i="49" s="1"/>
  <c r="X805" i="49"/>
  <c r="V804" i="49"/>
  <c r="X804" i="49" s="1"/>
  <c r="V803" i="49"/>
  <c r="X803" i="49" s="1"/>
  <c r="V802" i="49"/>
  <c r="X802" i="49" s="1"/>
  <c r="V801" i="49"/>
  <c r="X801" i="49" s="1"/>
  <c r="V800" i="49"/>
  <c r="X800" i="49" s="1"/>
  <c r="V799" i="49"/>
  <c r="X799" i="49" s="1"/>
  <c r="V798" i="49"/>
  <c r="X798" i="49" s="1"/>
  <c r="V797" i="49"/>
  <c r="X797" i="49" s="1"/>
  <c r="V796" i="49"/>
  <c r="X796" i="49" s="1"/>
  <c r="V795" i="49"/>
  <c r="X795" i="49" s="1"/>
  <c r="V794" i="49"/>
  <c r="X794" i="49" s="1"/>
  <c r="V793" i="49"/>
  <c r="X793" i="49" s="1"/>
  <c r="V792" i="49"/>
  <c r="X792" i="49" s="1"/>
  <c r="V791" i="49"/>
  <c r="X791" i="49" s="1"/>
  <c r="V790" i="49"/>
  <c r="X790" i="49" s="1"/>
  <c r="V789" i="49"/>
  <c r="X789" i="49" s="1"/>
  <c r="V788" i="49"/>
  <c r="X788" i="49" s="1"/>
  <c r="V787" i="49"/>
  <c r="X787" i="49" s="1"/>
  <c r="V786" i="49"/>
  <c r="X786" i="49" s="1"/>
  <c r="V785" i="49"/>
  <c r="X785" i="49" s="1"/>
  <c r="V784" i="49"/>
  <c r="X784" i="49" s="1"/>
  <c r="V783" i="49"/>
  <c r="X783" i="49" s="1"/>
  <c r="V782" i="49"/>
  <c r="X782" i="49" s="1"/>
  <c r="V781" i="49"/>
  <c r="X781" i="49" s="1"/>
  <c r="V780" i="49"/>
  <c r="X780" i="49" s="1"/>
  <c r="X779" i="49"/>
  <c r="V778" i="49"/>
  <c r="X778" i="49" s="1"/>
  <c r="V777" i="49"/>
  <c r="X777" i="49" s="1"/>
  <c r="V776" i="49"/>
  <c r="X776" i="49" s="1"/>
  <c r="V775" i="49"/>
  <c r="X775" i="49" s="1"/>
  <c r="V774" i="49"/>
  <c r="X774" i="49" s="1"/>
  <c r="V773" i="49"/>
  <c r="X773" i="49" s="1"/>
  <c r="V772" i="49"/>
  <c r="X772" i="49" s="1"/>
  <c r="V771" i="49"/>
  <c r="X771" i="49" s="1"/>
  <c r="V770" i="49"/>
  <c r="X770" i="49" s="1"/>
  <c r="V769" i="49"/>
  <c r="X769" i="49" s="1"/>
  <c r="V768" i="49"/>
  <c r="X768" i="49" s="1"/>
  <c r="V767" i="49"/>
  <c r="X767" i="49" s="1"/>
  <c r="V766" i="49"/>
  <c r="X766" i="49" s="1"/>
  <c r="V765" i="49"/>
  <c r="X765" i="49" s="1"/>
  <c r="V764" i="49"/>
  <c r="X764" i="49" s="1"/>
  <c r="V763" i="49"/>
  <c r="X763" i="49" s="1"/>
  <c r="V762" i="49"/>
  <c r="X762" i="49" s="1"/>
  <c r="V761" i="49"/>
  <c r="X761" i="49" s="1"/>
  <c r="V760" i="49"/>
  <c r="X760" i="49" s="1"/>
  <c r="V759" i="49"/>
  <c r="X759" i="49" s="1"/>
  <c r="V758" i="49"/>
  <c r="X758" i="49" s="1"/>
  <c r="V757" i="49"/>
  <c r="X757" i="49" s="1"/>
  <c r="V756" i="49"/>
  <c r="X756" i="49" s="1"/>
  <c r="V755" i="49"/>
  <c r="X755" i="49" s="1"/>
  <c r="V754" i="49"/>
  <c r="X754" i="49" s="1"/>
  <c r="V753" i="49"/>
  <c r="X753" i="49" s="1"/>
  <c r="V752" i="49"/>
  <c r="X752" i="49" s="1"/>
  <c r="V751" i="49"/>
  <c r="X751" i="49" s="1"/>
  <c r="V750" i="49"/>
  <c r="X750" i="49" s="1"/>
  <c r="V749" i="49"/>
  <c r="X749" i="49" s="1"/>
  <c r="V748" i="49"/>
  <c r="X748" i="49" s="1"/>
  <c r="V747" i="49"/>
  <c r="X747" i="49" s="1"/>
  <c r="V746" i="49"/>
  <c r="X746" i="49" s="1"/>
  <c r="V745" i="49"/>
  <c r="X745" i="49" s="1"/>
  <c r="V742" i="49"/>
  <c r="X742" i="49" s="1"/>
  <c r="V741" i="49"/>
  <c r="X741" i="49" s="1"/>
  <c r="V740" i="49"/>
  <c r="X740" i="49" s="1"/>
  <c r="V739" i="49"/>
  <c r="X739" i="49" s="1"/>
  <c r="V738" i="49"/>
  <c r="X738" i="49" s="1"/>
  <c r="V737" i="49"/>
  <c r="X737" i="49" s="1"/>
  <c r="V736" i="49"/>
  <c r="X736" i="49" s="1"/>
  <c r="V735" i="49"/>
  <c r="X735" i="49" s="1"/>
  <c r="V734" i="49"/>
  <c r="X734" i="49" s="1"/>
  <c r="V733" i="49"/>
  <c r="X733" i="49" s="1"/>
  <c r="V732" i="49"/>
  <c r="X732" i="49" s="1"/>
  <c r="V731" i="49"/>
  <c r="X731" i="49" s="1"/>
  <c r="X730" i="49"/>
  <c r="V729" i="49"/>
  <c r="X729" i="49" s="1"/>
  <c r="V728" i="49"/>
  <c r="X728" i="49" s="1"/>
  <c r="V727" i="49"/>
  <c r="X727" i="49" s="1"/>
  <c r="V726" i="49"/>
  <c r="X726" i="49" s="1"/>
  <c r="V725" i="49"/>
  <c r="X725" i="49" s="1"/>
  <c r="V724" i="49"/>
  <c r="X724" i="49" s="1"/>
  <c r="V723" i="49"/>
  <c r="X723" i="49" s="1"/>
  <c r="V722" i="49"/>
  <c r="X722" i="49" s="1"/>
  <c r="V721" i="49"/>
  <c r="X721" i="49" s="1"/>
  <c r="V720" i="49"/>
  <c r="X720" i="49" s="1"/>
  <c r="V719" i="49"/>
  <c r="X719" i="49" s="1"/>
  <c r="V718" i="49"/>
  <c r="X718" i="49" s="1"/>
  <c r="V717" i="49"/>
  <c r="X717" i="49" s="1"/>
  <c r="V716" i="49"/>
  <c r="X716" i="49" s="1"/>
  <c r="V715" i="49"/>
  <c r="X715" i="49" s="1"/>
  <c r="V714" i="49"/>
  <c r="X714" i="49" s="1"/>
  <c r="V713" i="49"/>
  <c r="X713" i="49" s="1"/>
  <c r="V712" i="49"/>
  <c r="X712" i="49" s="1"/>
  <c r="V711" i="49"/>
  <c r="X711" i="49" s="1"/>
  <c r="V710" i="49"/>
  <c r="X710" i="49" s="1"/>
  <c r="V709" i="49"/>
  <c r="X709" i="49" s="1"/>
  <c r="V708" i="49"/>
  <c r="X708" i="49" s="1"/>
  <c r="V707" i="49"/>
  <c r="X707" i="49" s="1"/>
  <c r="V704" i="49"/>
  <c r="X704" i="49" s="1"/>
  <c r="V703" i="49"/>
  <c r="X703" i="49" s="1"/>
  <c r="V702" i="49"/>
  <c r="X702" i="49" s="1"/>
  <c r="V701" i="49"/>
  <c r="X701" i="49" s="1"/>
  <c r="V700" i="49"/>
  <c r="X700" i="49" s="1"/>
  <c r="V699" i="49"/>
  <c r="X699" i="49" s="1"/>
  <c r="V698" i="49"/>
  <c r="X698" i="49" s="1"/>
  <c r="V697" i="49"/>
  <c r="X697" i="49" s="1"/>
  <c r="V696" i="49"/>
  <c r="X696" i="49" s="1"/>
  <c r="V695" i="49"/>
  <c r="X695" i="49" s="1"/>
  <c r="V694" i="49"/>
  <c r="X694" i="49" s="1"/>
  <c r="V693" i="49"/>
  <c r="X693" i="49" s="1"/>
  <c r="V692" i="49"/>
  <c r="X692" i="49" s="1"/>
  <c r="V691" i="49"/>
  <c r="X691" i="49" s="1"/>
  <c r="V690" i="49"/>
  <c r="X690" i="49" s="1"/>
  <c r="V689" i="49"/>
  <c r="X689" i="49" s="1"/>
  <c r="V688" i="49"/>
  <c r="X688" i="49" s="1"/>
  <c r="V687" i="49"/>
  <c r="X687" i="49" s="1"/>
  <c r="V686" i="49"/>
  <c r="X686" i="49" s="1"/>
  <c r="V685" i="49"/>
  <c r="X685" i="49" s="1"/>
  <c r="V684" i="49"/>
  <c r="X684" i="49" s="1"/>
  <c r="V683" i="49"/>
  <c r="X683" i="49" s="1"/>
  <c r="V682" i="49"/>
  <c r="X682" i="49" s="1"/>
  <c r="V681" i="49"/>
  <c r="X681" i="49" s="1"/>
  <c r="V680" i="49"/>
  <c r="X680" i="49" s="1"/>
  <c r="V679" i="49"/>
  <c r="X679" i="49" s="1"/>
  <c r="V678" i="49"/>
  <c r="X678" i="49" s="1"/>
  <c r="V677" i="49"/>
  <c r="X677" i="49" s="1"/>
  <c r="V676" i="49"/>
  <c r="X676" i="49" s="1"/>
  <c r="V675" i="49"/>
  <c r="X675" i="49" s="1"/>
  <c r="V674" i="49"/>
  <c r="X674" i="49" s="1"/>
  <c r="V673" i="49"/>
  <c r="X673" i="49" s="1"/>
  <c r="V672" i="49"/>
  <c r="X672" i="49" s="1"/>
  <c r="V671" i="49"/>
  <c r="X671" i="49" s="1"/>
  <c r="V670" i="49"/>
  <c r="X670" i="49" s="1"/>
  <c r="V669" i="49"/>
  <c r="X669" i="49" s="1"/>
  <c r="V668" i="49"/>
  <c r="X668" i="49" s="1"/>
  <c r="V667" i="49"/>
  <c r="X667" i="49" s="1"/>
  <c r="V666" i="49"/>
  <c r="X666" i="49" s="1"/>
  <c r="V665" i="49"/>
  <c r="X665" i="49" s="1"/>
  <c r="V662" i="49"/>
  <c r="X662" i="49" s="1"/>
  <c r="V661" i="49"/>
  <c r="X661" i="49" s="1"/>
  <c r="V660" i="49"/>
  <c r="X660" i="49" s="1"/>
  <c r="X659" i="49"/>
  <c r="V658" i="49"/>
  <c r="X658" i="49" s="1"/>
  <c r="X657" i="49"/>
  <c r="V656" i="49"/>
  <c r="X656" i="49" s="1"/>
  <c r="X655" i="49"/>
  <c r="V654" i="49"/>
  <c r="X654" i="49" s="1"/>
  <c r="X653" i="49"/>
  <c r="X652" i="49"/>
  <c r="X651" i="49"/>
  <c r="V650" i="49"/>
  <c r="X650" i="49" s="1"/>
  <c r="X649" i="49"/>
  <c r="V648" i="49"/>
  <c r="X648" i="49" s="1"/>
  <c r="V647" i="49"/>
  <c r="X647" i="49" s="1"/>
  <c r="V646" i="49"/>
  <c r="X646" i="49" s="1"/>
  <c r="V645" i="49"/>
  <c r="X645" i="49" s="1"/>
  <c r="V644" i="49"/>
  <c r="X644" i="49" s="1"/>
  <c r="V643" i="49"/>
  <c r="X643" i="49" s="1"/>
  <c r="V642" i="49"/>
  <c r="X642" i="49" s="1"/>
  <c r="V641" i="49"/>
  <c r="X641" i="49" s="1"/>
  <c r="V640" i="49"/>
  <c r="X640" i="49" s="1"/>
  <c r="V639" i="49"/>
  <c r="X639" i="49" s="1"/>
  <c r="V638" i="49"/>
  <c r="X638" i="49" s="1"/>
  <c r="V637" i="49"/>
  <c r="X637" i="49" s="1"/>
  <c r="V636" i="49"/>
  <c r="X636" i="49" s="1"/>
  <c r="V635" i="49"/>
  <c r="X635" i="49" s="1"/>
  <c r="V634" i="49"/>
  <c r="X634" i="49" s="1"/>
  <c r="V633" i="49"/>
  <c r="X633" i="49" s="1"/>
  <c r="V632" i="49"/>
  <c r="X632" i="49" s="1"/>
  <c r="V631" i="49"/>
  <c r="X631" i="49" s="1"/>
  <c r="V630" i="49"/>
  <c r="X630" i="49" s="1"/>
  <c r="V629" i="49"/>
  <c r="X629" i="49" s="1"/>
  <c r="V628" i="49"/>
  <c r="X628" i="49" s="1"/>
  <c r="V627" i="49"/>
  <c r="X627" i="49" s="1"/>
  <c r="V626" i="49"/>
  <c r="X626" i="49" s="1"/>
  <c r="V625" i="49"/>
  <c r="X625" i="49" s="1"/>
  <c r="V624" i="49"/>
  <c r="X624" i="49" s="1"/>
  <c r="V623" i="49"/>
  <c r="X623" i="49" s="1"/>
  <c r="V622" i="49"/>
  <c r="X622" i="49" s="1"/>
  <c r="V621" i="49"/>
  <c r="X621" i="49" s="1"/>
  <c r="V620" i="49"/>
  <c r="X620" i="49" s="1"/>
  <c r="V619" i="49"/>
  <c r="X619" i="49" s="1"/>
  <c r="V618" i="49"/>
  <c r="X618" i="49" s="1"/>
  <c r="V617" i="49"/>
  <c r="X617" i="49" s="1"/>
  <c r="V616" i="49"/>
  <c r="X616" i="49" s="1"/>
  <c r="V615" i="49"/>
  <c r="X615" i="49" s="1"/>
  <c r="V614" i="49"/>
  <c r="X614" i="49" s="1"/>
  <c r="V613" i="49"/>
  <c r="X613" i="49" s="1"/>
  <c r="V612" i="49"/>
  <c r="X612" i="49" s="1"/>
  <c r="V611" i="49"/>
  <c r="X611" i="49" s="1"/>
  <c r="V610" i="49"/>
  <c r="X610" i="49" s="1"/>
  <c r="V609" i="49"/>
  <c r="X609" i="49" s="1"/>
  <c r="V608" i="49"/>
  <c r="X608" i="49" s="1"/>
  <c r="V607" i="49"/>
  <c r="X607" i="49" s="1"/>
  <c r="V606" i="49"/>
  <c r="X606" i="49" s="1"/>
  <c r="V605" i="49"/>
  <c r="X605" i="49" s="1"/>
  <c r="V604" i="49"/>
  <c r="X604" i="49" s="1"/>
  <c r="V603" i="49"/>
  <c r="X603" i="49" s="1"/>
  <c r="V602" i="49"/>
  <c r="X602" i="49" s="1"/>
  <c r="V601" i="49"/>
  <c r="X601" i="49" s="1"/>
  <c r="V600" i="49"/>
  <c r="X600" i="49" s="1"/>
  <c r="V599" i="49"/>
  <c r="X599" i="49" s="1"/>
  <c r="V598" i="49"/>
  <c r="X598" i="49" s="1"/>
  <c r="V597" i="49"/>
  <c r="X597" i="49" s="1"/>
  <c r="V596" i="49"/>
  <c r="X596" i="49" s="1"/>
  <c r="V595" i="49"/>
  <c r="X595" i="49" s="1"/>
  <c r="V594" i="49"/>
  <c r="X594" i="49" s="1"/>
  <c r="V593" i="49"/>
  <c r="X593" i="49" s="1"/>
  <c r="V592" i="49"/>
  <c r="X592" i="49" s="1"/>
  <c r="V591" i="49"/>
  <c r="X591" i="49" s="1"/>
  <c r="V590" i="49"/>
  <c r="X590" i="49" s="1"/>
  <c r="V589" i="49"/>
  <c r="X589" i="49" s="1"/>
  <c r="V588" i="49"/>
  <c r="X588" i="49" s="1"/>
  <c r="V587" i="49"/>
  <c r="X587" i="49" s="1"/>
  <c r="V586" i="49"/>
  <c r="X586" i="49" s="1"/>
  <c r="V585" i="49"/>
  <c r="X585" i="49" s="1"/>
  <c r="V584" i="49"/>
  <c r="X584" i="49" s="1"/>
  <c r="V583" i="49"/>
  <c r="X583" i="49" s="1"/>
  <c r="V582" i="49"/>
  <c r="X582" i="49" s="1"/>
  <c r="V581" i="49"/>
  <c r="X581" i="49" s="1"/>
  <c r="V580" i="49"/>
  <c r="X580" i="49" s="1"/>
  <c r="V579" i="49"/>
  <c r="X579" i="49" s="1"/>
  <c r="X578" i="49"/>
  <c r="V577" i="49"/>
  <c r="X577" i="49" s="1"/>
  <c r="V576" i="49"/>
  <c r="X576" i="49" s="1"/>
  <c r="V575" i="49"/>
  <c r="X575" i="49" s="1"/>
  <c r="V574" i="49"/>
  <c r="X574" i="49" s="1"/>
  <c r="V573" i="49"/>
  <c r="X573" i="49" s="1"/>
  <c r="V572" i="49"/>
  <c r="X572" i="49" s="1"/>
  <c r="V571" i="49"/>
  <c r="X571" i="49" s="1"/>
  <c r="V570" i="49"/>
  <c r="X570" i="49" s="1"/>
  <c r="V569" i="49"/>
  <c r="X569" i="49" s="1"/>
  <c r="V568" i="49"/>
  <c r="X568" i="49" s="1"/>
  <c r="V567" i="49"/>
  <c r="X567" i="49" s="1"/>
  <c r="V566" i="49"/>
  <c r="X566" i="49" s="1"/>
  <c r="V565" i="49"/>
  <c r="X565" i="49" s="1"/>
  <c r="V564" i="49"/>
  <c r="X564" i="49" s="1"/>
  <c r="V563" i="49"/>
  <c r="X563" i="49" s="1"/>
  <c r="V562" i="49"/>
  <c r="X562" i="49" s="1"/>
  <c r="V561" i="49"/>
  <c r="X561" i="49" s="1"/>
  <c r="V560" i="49"/>
  <c r="X560" i="49" s="1"/>
  <c r="V559" i="49"/>
  <c r="X559" i="49" s="1"/>
  <c r="V558" i="49"/>
  <c r="X558" i="49" s="1"/>
  <c r="V557" i="49"/>
  <c r="X557" i="49" s="1"/>
  <c r="V556" i="49"/>
  <c r="X556" i="49" s="1"/>
  <c r="V555" i="49"/>
  <c r="X555" i="49" s="1"/>
  <c r="V554" i="49"/>
  <c r="X554" i="49" s="1"/>
  <c r="V553" i="49"/>
  <c r="X553" i="49" s="1"/>
  <c r="V552" i="49"/>
  <c r="X552" i="49" s="1"/>
  <c r="V551" i="49"/>
  <c r="X551" i="49" s="1"/>
  <c r="V550" i="49"/>
  <c r="X550" i="49" s="1"/>
  <c r="V549" i="49"/>
  <c r="X549" i="49" s="1"/>
  <c r="V548" i="49"/>
  <c r="X548" i="49" s="1"/>
  <c r="V547" i="49"/>
  <c r="X547" i="49" s="1"/>
  <c r="V546" i="49"/>
  <c r="X546" i="49" s="1"/>
  <c r="V545" i="49"/>
  <c r="X545" i="49" s="1"/>
  <c r="V544" i="49"/>
  <c r="X544" i="49" s="1"/>
  <c r="V543" i="49"/>
  <c r="X543" i="49" s="1"/>
  <c r="V542" i="49"/>
  <c r="X542" i="49" s="1"/>
  <c r="V541" i="49"/>
  <c r="X541" i="49" s="1"/>
  <c r="V540" i="49"/>
  <c r="X540" i="49" s="1"/>
  <c r="V539" i="49"/>
  <c r="X539" i="49" s="1"/>
  <c r="V538" i="49"/>
  <c r="X538" i="49" s="1"/>
  <c r="V537" i="49"/>
  <c r="X537" i="49" s="1"/>
  <c r="V536" i="49"/>
  <c r="X536" i="49" s="1"/>
  <c r="V535" i="49"/>
  <c r="X535" i="49" s="1"/>
  <c r="V534" i="49"/>
  <c r="X534" i="49" s="1"/>
  <c r="V533" i="49"/>
  <c r="X533" i="49" s="1"/>
  <c r="V532" i="49"/>
  <c r="X532" i="49" s="1"/>
  <c r="V531" i="49"/>
  <c r="X531" i="49" s="1"/>
  <c r="V530" i="49"/>
  <c r="X530" i="49" s="1"/>
  <c r="V529" i="49"/>
  <c r="X529" i="49" s="1"/>
  <c r="V528" i="49"/>
  <c r="X528" i="49" s="1"/>
  <c r="V527" i="49"/>
  <c r="X527" i="49" s="1"/>
  <c r="V526" i="49"/>
  <c r="X526" i="49" s="1"/>
  <c r="V525" i="49"/>
  <c r="X525" i="49" s="1"/>
  <c r="V524" i="49"/>
  <c r="X524" i="49" s="1"/>
  <c r="V523" i="49"/>
  <c r="X523" i="49" s="1"/>
  <c r="V522" i="49"/>
  <c r="X522" i="49" s="1"/>
  <c r="V521" i="49"/>
  <c r="X521" i="49" s="1"/>
  <c r="V520" i="49"/>
  <c r="X520" i="49" s="1"/>
  <c r="V519" i="49"/>
  <c r="X519" i="49" s="1"/>
  <c r="V518" i="49"/>
  <c r="X518" i="49" s="1"/>
  <c r="V517" i="49"/>
  <c r="X517" i="49" s="1"/>
  <c r="V516" i="49"/>
  <c r="X516" i="49" s="1"/>
  <c r="V515" i="49"/>
  <c r="X515" i="49" s="1"/>
  <c r="V514" i="49"/>
  <c r="X514" i="49" s="1"/>
  <c r="V513" i="49"/>
  <c r="X513" i="49" s="1"/>
  <c r="V512" i="49"/>
  <c r="X512" i="49" s="1"/>
  <c r="V511" i="49"/>
  <c r="X511" i="49" s="1"/>
  <c r="V510" i="49"/>
  <c r="X510" i="49" s="1"/>
  <c r="V509" i="49"/>
  <c r="X509" i="49" s="1"/>
  <c r="V508" i="49"/>
  <c r="X508" i="49" s="1"/>
  <c r="V507" i="49"/>
  <c r="X507" i="49" s="1"/>
  <c r="V506" i="49"/>
  <c r="X506" i="49" s="1"/>
  <c r="V505" i="49"/>
  <c r="X505" i="49" s="1"/>
  <c r="V504" i="49"/>
  <c r="X504" i="49" s="1"/>
  <c r="V503" i="49"/>
  <c r="X503" i="49" s="1"/>
  <c r="V502" i="49"/>
  <c r="X502" i="49" s="1"/>
  <c r="V501" i="49"/>
  <c r="X501" i="49" s="1"/>
  <c r="V500" i="49"/>
  <c r="X500" i="49" s="1"/>
  <c r="V499" i="49"/>
  <c r="X499" i="49" s="1"/>
  <c r="V498" i="49"/>
  <c r="X498" i="49" s="1"/>
  <c r="V497" i="49"/>
  <c r="X497" i="49" s="1"/>
  <c r="V496" i="49"/>
  <c r="X496" i="49" s="1"/>
  <c r="V495" i="49"/>
  <c r="X495" i="49" s="1"/>
  <c r="V494" i="49"/>
  <c r="X494" i="49" s="1"/>
  <c r="V493" i="49"/>
  <c r="X493" i="49" s="1"/>
  <c r="V492" i="49"/>
  <c r="X492" i="49" s="1"/>
  <c r="V491" i="49"/>
  <c r="X491" i="49" s="1"/>
  <c r="V490" i="49"/>
  <c r="X490" i="49" s="1"/>
  <c r="V489" i="49"/>
  <c r="X489" i="49" s="1"/>
  <c r="V488" i="49"/>
  <c r="X488" i="49" s="1"/>
  <c r="V487" i="49"/>
  <c r="X487" i="49" s="1"/>
  <c r="V486" i="49"/>
  <c r="X486" i="49" s="1"/>
  <c r="V485" i="49"/>
  <c r="X485" i="49" s="1"/>
  <c r="V484" i="49"/>
  <c r="X484" i="49" s="1"/>
  <c r="V483" i="49"/>
  <c r="X483" i="49" s="1"/>
  <c r="V482" i="49"/>
  <c r="X482" i="49" s="1"/>
  <c r="V481" i="49"/>
  <c r="X481" i="49" s="1"/>
  <c r="V480" i="49"/>
  <c r="X480" i="49" s="1"/>
  <c r="V479" i="49"/>
  <c r="X479" i="49" s="1"/>
  <c r="V478" i="49"/>
  <c r="X478" i="49" s="1"/>
  <c r="V477" i="49"/>
  <c r="X477" i="49" s="1"/>
  <c r="V476" i="49"/>
  <c r="X476" i="49" s="1"/>
  <c r="V475" i="49"/>
  <c r="X475" i="49" s="1"/>
  <c r="V474" i="49"/>
  <c r="X474" i="49" s="1"/>
  <c r="V473" i="49"/>
  <c r="X473" i="49" s="1"/>
  <c r="V472" i="49"/>
  <c r="X472" i="49" s="1"/>
  <c r="V471" i="49"/>
  <c r="X471" i="49" s="1"/>
  <c r="V470" i="49"/>
  <c r="X470" i="49" s="1"/>
  <c r="V469" i="49"/>
  <c r="X469" i="49" s="1"/>
  <c r="V468" i="49"/>
  <c r="X468" i="49" s="1"/>
  <c r="V467" i="49"/>
  <c r="X467" i="49" s="1"/>
  <c r="V466" i="49"/>
  <c r="X466" i="49" s="1"/>
  <c r="V465" i="49"/>
  <c r="X465" i="49" s="1"/>
  <c r="V464" i="49"/>
  <c r="X464" i="49" s="1"/>
  <c r="V463" i="49"/>
  <c r="X463" i="49" s="1"/>
  <c r="V462" i="49"/>
  <c r="X462" i="49" s="1"/>
  <c r="V461" i="49"/>
  <c r="X461" i="49" s="1"/>
  <c r="V460" i="49"/>
  <c r="X460" i="49" s="1"/>
  <c r="V459" i="49"/>
  <c r="X459" i="49" s="1"/>
  <c r="V458" i="49"/>
  <c r="X458" i="49" s="1"/>
  <c r="V457" i="49"/>
  <c r="X457" i="49" s="1"/>
  <c r="V456" i="49"/>
  <c r="X456" i="49" s="1"/>
  <c r="V455" i="49"/>
  <c r="X455" i="49" s="1"/>
  <c r="V454" i="49"/>
  <c r="X454" i="49" s="1"/>
  <c r="V453" i="49"/>
  <c r="X453" i="49" s="1"/>
  <c r="V452" i="49"/>
  <c r="X452" i="49" s="1"/>
  <c r="V451" i="49"/>
  <c r="X451" i="49" s="1"/>
  <c r="V450" i="49"/>
  <c r="X450" i="49" s="1"/>
  <c r="V449" i="49"/>
  <c r="X449" i="49" s="1"/>
  <c r="V448" i="49"/>
  <c r="X448" i="49" s="1"/>
  <c r="V447" i="49"/>
  <c r="X447" i="49" s="1"/>
  <c r="V446" i="49"/>
  <c r="X446" i="49" s="1"/>
  <c r="V445" i="49"/>
  <c r="X445" i="49" s="1"/>
  <c r="V444" i="49"/>
  <c r="X444" i="49" s="1"/>
  <c r="V443" i="49"/>
  <c r="X443" i="49" s="1"/>
  <c r="V442" i="49"/>
  <c r="X442" i="49" s="1"/>
  <c r="V441" i="49"/>
  <c r="X441" i="49" s="1"/>
  <c r="V440" i="49"/>
  <c r="X440" i="49" s="1"/>
  <c r="V439" i="49"/>
  <c r="X439" i="49" s="1"/>
  <c r="V436" i="49"/>
  <c r="X436" i="49" s="1"/>
  <c r="V435" i="49"/>
  <c r="X435" i="49" s="1"/>
  <c r="V434" i="49"/>
  <c r="X434" i="49" s="1"/>
  <c r="V433" i="49"/>
  <c r="X433" i="49" s="1"/>
  <c r="V432" i="49"/>
  <c r="X432" i="49" s="1"/>
  <c r="V431" i="49"/>
  <c r="X431" i="49" s="1"/>
  <c r="V430" i="49"/>
  <c r="X430" i="49" s="1"/>
  <c r="V429" i="49"/>
  <c r="V428" i="49"/>
  <c r="X428" i="49" s="1"/>
  <c r="V427" i="49"/>
  <c r="X427" i="49" s="1"/>
  <c r="V426" i="49"/>
  <c r="X426" i="49" s="1"/>
  <c r="V425" i="49"/>
  <c r="X425" i="49" s="1"/>
  <c r="V424" i="49"/>
  <c r="X424" i="49" s="1"/>
  <c r="V423" i="49"/>
  <c r="X423" i="49" s="1"/>
  <c r="V422" i="49"/>
  <c r="X422" i="49" s="1"/>
  <c r="V421" i="49"/>
  <c r="X421" i="49" s="1"/>
  <c r="V420" i="49"/>
  <c r="X420" i="49" s="1"/>
  <c r="V419" i="49"/>
  <c r="X419" i="49" s="1"/>
  <c r="V418" i="49"/>
  <c r="X418" i="49" s="1"/>
  <c r="V417" i="49"/>
  <c r="X417" i="49" s="1"/>
  <c r="V416" i="49"/>
  <c r="X416" i="49" s="1"/>
  <c r="V415" i="49"/>
  <c r="X415" i="49" s="1"/>
  <c r="V414" i="49"/>
  <c r="X414" i="49" s="1"/>
  <c r="V413" i="49"/>
  <c r="X413" i="49" s="1"/>
  <c r="V412" i="49"/>
  <c r="X412" i="49" s="1"/>
  <c r="V411" i="49"/>
  <c r="X411" i="49" s="1"/>
  <c r="V410" i="49"/>
  <c r="X410" i="49" s="1"/>
  <c r="V409" i="49"/>
  <c r="X409" i="49" s="1"/>
  <c r="V408" i="49"/>
  <c r="X408" i="49" s="1"/>
  <c r="V407" i="49"/>
  <c r="X407" i="49" s="1"/>
  <c r="V406" i="49"/>
  <c r="X406" i="49" s="1"/>
  <c r="V405" i="49"/>
  <c r="X405" i="49" s="1"/>
  <c r="V404" i="49"/>
  <c r="X404" i="49" s="1"/>
  <c r="V403" i="49"/>
  <c r="X403" i="49" s="1"/>
  <c r="V402" i="49"/>
  <c r="X402" i="49" s="1"/>
  <c r="V401" i="49"/>
  <c r="X401" i="49" s="1"/>
  <c r="V400" i="49"/>
  <c r="X400" i="49" s="1"/>
  <c r="V399" i="49"/>
  <c r="X399" i="49" s="1"/>
  <c r="V398" i="49"/>
  <c r="X398" i="49" s="1"/>
  <c r="V397" i="49"/>
  <c r="X397" i="49" s="1"/>
  <c r="V396" i="49"/>
  <c r="X396" i="49" s="1"/>
  <c r="V395" i="49"/>
  <c r="X395" i="49" s="1"/>
  <c r="V394" i="49"/>
  <c r="X394" i="49" s="1"/>
  <c r="V393" i="49"/>
  <c r="V392" i="49"/>
  <c r="X392" i="49" s="1"/>
  <c r="V391" i="49"/>
  <c r="X391" i="49" s="1"/>
  <c r="V390" i="49"/>
  <c r="X390" i="49" s="1"/>
  <c r="V389" i="49"/>
  <c r="X389" i="49" s="1"/>
  <c r="V388" i="49"/>
  <c r="X388" i="49" s="1"/>
  <c r="V387" i="49"/>
  <c r="X387" i="49" s="1"/>
  <c r="V386" i="49"/>
  <c r="X386" i="49" s="1"/>
  <c r="V385" i="49"/>
  <c r="X385" i="49" s="1"/>
  <c r="V384" i="49"/>
  <c r="X384" i="49" s="1"/>
  <c r="V383" i="49"/>
  <c r="X383" i="49" s="1"/>
  <c r="V382" i="49"/>
  <c r="X382" i="49" s="1"/>
  <c r="V381" i="49"/>
  <c r="X381" i="49" s="1"/>
  <c r="V380" i="49"/>
  <c r="X380" i="49" s="1"/>
  <c r="V379" i="49"/>
  <c r="X379" i="49" s="1"/>
  <c r="V378" i="49"/>
  <c r="X378" i="49" s="1"/>
  <c r="V377" i="49"/>
  <c r="X377" i="49" s="1"/>
  <c r="V376" i="49"/>
  <c r="X376" i="49" s="1"/>
  <c r="V375" i="49"/>
  <c r="X375" i="49" s="1"/>
  <c r="V374" i="49"/>
  <c r="X374" i="49" s="1"/>
  <c r="V373" i="49"/>
  <c r="X373" i="49" s="1"/>
  <c r="V372" i="49"/>
  <c r="X372" i="49" s="1"/>
  <c r="V371" i="49"/>
  <c r="X371" i="49" s="1"/>
  <c r="V370" i="49"/>
  <c r="X370" i="49" s="1"/>
  <c r="V369" i="49"/>
  <c r="X369" i="49" s="1"/>
  <c r="V368" i="49"/>
  <c r="X368" i="49" s="1"/>
  <c r="V367" i="49"/>
  <c r="X367" i="49" s="1"/>
  <c r="V366" i="49"/>
  <c r="X366" i="49" s="1"/>
  <c r="V365" i="49"/>
  <c r="X365" i="49" s="1"/>
  <c r="V364" i="49"/>
  <c r="X364" i="49" s="1"/>
  <c r="V363" i="49"/>
  <c r="X363" i="49" s="1"/>
  <c r="V362" i="49"/>
  <c r="X362" i="49" s="1"/>
  <c r="V361" i="49"/>
  <c r="X361" i="49" s="1"/>
  <c r="V360" i="49"/>
  <c r="X360" i="49" s="1"/>
  <c r="V359" i="49"/>
  <c r="X359" i="49" s="1"/>
  <c r="V358" i="49"/>
  <c r="X358" i="49" s="1"/>
  <c r="V357" i="49"/>
  <c r="X357" i="49" s="1"/>
  <c r="V356" i="49"/>
  <c r="X356" i="49" s="1"/>
  <c r="V355" i="49"/>
  <c r="X355" i="49" s="1"/>
  <c r="V354" i="49"/>
  <c r="X354" i="49" s="1"/>
  <c r="V353" i="49"/>
  <c r="X353" i="49" s="1"/>
  <c r="V352" i="49"/>
  <c r="X352" i="49" s="1"/>
  <c r="V351" i="49"/>
  <c r="X351" i="49" s="1"/>
  <c r="V350" i="49"/>
  <c r="X350" i="49" s="1"/>
  <c r="V349" i="49"/>
  <c r="X349" i="49" s="1"/>
  <c r="V348" i="49"/>
  <c r="X348" i="49" s="1"/>
  <c r="V347" i="49"/>
  <c r="X347" i="49" s="1"/>
  <c r="V346" i="49"/>
  <c r="X346" i="49" s="1"/>
  <c r="V345" i="49"/>
  <c r="X345" i="49" s="1"/>
  <c r="V344" i="49"/>
  <c r="X344" i="49" s="1"/>
  <c r="V343" i="49"/>
  <c r="X343" i="49" s="1"/>
  <c r="V342" i="49"/>
  <c r="X342" i="49" s="1"/>
  <c r="V341" i="49"/>
  <c r="X341" i="49" s="1"/>
  <c r="V340" i="49"/>
  <c r="X340" i="49" s="1"/>
  <c r="V339" i="49"/>
  <c r="X339" i="49" s="1"/>
  <c r="V338" i="49"/>
  <c r="X338" i="49" s="1"/>
  <c r="V337" i="49"/>
  <c r="X337" i="49" s="1"/>
  <c r="V336" i="49"/>
  <c r="X336" i="49" s="1"/>
  <c r="V335" i="49"/>
  <c r="X335" i="49" s="1"/>
  <c r="V334" i="49"/>
  <c r="X334" i="49" s="1"/>
  <c r="V333" i="49"/>
  <c r="X333" i="49" s="1"/>
  <c r="V332" i="49"/>
  <c r="X332" i="49" s="1"/>
  <c r="V331" i="49"/>
  <c r="X331" i="49" s="1"/>
  <c r="V330" i="49"/>
  <c r="X330" i="49" s="1"/>
  <c r="V329" i="49"/>
  <c r="X329" i="49" s="1"/>
  <c r="V328" i="49"/>
  <c r="X328" i="49" s="1"/>
  <c r="V327" i="49"/>
  <c r="X327" i="49" s="1"/>
  <c r="V326" i="49"/>
  <c r="X326" i="49" s="1"/>
  <c r="V325" i="49"/>
  <c r="X325" i="49" s="1"/>
  <c r="V324" i="49"/>
  <c r="X324" i="49" s="1"/>
  <c r="V323" i="49"/>
  <c r="X323" i="49" s="1"/>
  <c r="V322" i="49"/>
  <c r="X322" i="49" s="1"/>
  <c r="V321" i="49"/>
  <c r="X321" i="49" s="1"/>
  <c r="V320" i="49"/>
  <c r="X320" i="49" s="1"/>
  <c r="V319" i="49"/>
  <c r="X319" i="49" s="1"/>
  <c r="V318" i="49"/>
  <c r="X318" i="49" s="1"/>
  <c r="V317" i="49"/>
  <c r="X317" i="49" s="1"/>
  <c r="V316" i="49"/>
  <c r="X316" i="49" s="1"/>
  <c r="V315" i="49"/>
  <c r="X315" i="49" s="1"/>
  <c r="V314" i="49"/>
  <c r="X314" i="49" s="1"/>
  <c r="V313" i="49"/>
  <c r="X313" i="49" s="1"/>
  <c r="V312" i="49"/>
  <c r="X312" i="49" s="1"/>
  <c r="X311" i="49"/>
  <c r="V310" i="49"/>
  <c r="X310" i="49" s="1"/>
  <c r="V309" i="49"/>
  <c r="X309" i="49" s="1"/>
  <c r="V308" i="49"/>
  <c r="X308" i="49" s="1"/>
  <c r="V307" i="49"/>
  <c r="X307" i="49" s="1"/>
  <c r="V306" i="49"/>
  <c r="X306" i="49" s="1"/>
  <c r="V305" i="49"/>
  <c r="X305" i="49" s="1"/>
  <c r="V304" i="49"/>
  <c r="X304" i="49" s="1"/>
  <c r="V303" i="49"/>
  <c r="X303" i="49" s="1"/>
  <c r="V302" i="49"/>
  <c r="X302" i="49" s="1"/>
  <c r="V301" i="49"/>
  <c r="X301" i="49" s="1"/>
  <c r="V300" i="49"/>
  <c r="X300" i="49" s="1"/>
  <c r="V299" i="49"/>
  <c r="X299" i="49" s="1"/>
  <c r="V298" i="49"/>
  <c r="X298" i="49" s="1"/>
  <c r="V297" i="49"/>
  <c r="X297" i="49" s="1"/>
  <c r="V296" i="49"/>
  <c r="X296" i="49" s="1"/>
  <c r="V295" i="49"/>
  <c r="X295" i="49" s="1"/>
  <c r="V294" i="49"/>
  <c r="X294" i="49" s="1"/>
  <c r="V293" i="49"/>
  <c r="X293" i="49" s="1"/>
  <c r="V292" i="49"/>
  <c r="X292" i="49" s="1"/>
  <c r="V291" i="49"/>
  <c r="X291" i="49" s="1"/>
  <c r="V290" i="49"/>
  <c r="X290" i="49" s="1"/>
  <c r="V289" i="49"/>
  <c r="X289" i="49" s="1"/>
  <c r="V288" i="49"/>
  <c r="X288" i="49" s="1"/>
  <c r="V287" i="49"/>
  <c r="X287" i="49" s="1"/>
  <c r="V286" i="49"/>
  <c r="X286" i="49" s="1"/>
  <c r="V285" i="49"/>
  <c r="X285" i="49" s="1"/>
  <c r="V284" i="49"/>
  <c r="X284" i="49" s="1"/>
  <c r="V283" i="49"/>
  <c r="X283" i="49" s="1"/>
  <c r="V282" i="49"/>
  <c r="X282" i="49" s="1"/>
  <c r="V281" i="49"/>
  <c r="X281" i="49" s="1"/>
  <c r="V280" i="49"/>
  <c r="X280" i="49" s="1"/>
  <c r="V279" i="49"/>
  <c r="X279" i="49" s="1"/>
  <c r="V278" i="49"/>
  <c r="X278" i="49" s="1"/>
  <c r="V277" i="49"/>
  <c r="X277" i="49" s="1"/>
  <c r="V276" i="49"/>
  <c r="X276" i="49" s="1"/>
  <c r="V275" i="49"/>
  <c r="X275" i="49" s="1"/>
  <c r="V274" i="49"/>
  <c r="X274" i="49" s="1"/>
  <c r="V273" i="49"/>
  <c r="X273" i="49" s="1"/>
  <c r="V272" i="49"/>
  <c r="X272" i="49" s="1"/>
  <c r="V271" i="49"/>
  <c r="X271" i="49" s="1"/>
  <c r="V270" i="49"/>
  <c r="X270" i="49" s="1"/>
  <c r="V269" i="49"/>
  <c r="X269" i="49" s="1"/>
  <c r="V268" i="49"/>
  <c r="X268" i="49" s="1"/>
  <c r="V267" i="49"/>
  <c r="X267" i="49" s="1"/>
  <c r="V266" i="49"/>
  <c r="X266" i="49" s="1"/>
  <c r="V265" i="49"/>
  <c r="X265" i="49" s="1"/>
  <c r="V264" i="49"/>
  <c r="X264" i="49" s="1"/>
  <c r="V263" i="49"/>
  <c r="X263" i="49" s="1"/>
  <c r="V262" i="49"/>
  <c r="X262" i="49" s="1"/>
  <c r="V261" i="49"/>
  <c r="X261" i="49" s="1"/>
  <c r="V260" i="49"/>
  <c r="X260" i="49" s="1"/>
  <c r="V259" i="49"/>
  <c r="X259" i="49" s="1"/>
  <c r="V258" i="49"/>
  <c r="X258" i="49" s="1"/>
  <c r="V257" i="49"/>
  <c r="X257" i="49" s="1"/>
  <c r="V256" i="49"/>
  <c r="X256" i="49" s="1"/>
  <c r="V255" i="49"/>
  <c r="X255" i="49" s="1"/>
  <c r="V254" i="49"/>
  <c r="X254" i="49" s="1"/>
  <c r="V253" i="49"/>
  <c r="X253" i="49" s="1"/>
  <c r="V252" i="49"/>
  <c r="X252" i="49" s="1"/>
  <c r="V251" i="49"/>
  <c r="X251" i="49" s="1"/>
  <c r="V250" i="49"/>
  <c r="X250" i="49" s="1"/>
  <c r="V249" i="49"/>
  <c r="X249" i="49" s="1"/>
  <c r="V248" i="49"/>
  <c r="X248" i="49" s="1"/>
  <c r="V247" i="49"/>
  <c r="X247" i="49" s="1"/>
  <c r="V246" i="49"/>
  <c r="X246" i="49" s="1"/>
  <c r="V245" i="49"/>
  <c r="X245" i="49" s="1"/>
  <c r="V244" i="49"/>
  <c r="X244" i="49" s="1"/>
  <c r="V243" i="49"/>
  <c r="X243" i="49" s="1"/>
  <c r="V242" i="49"/>
  <c r="X242" i="49" s="1"/>
  <c r="V241" i="49"/>
  <c r="X241" i="49" s="1"/>
  <c r="V240" i="49"/>
  <c r="X240" i="49" s="1"/>
  <c r="V239" i="49"/>
  <c r="X239" i="49" s="1"/>
  <c r="V238" i="49"/>
  <c r="X238" i="49" s="1"/>
  <c r="V237" i="49"/>
  <c r="X237" i="49" s="1"/>
  <c r="V236" i="49"/>
  <c r="X236" i="49" s="1"/>
  <c r="V235" i="49"/>
  <c r="X235" i="49" s="1"/>
  <c r="V234" i="49"/>
  <c r="X234" i="49" s="1"/>
  <c r="V233" i="49"/>
  <c r="X233" i="49" s="1"/>
  <c r="V232" i="49"/>
  <c r="X232" i="49" s="1"/>
  <c r="V231" i="49"/>
  <c r="X231" i="49" s="1"/>
  <c r="V230" i="49"/>
  <c r="X230" i="49" s="1"/>
  <c r="V229" i="49"/>
  <c r="X229" i="49" s="1"/>
  <c r="V228" i="49"/>
  <c r="X228" i="49" s="1"/>
  <c r="V227" i="49"/>
  <c r="X227" i="49" s="1"/>
  <c r="V226" i="49"/>
  <c r="X226" i="49" s="1"/>
  <c r="V225" i="49"/>
  <c r="X225" i="49" s="1"/>
  <c r="V224" i="49"/>
  <c r="X224" i="49" s="1"/>
  <c r="V223" i="49"/>
  <c r="X223" i="49" s="1"/>
  <c r="V222" i="49"/>
  <c r="X222" i="49" s="1"/>
  <c r="V221" i="49"/>
  <c r="X221" i="49" s="1"/>
  <c r="V218" i="49"/>
  <c r="X218" i="49" s="1"/>
  <c r="V217" i="49"/>
  <c r="X217" i="49" s="1"/>
  <c r="V216" i="49"/>
  <c r="X216" i="49" s="1"/>
  <c r="V215" i="49"/>
  <c r="X215" i="49" s="1"/>
  <c r="V214" i="49"/>
  <c r="X214" i="49" s="1"/>
  <c r="V213" i="49"/>
  <c r="X213" i="49" s="1"/>
  <c r="V212" i="49"/>
  <c r="X212" i="49" s="1"/>
  <c r="V211" i="49"/>
  <c r="X211" i="49" s="1"/>
  <c r="V210" i="49"/>
  <c r="X210" i="49" s="1"/>
  <c r="V209" i="49"/>
  <c r="X209" i="49" s="1"/>
  <c r="V208" i="49"/>
  <c r="X208" i="49" s="1"/>
  <c r="V207" i="49"/>
  <c r="X207" i="49" s="1"/>
  <c r="V206" i="49"/>
  <c r="X206" i="49" s="1"/>
  <c r="V205" i="49"/>
  <c r="X205" i="49" s="1"/>
  <c r="V204" i="49"/>
  <c r="X204" i="49" s="1"/>
  <c r="V203" i="49"/>
  <c r="X203" i="49" s="1"/>
  <c r="V202" i="49"/>
  <c r="X202" i="49" s="1"/>
  <c r="V201" i="49"/>
  <c r="X201" i="49" s="1"/>
  <c r="V200" i="49"/>
  <c r="X200" i="49" s="1"/>
  <c r="V199" i="49"/>
  <c r="X199" i="49" s="1"/>
  <c r="V198" i="49"/>
  <c r="X198" i="49" s="1"/>
  <c r="V197" i="49"/>
  <c r="X197" i="49" s="1"/>
  <c r="V196" i="49"/>
  <c r="X196" i="49" s="1"/>
  <c r="V195" i="49"/>
  <c r="X195" i="49" s="1"/>
  <c r="V194" i="49"/>
  <c r="X194" i="49" s="1"/>
  <c r="V193" i="49"/>
  <c r="X193" i="49" s="1"/>
  <c r="V192" i="49"/>
  <c r="X192" i="49" s="1"/>
  <c r="V191" i="49"/>
  <c r="X191" i="49" s="1"/>
  <c r="V190" i="49"/>
  <c r="X190" i="49" s="1"/>
  <c r="V189" i="49"/>
  <c r="X189" i="49" s="1"/>
  <c r="V170" i="49"/>
  <c r="X170" i="49" s="1"/>
  <c r="Y174" i="49" s="1"/>
  <c r="G174" i="49" s="1"/>
  <c r="V161" i="49"/>
  <c r="X161" i="49" s="1"/>
  <c r="Y162" i="49" s="1"/>
  <c r="V160" i="49"/>
  <c r="X160" i="49" s="1"/>
  <c r="Y164" i="49" s="1"/>
  <c r="G164" i="49" s="1"/>
  <c r="V159" i="49"/>
  <c r="X159" i="49" s="1"/>
  <c r="V156" i="49"/>
  <c r="X156" i="49" s="1"/>
  <c r="V155" i="49"/>
  <c r="X155" i="49" s="1"/>
  <c r="V154" i="49"/>
  <c r="X154" i="49" s="1"/>
  <c r="V153" i="49"/>
  <c r="X153" i="49" s="1"/>
  <c r="V152" i="49"/>
  <c r="X152" i="49" s="1"/>
  <c r="V151" i="49"/>
  <c r="X151" i="49" s="1"/>
  <c r="V150" i="49"/>
  <c r="X150" i="49" s="1"/>
  <c r="V149" i="49"/>
  <c r="X149" i="49" s="1"/>
  <c r="V148" i="49"/>
  <c r="X148" i="49" s="1"/>
  <c r="V147" i="49"/>
  <c r="X147" i="49" s="1"/>
  <c r="V146" i="49"/>
  <c r="X146" i="49" s="1"/>
  <c r="V145" i="49"/>
  <c r="X145" i="49" s="1"/>
  <c r="V142" i="49"/>
  <c r="X142" i="49" s="1"/>
  <c r="V141" i="49"/>
  <c r="X141" i="49" s="1"/>
  <c r="V140" i="49"/>
  <c r="X140" i="49" s="1"/>
  <c r="V139" i="49"/>
  <c r="X139" i="49" s="1"/>
  <c r="V138" i="49"/>
  <c r="X138" i="49" s="1"/>
  <c r="V137" i="49"/>
  <c r="X137" i="49" s="1"/>
  <c r="V136" i="49"/>
  <c r="X136" i="49" s="1"/>
  <c r="V135" i="49"/>
  <c r="X135" i="49" s="1"/>
  <c r="V132" i="49"/>
  <c r="X132" i="49" s="1"/>
  <c r="V131" i="49"/>
  <c r="X131" i="49" s="1"/>
  <c r="V130" i="49"/>
  <c r="X130" i="49" s="1"/>
  <c r="V129" i="49"/>
  <c r="V128" i="49"/>
  <c r="X128" i="49" s="1"/>
  <c r="V127" i="49"/>
  <c r="V126" i="49"/>
  <c r="X126" i="49" s="1"/>
  <c r="V125" i="49"/>
  <c r="V118" i="49"/>
  <c r="X118" i="49" s="1"/>
  <c r="V117" i="49"/>
  <c r="X117" i="49" s="1"/>
  <c r="V116" i="49"/>
  <c r="X116" i="49" s="1"/>
  <c r="V115" i="49"/>
  <c r="X115" i="49" s="1"/>
  <c r="V114" i="49"/>
  <c r="X114" i="49" s="1"/>
  <c r="V113" i="49"/>
  <c r="X113" i="49" s="1"/>
  <c r="V112" i="49"/>
  <c r="X112" i="49" s="1"/>
  <c r="V111" i="49"/>
  <c r="X111" i="49" s="1"/>
  <c r="V108" i="49"/>
  <c r="X108" i="49" s="1"/>
  <c r="V107" i="49"/>
  <c r="V106" i="49"/>
  <c r="X106" i="49" s="1"/>
  <c r="V105" i="49"/>
  <c r="V104" i="49"/>
  <c r="X104" i="49" s="1"/>
  <c r="V103" i="49"/>
  <c r="V96" i="49"/>
  <c r="X96" i="49" s="1"/>
  <c r="V95" i="49"/>
  <c r="X95" i="49" s="1"/>
  <c r="V94" i="49"/>
  <c r="X94" i="49" s="1"/>
  <c r="V93" i="49"/>
  <c r="X93" i="49" s="1"/>
  <c r="V92" i="49"/>
  <c r="X92" i="49" s="1"/>
  <c r="V91" i="49"/>
  <c r="X91" i="49" s="1"/>
  <c r="V90" i="49"/>
  <c r="X90" i="49" s="1"/>
  <c r="V89" i="49"/>
  <c r="X89" i="49" s="1"/>
  <c r="V88" i="49"/>
  <c r="X88" i="49" s="1"/>
  <c r="V87" i="49"/>
  <c r="X87" i="49" s="1"/>
  <c r="V86" i="49"/>
  <c r="X86" i="49" s="1"/>
  <c r="V85" i="49"/>
  <c r="X85" i="49" s="1"/>
  <c r="V84" i="49"/>
  <c r="X84" i="49" s="1"/>
  <c r="V83" i="49"/>
  <c r="X83" i="49" s="1"/>
  <c r="V80" i="49"/>
  <c r="X80" i="49" s="1"/>
  <c r="V79" i="49"/>
  <c r="V78" i="49"/>
  <c r="X78" i="49" s="1"/>
  <c r="V77" i="49"/>
  <c r="X77" i="49" s="1"/>
  <c r="V76" i="49"/>
  <c r="X76" i="49" s="1"/>
  <c r="V75" i="49"/>
  <c r="X75" i="49" s="1"/>
  <c r="V74" i="49"/>
  <c r="X74" i="49" s="1"/>
  <c r="V73" i="49"/>
  <c r="X73" i="49" s="1"/>
  <c r="V72" i="49"/>
  <c r="X72" i="49" s="1"/>
  <c r="V71" i="49"/>
  <c r="X71" i="49" s="1"/>
  <c r="V66" i="49"/>
  <c r="X66" i="49" s="1"/>
  <c r="V65" i="49"/>
  <c r="X65" i="49" s="1"/>
  <c r="V64" i="49"/>
  <c r="X64" i="49" s="1"/>
  <c r="V63" i="49"/>
  <c r="X63" i="49" s="1"/>
  <c r="V62" i="49"/>
  <c r="X62" i="49" s="1"/>
  <c r="V61" i="49"/>
  <c r="X61" i="49" s="1"/>
  <c r="V60" i="49"/>
  <c r="X60" i="49" s="1"/>
  <c r="V59" i="49"/>
  <c r="X59" i="49" s="1"/>
  <c r="V58" i="49"/>
  <c r="X58" i="49" s="1"/>
  <c r="V57" i="49"/>
  <c r="X57" i="49" s="1"/>
  <c r="V56" i="49"/>
  <c r="X56" i="49" s="1"/>
  <c r="V55" i="49"/>
  <c r="X55" i="49" s="1"/>
  <c r="V54" i="49"/>
  <c r="X54" i="49" s="1"/>
  <c r="V53" i="49"/>
  <c r="X53" i="49" s="1"/>
  <c r="V52" i="49"/>
  <c r="X52" i="49" s="1"/>
  <c r="V51" i="49"/>
  <c r="X51" i="49" s="1"/>
  <c r="V50" i="49"/>
  <c r="X50" i="49" s="1"/>
  <c r="X49" i="49"/>
  <c r="V48" i="49"/>
  <c r="X48" i="49" s="1"/>
  <c r="V47" i="49"/>
  <c r="X47" i="49" s="1"/>
  <c r="V46" i="49"/>
  <c r="X46" i="49" s="1"/>
  <c r="V45" i="49"/>
  <c r="X45" i="49" s="1"/>
  <c r="V44" i="49"/>
  <c r="X44" i="49" s="1"/>
  <c r="V43" i="49"/>
  <c r="X43" i="49" s="1"/>
  <c r="V42" i="49"/>
  <c r="X42" i="49" s="1"/>
  <c r="V41" i="49"/>
  <c r="X41" i="49" s="1"/>
  <c r="V40" i="49"/>
  <c r="X40" i="49" s="1"/>
  <c r="V39" i="49"/>
  <c r="X39" i="49" s="1"/>
  <c r="V38" i="49"/>
  <c r="X38" i="49" s="1"/>
  <c r="V37" i="49"/>
  <c r="X37" i="49" s="1"/>
  <c r="V36" i="49"/>
  <c r="X36" i="49" s="1"/>
  <c r="V35" i="49"/>
  <c r="X35" i="49" s="1"/>
  <c r="V34" i="49"/>
  <c r="X34" i="49" s="1"/>
  <c r="V33" i="49"/>
  <c r="X33" i="49" s="1"/>
  <c r="V32" i="49"/>
  <c r="X32" i="49" s="1"/>
  <c r="V31" i="49"/>
  <c r="X31" i="49" s="1"/>
  <c r="V30" i="49"/>
  <c r="X30" i="49" s="1"/>
  <c r="V29" i="49"/>
  <c r="X29" i="49" s="1"/>
  <c r="V28" i="49"/>
  <c r="X28" i="49" s="1"/>
  <c r="V27" i="49"/>
  <c r="X27" i="49" s="1"/>
  <c r="V26" i="49"/>
  <c r="X26" i="49" s="1"/>
  <c r="V25" i="49"/>
  <c r="X25" i="49" s="1"/>
  <c r="V24" i="49"/>
  <c r="X24" i="49" s="1"/>
  <c r="V23" i="49"/>
  <c r="X23" i="49" s="1"/>
  <c r="V22" i="49"/>
  <c r="X22" i="49" s="1"/>
  <c r="V21" i="49"/>
  <c r="X21" i="49" s="1"/>
  <c r="V18" i="49"/>
  <c r="X18" i="49" s="1"/>
  <c r="V17" i="49"/>
  <c r="X17" i="49" s="1"/>
  <c r="V16" i="49"/>
  <c r="X16" i="49" s="1"/>
  <c r="V15" i="49"/>
  <c r="V14" i="49"/>
  <c r="X14" i="49" s="1"/>
  <c r="V13" i="49"/>
  <c r="V12" i="49"/>
  <c r="X12" i="49" s="1"/>
  <c r="V11" i="49"/>
  <c r="AA12" i="49" s="1"/>
  <c r="V10" i="49"/>
  <c r="X10" i="49" s="1"/>
  <c r="X9" i="49"/>
  <c r="W182" i="48"/>
  <c r="W180" i="48"/>
  <c r="W178" i="48"/>
  <c r="W176" i="48"/>
  <c r="W174" i="48"/>
  <c r="W172" i="48"/>
  <c r="W170" i="48"/>
  <c r="W168" i="48"/>
  <c r="W136" i="48"/>
  <c r="W134" i="48"/>
  <c r="W132" i="48"/>
  <c r="W128" i="48"/>
  <c r="W126" i="48"/>
  <c r="W124" i="48"/>
  <c r="W120" i="48"/>
  <c r="W118" i="48"/>
  <c r="W116" i="48"/>
  <c r="W106" i="48"/>
  <c r="W104" i="48"/>
  <c r="W102" i="48"/>
  <c r="W100" i="48"/>
  <c r="W98" i="48"/>
  <c r="W96" i="48"/>
  <c r="W94" i="48"/>
  <c r="W92" i="48"/>
  <c r="W90" i="48"/>
  <c r="W86" i="48"/>
  <c r="W84" i="48"/>
  <c r="W78" i="48"/>
  <c r="W76" i="48"/>
  <c r="W74" i="48"/>
  <c r="W70" i="48"/>
  <c r="W68" i="48"/>
  <c r="W66" i="48"/>
  <c r="W60" i="48"/>
  <c r="W58" i="48"/>
  <c r="W56" i="48"/>
  <c r="W48" i="48"/>
  <c r="W46" i="48"/>
  <c r="W44" i="48"/>
  <c r="W42" i="48"/>
  <c r="W40" i="48"/>
  <c r="W38" i="48"/>
  <c r="W36" i="48"/>
  <c r="W34" i="48"/>
  <c r="W32" i="48"/>
  <c r="W30" i="48"/>
  <c r="W26" i="48"/>
  <c r="W24" i="48"/>
  <c r="W22" i="48"/>
  <c r="W14" i="48"/>
  <c r="W12" i="48"/>
  <c r="W10" i="48"/>
  <c r="G162" i="49" l="1"/>
  <c r="X125" i="49"/>
  <c r="AA126" i="49"/>
  <c r="X103" i="49"/>
  <c r="AA104" i="49"/>
  <c r="X127" i="49"/>
  <c r="Y128" i="49" s="1"/>
  <c r="G128" i="49" s="1"/>
  <c r="AA128" i="49"/>
  <c r="X11" i="49"/>
  <c r="Y12" i="49" s="1"/>
  <c r="G12" i="49" s="1"/>
  <c r="X105" i="49"/>
  <c r="Y106" i="49" s="1"/>
  <c r="G106" i="49" s="1"/>
  <c r="AA106" i="49"/>
  <c r="X129" i="49"/>
  <c r="Y130" i="49" s="1"/>
  <c r="G130" i="49" s="1"/>
  <c r="AA130" i="49"/>
  <c r="X15" i="49"/>
  <c r="Y16" i="49" s="1"/>
  <c r="G16" i="49" s="1"/>
  <c r="AA16" i="49"/>
  <c r="X13" i="49"/>
  <c r="Y14" i="49" s="1"/>
  <c r="G14" i="49" s="1"/>
  <c r="AA14" i="49"/>
  <c r="AB18" i="49" s="1"/>
  <c r="X107" i="49"/>
  <c r="Y108" i="49" s="1"/>
  <c r="G108" i="49" s="1"/>
  <c r="AA108" i="49"/>
  <c r="Y938" i="49"/>
  <c r="G938" i="49" s="1"/>
  <c r="X429" i="49"/>
  <c r="Y430" i="49" s="1"/>
  <c r="G430" i="49" s="1"/>
  <c r="X393" i="49"/>
  <c r="Y872" i="49"/>
  <c r="G872" i="49" s="1"/>
  <c r="Y142" i="49"/>
  <c r="G142" i="49" s="1"/>
  <c r="Y204" i="49"/>
  <c r="G204" i="49" s="1"/>
  <c r="Y208" i="49"/>
  <c r="G208" i="49" s="1"/>
  <c r="Y604" i="49"/>
  <c r="G604" i="49" s="1"/>
  <c r="Y236" i="49"/>
  <c r="G236" i="49" s="1"/>
  <c r="Y244" i="49"/>
  <c r="G244" i="49" s="1"/>
  <c r="Y526" i="49"/>
  <c r="G526" i="49" s="1"/>
  <c r="Y230" i="49"/>
  <c r="G230" i="49" s="1"/>
  <c r="Y672" i="49"/>
  <c r="G672" i="49" s="1"/>
  <c r="Y446" i="49"/>
  <c r="G446" i="49" s="1"/>
  <c r="Y34" i="49"/>
  <c r="G34" i="49" s="1"/>
  <c r="Y66" i="49"/>
  <c r="G66" i="49" s="1"/>
  <c r="Y96" i="49"/>
  <c r="G96" i="49" s="1"/>
  <c r="Y520" i="49"/>
  <c r="G520" i="49" s="1"/>
  <c r="Y900" i="49"/>
  <c r="G900" i="49" s="1"/>
  <c r="Y50" i="49"/>
  <c r="G50" i="49" s="1"/>
  <c r="Y724" i="49"/>
  <c r="G724" i="49" s="1"/>
  <c r="Y808" i="49"/>
  <c r="G808" i="49" s="1"/>
  <c r="Y340" i="49"/>
  <c r="G340" i="49" s="1"/>
  <c r="Y516" i="49"/>
  <c r="G516" i="49" s="1"/>
  <c r="Y722" i="49"/>
  <c r="G722" i="49" s="1"/>
  <c r="Y294" i="49"/>
  <c r="G294" i="49" s="1"/>
  <c r="Y830" i="49"/>
  <c r="G830" i="49" s="1"/>
  <c r="Y360" i="49"/>
  <c r="G360" i="49" s="1"/>
  <c r="Y288" i="49"/>
  <c r="G288" i="49" s="1"/>
  <c r="Y302" i="49"/>
  <c r="G302" i="49" s="1"/>
  <c r="Y152" i="49"/>
  <c r="G152" i="49" s="1"/>
  <c r="Y372" i="49"/>
  <c r="G372" i="49" s="1"/>
  <c r="Y572" i="49"/>
  <c r="G572" i="49" s="1"/>
  <c r="Y552" i="49"/>
  <c r="G552" i="49" s="1"/>
  <c r="Y668" i="49"/>
  <c r="G668" i="49" s="1"/>
  <c r="Y156" i="49"/>
  <c r="G156" i="49" s="1"/>
  <c r="Y278" i="49"/>
  <c r="G278" i="49" s="1"/>
  <c r="Y492" i="49"/>
  <c r="G492" i="49" s="1"/>
  <c r="Y836" i="49"/>
  <c r="G836" i="49" s="1"/>
  <c r="Y844" i="49"/>
  <c r="G844" i="49" s="1"/>
  <c r="Y92" i="49"/>
  <c r="G92" i="49" s="1"/>
  <c r="Y740" i="49"/>
  <c r="G740" i="49" s="1"/>
  <c r="Y292" i="49"/>
  <c r="G292" i="49" s="1"/>
  <c r="Y450" i="49"/>
  <c r="G450" i="49" s="1"/>
  <c r="Y758" i="49"/>
  <c r="G758" i="49" s="1"/>
  <c r="Y200" i="49"/>
  <c r="G200" i="49" s="1"/>
  <c r="Y876" i="49"/>
  <c r="G876" i="49" s="1"/>
  <c r="Y536" i="49"/>
  <c r="G536" i="49" s="1"/>
  <c r="Y550" i="49"/>
  <c r="G550" i="49" s="1"/>
  <c r="Y776" i="49"/>
  <c r="G776" i="49" s="1"/>
  <c r="Y884" i="49"/>
  <c r="G884" i="49" s="1"/>
  <c r="Y332" i="49"/>
  <c r="G332" i="49" s="1"/>
  <c r="Y346" i="49"/>
  <c r="G346" i="49" s="1"/>
  <c r="Y420" i="49"/>
  <c r="G420" i="49" s="1"/>
  <c r="Y840" i="49"/>
  <c r="G840" i="49" s="1"/>
  <c r="Y378" i="49"/>
  <c r="G378" i="49" s="1"/>
  <c r="Y496" i="49"/>
  <c r="G496" i="49" s="1"/>
  <c r="Y268" i="49"/>
  <c r="G268" i="49" s="1"/>
  <c r="Y282" i="49"/>
  <c r="G282" i="49" s="1"/>
  <c r="Y398" i="49"/>
  <c r="G398" i="49" s="1"/>
  <c r="Y482" i="49"/>
  <c r="G482" i="49" s="1"/>
  <c r="Y216" i="49"/>
  <c r="G216" i="49" s="1"/>
  <c r="Y276" i="49"/>
  <c r="G276" i="49" s="1"/>
  <c r="Y704" i="49"/>
  <c r="G704" i="49" s="1"/>
  <c r="Y780" i="49"/>
  <c r="G780" i="49" s="1"/>
  <c r="Y888" i="49"/>
  <c r="G888" i="49" s="1"/>
  <c r="Y44" i="49"/>
  <c r="G44" i="49" s="1"/>
  <c r="Y748" i="49"/>
  <c r="G748" i="49" s="1"/>
  <c r="Y86" i="49"/>
  <c r="G86" i="49" s="1"/>
  <c r="Y252" i="49"/>
  <c r="G252" i="49" s="1"/>
  <c r="Y350" i="49"/>
  <c r="G350" i="49" s="1"/>
  <c r="Y410" i="49"/>
  <c r="G410" i="49" s="1"/>
  <c r="Y448" i="49"/>
  <c r="G448" i="49" s="1"/>
  <c r="Y562" i="49"/>
  <c r="G562" i="49" s="1"/>
  <c r="Y576" i="49"/>
  <c r="G576" i="49" s="1"/>
  <c r="Y624" i="49"/>
  <c r="G624" i="49" s="1"/>
  <c r="Y630" i="49"/>
  <c r="G630" i="49" s="1"/>
  <c r="Y686" i="49"/>
  <c r="G686" i="49" s="1"/>
  <c r="Y804" i="49"/>
  <c r="G804" i="49" s="1"/>
  <c r="Y194" i="49"/>
  <c r="G194" i="49" s="1"/>
  <c r="Y246" i="49"/>
  <c r="G246" i="49" s="1"/>
  <c r="Y370" i="49"/>
  <c r="G370" i="49" s="1"/>
  <c r="Y428" i="49"/>
  <c r="G428" i="49" s="1"/>
  <c r="Y460" i="49"/>
  <c r="G460" i="49" s="1"/>
  <c r="Y502" i="49"/>
  <c r="G502" i="49" s="1"/>
  <c r="Y514" i="49"/>
  <c r="G514" i="49" s="1"/>
  <c r="Y578" i="49"/>
  <c r="G578" i="49" s="1"/>
  <c r="Y582" i="49"/>
  <c r="G582" i="49" s="1"/>
  <c r="Y676" i="49"/>
  <c r="G676" i="49" s="1"/>
  <c r="Y736" i="49"/>
  <c r="G736" i="49" s="1"/>
  <c r="Y756" i="49"/>
  <c r="G756" i="49" s="1"/>
  <c r="Y254" i="49"/>
  <c r="G254" i="49" s="1"/>
  <c r="Y390" i="49"/>
  <c r="G390" i="49" s="1"/>
  <c r="Y498" i="49"/>
  <c r="G498" i="49" s="1"/>
  <c r="Y620" i="49"/>
  <c r="G620" i="49" s="1"/>
  <c r="Y694" i="49"/>
  <c r="G694" i="49" s="1"/>
  <c r="Y700" i="49"/>
  <c r="G700" i="49" s="1"/>
  <c r="Y712" i="49"/>
  <c r="G712" i="49" s="1"/>
  <c r="Y718" i="49"/>
  <c r="G718" i="49" s="1"/>
  <c r="Y856" i="49"/>
  <c r="G856" i="49" s="1"/>
  <c r="Y882" i="49"/>
  <c r="G882" i="49" s="1"/>
  <c r="Y894" i="49"/>
  <c r="G894" i="49" s="1"/>
  <c r="Y424" i="49"/>
  <c r="G424" i="49" s="1"/>
  <c r="Y540" i="49"/>
  <c r="G540" i="49" s="1"/>
  <c r="Y682" i="49"/>
  <c r="G682" i="49" s="1"/>
  <c r="Y714" i="49"/>
  <c r="G714" i="49" s="1"/>
  <c r="Y788" i="49"/>
  <c r="G788" i="49" s="1"/>
  <c r="Y864" i="49"/>
  <c r="G864" i="49" s="1"/>
  <c r="Y56" i="49"/>
  <c r="G56" i="49" s="1"/>
  <c r="Y486" i="49"/>
  <c r="G486" i="49" s="1"/>
  <c r="Y534" i="49"/>
  <c r="G534" i="49" s="1"/>
  <c r="Y586" i="49"/>
  <c r="G586" i="49" s="1"/>
  <c r="Y610" i="49"/>
  <c r="G610" i="49" s="1"/>
  <c r="Y814" i="49"/>
  <c r="G814" i="49" s="1"/>
  <c r="Y850" i="49"/>
  <c r="G850" i="49" s="1"/>
  <c r="Y902" i="49"/>
  <c r="G902" i="49" s="1"/>
  <c r="Y90" i="49"/>
  <c r="G90" i="49" s="1"/>
  <c r="Y28" i="49"/>
  <c r="G28" i="49" s="1"/>
  <c r="Y566" i="49"/>
  <c r="G566" i="49" s="1"/>
  <c r="Y622" i="49"/>
  <c r="G622" i="49" s="1"/>
  <c r="Y634" i="49"/>
  <c r="G634" i="49" s="1"/>
  <c r="Y650" i="49"/>
  <c r="G650" i="49" s="1"/>
  <c r="Y774" i="49"/>
  <c r="G774" i="49" s="1"/>
  <c r="Y838" i="49"/>
  <c r="G838" i="49" s="1"/>
  <c r="Y506" i="49"/>
  <c r="G506" i="49" s="1"/>
  <c r="Y198" i="49"/>
  <c r="G198" i="49" s="1"/>
  <c r="Y238" i="49"/>
  <c r="G238" i="49" s="1"/>
  <c r="Y476" i="49"/>
  <c r="G476" i="49" s="1"/>
  <c r="Y494" i="49"/>
  <c r="G494" i="49" s="1"/>
  <c r="Y530" i="49"/>
  <c r="G530" i="49" s="1"/>
  <c r="Y542" i="49"/>
  <c r="G542" i="49" s="1"/>
  <c r="Y568" i="49"/>
  <c r="G568" i="49" s="1"/>
  <c r="Y796" i="49"/>
  <c r="G796" i="49" s="1"/>
  <c r="Y860" i="49"/>
  <c r="G860" i="49" s="1"/>
  <c r="Y32" i="49"/>
  <c r="G32" i="49" s="1"/>
  <c r="Y64" i="49"/>
  <c r="G64" i="49" s="1"/>
  <c r="Y202" i="49"/>
  <c r="G202" i="49" s="1"/>
  <c r="Y308" i="49"/>
  <c r="G308" i="49" s="1"/>
  <c r="Y260" i="49"/>
  <c r="G260" i="49" s="1"/>
  <c r="Y266" i="49"/>
  <c r="G266" i="49" s="1"/>
  <c r="Y362" i="49"/>
  <c r="G362" i="49" s="1"/>
  <c r="Y798" i="49"/>
  <c r="G798" i="49" s="1"/>
  <c r="Y880" i="49"/>
  <c r="G880" i="49" s="1"/>
  <c r="Y770" i="49"/>
  <c r="G770" i="49" s="1"/>
  <c r="Y778" i="49"/>
  <c r="G778" i="49" s="1"/>
  <c r="Y834" i="49"/>
  <c r="G834" i="49" s="1"/>
  <c r="Y914" i="49"/>
  <c r="G914" i="49" s="1"/>
  <c r="Y224" i="49"/>
  <c r="G224" i="49" s="1"/>
  <c r="Y48" i="49"/>
  <c r="G48" i="49" s="1"/>
  <c r="Y298" i="49"/>
  <c r="G298" i="49" s="1"/>
  <c r="Y806" i="49"/>
  <c r="G806" i="49" s="1"/>
  <c r="Y206" i="49"/>
  <c r="G206" i="49" s="1"/>
  <c r="Y210" i="49"/>
  <c r="G210" i="49" s="1"/>
  <c r="Y248" i="49"/>
  <c r="G248" i="49" s="1"/>
  <c r="Y228" i="49"/>
  <c r="G228" i="49" s="1"/>
  <c r="Y326" i="49"/>
  <c r="G326" i="49" s="1"/>
  <c r="Y866" i="49"/>
  <c r="G866" i="49" s="1"/>
  <c r="Y234" i="49"/>
  <c r="G234" i="49" s="1"/>
  <c r="Y754" i="49"/>
  <c r="Y926" i="49"/>
  <c r="G926" i="49" s="1"/>
  <c r="Y943" i="49"/>
  <c r="Y698" i="49"/>
  <c r="G698" i="49" s="1"/>
  <c r="Y762" i="49"/>
  <c r="G762" i="49" s="1"/>
  <c r="Y772" i="49"/>
  <c r="G772" i="49" s="1"/>
  <c r="Y800" i="49"/>
  <c r="G800" i="49" s="1"/>
  <c r="Y892" i="49"/>
  <c r="G892" i="49" s="1"/>
  <c r="Y928" i="49"/>
  <c r="G928" i="49" s="1"/>
  <c r="Y336" i="49"/>
  <c r="G336" i="49" s="1"/>
  <c r="Y36" i="49"/>
  <c r="G36" i="49" s="1"/>
  <c r="Y58" i="49"/>
  <c r="G58" i="49" s="1"/>
  <c r="Y250" i="49"/>
  <c r="G250" i="49" s="1"/>
  <c r="Y284" i="49"/>
  <c r="G284" i="49" s="1"/>
  <c r="Y300" i="49"/>
  <c r="G300" i="49" s="1"/>
  <c r="Y316" i="49"/>
  <c r="G316" i="49" s="1"/>
  <c r="Y320" i="49"/>
  <c r="G320" i="49" s="1"/>
  <c r="Y432" i="49"/>
  <c r="G432" i="49" s="1"/>
  <c r="Y462" i="49"/>
  <c r="G462" i="49" s="1"/>
  <c r="Y488" i="49"/>
  <c r="G488" i="49" s="1"/>
  <c r="Y512" i="49"/>
  <c r="G512" i="49" s="1"/>
  <c r="Y528" i="49"/>
  <c r="G528" i="49" s="1"/>
  <c r="Y544" i="49"/>
  <c r="G544" i="49" s="1"/>
  <c r="Y652" i="49"/>
  <c r="G652" i="49" s="1"/>
  <c r="Y680" i="49"/>
  <c r="G680" i="49" s="1"/>
  <c r="Y728" i="49"/>
  <c r="G728" i="49" s="1"/>
  <c r="Y750" i="49"/>
  <c r="G750" i="49" s="1"/>
  <c r="Y828" i="49"/>
  <c r="G828" i="49" s="1"/>
  <c r="Y918" i="49"/>
  <c r="G918" i="49" s="1"/>
  <c r="Y924" i="49"/>
  <c r="G924" i="49" s="1"/>
  <c r="Y256" i="49"/>
  <c r="G256" i="49" s="1"/>
  <c r="Y262" i="49"/>
  <c r="G262" i="49" s="1"/>
  <c r="Y272" i="49"/>
  <c r="G272" i="49" s="1"/>
  <c r="Y304" i="49"/>
  <c r="G304" i="49" s="1"/>
  <c r="Y310" i="49"/>
  <c r="G310" i="49" s="1"/>
  <c r="Y356" i="49"/>
  <c r="G356" i="49" s="1"/>
  <c r="Y404" i="49"/>
  <c r="G404" i="49" s="1"/>
  <c r="Y468" i="49"/>
  <c r="G468" i="49" s="1"/>
  <c r="Y548" i="49"/>
  <c r="G548" i="49" s="1"/>
  <c r="Y554" i="49"/>
  <c r="G554" i="49" s="1"/>
  <c r="Y558" i="49"/>
  <c r="G558" i="49" s="1"/>
  <c r="Y564" i="49"/>
  <c r="G564" i="49" s="1"/>
  <c r="Y810" i="49"/>
  <c r="G810" i="49" s="1"/>
  <c r="Y240" i="49"/>
  <c r="G240" i="49" s="1"/>
  <c r="Y374" i="49"/>
  <c r="G374" i="49" s="1"/>
  <c r="Y472" i="49"/>
  <c r="G472" i="49" s="1"/>
  <c r="Y642" i="49"/>
  <c r="G642" i="49" s="1"/>
  <c r="Y690" i="49"/>
  <c r="G690" i="49" s="1"/>
  <c r="Y696" i="49"/>
  <c r="G696" i="49" s="1"/>
  <c r="Y816" i="49"/>
  <c r="G816" i="49" s="1"/>
  <c r="Y852" i="49"/>
  <c r="G852" i="49" s="1"/>
  <c r="Y94" i="49"/>
  <c r="G94" i="49" s="1"/>
  <c r="Y154" i="49"/>
  <c r="G154" i="49" s="1"/>
  <c r="Y322" i="49"/>
  <c r="G322" i="49" s="1"/>
  <c r="Y344" i="49"/>
  <c r="G344" i="49" s="1"/>
  <c r="Y436" i="49"/>
  <c r="G436" i="49" s="1"/>
  <c r="Y442" i="49"/>
  <c r="G442" i="49" s="1"/>
  <c r="Y518" i="49"/>
  <c r="G518" i="49" s="1"/>
  <c r="Y524" i="49"/>
  <c r="G524" i="49" s="1"/>
  <c r="Y614" i="49"/>
  <c r="G614" i="49" s="1"/>
  <c r="Y638" i="49"/>
  <c r="G638" i="49" s="1"/>
  <c r="Y644" i="49"/>
  <c r="G644" i="49" s="1"/>
  <c r="Y648" i="49"/>
  <c r="G648" i="49" s="1"/>
  <c r="Y678" i="49"/>
  <c r="G678" i="49" s="1"/>
  <c r="Y720" i="49"/>
  <c r="G720" i="49" s="1"/>
  <c r="Y734" i="49"/>
  <c r="G734" i="49" s="1"/>
  <c r="Y794" i="49"/>
  <c r="G794" i="49" s="1"/>
  <c r="Y848" i="49"/>
  <c r="G848" i="49" s="1"/>
  <c r="Y46" i="49"/>
  <c r="G46" i="49" s="1"/>
  <c r="Y214" i="49"/>
  <c r="G214" i="49" s="1"/>
  <c r="Y280" i="49"/>
  <c r="G280" i="49" s="1"/>
  <c r="Y386" i="49"/>
  <c r="G386" i="49" s="1"/>
  <c r="Y500" i="49"/>
  <c r="G500" i="49" s="1"/>
  <c r="Y600" i="49"/>
  <c r="G600" i="49" s="1"/>
  <c r="Y616" i="49"/>
  <c r="G616" i="49" s="1"/>
  <c r="Y716" i="49"/>
  <c r="G716" i="49" s="1"/>
  <c r="Y896" i="49"/>
  <c r="G896" i="49" s="1"/>
  <c r="Y330" i="49"/>
  <c r="G330" i="49" s="1"/>
  <c r="Y376" i="49"/>
  <c r="G376" i="49" s="1"/>
  <c r="Y426" i="49"/>
  <c r="G426" i="49" s="1"/>
  <c r="Y480" i="49"/>
  <c r="G480" i="49" s="1"/>
  <c r="Y510" i="49"/>
  <c r="G510" i="49" s="1"/>
  <c r="Y570" i="49"/>
  <c r="G570" i="49" s="1"/>
  <c r="Y592" i="49"/>
  <c r="G592" i="49" s="1"/>
  <c r="Y602" i="49"/>
  <c r="G602" i="49" s="1"/>
  <c r="Y626" i="49"/>
  <c r="G626" i="49" s="1"/>
  <c r="Y656" i="49"/>
  <c r="G656" i="49" s="1"/>
  <c r="Y662" i="49"/>
  <c r="G662" i="49" s="1"/>
  <c r="Y766" i="49"/>
  <c r="G766" i="49" s="1"/>
  <c r="Y782" i="49"/>
  <c r="G782" i="49" s="1"/>
  <c r="Y786" i="49"/>
  <c r="G786" i="49" s="1"/>
  <c r="Y818" i="49"/>
  <c r="G818" i="49" s="1"/>
  <c r="Y854" i="49"/>
  <c r="G854" i="49" s="1"/>
  <c r="Y916" i="49"/>
  <c r="G916" i="49" s="1"/>
  <c r="Y352" i="49"/>
  <c r="G352" i="49" s="1"/>
  <c r="Y408" i="49"/>
  <c r="G408" i="49" s="1"/>
  <c r="Y414" i="49"/>
  <c r="G414" i="49" s="1"/>
  <c r="Y546" i="49"/>
  <c r="G546" i="49" s="1"/>
  <c r="Y596" i="49"/>
  <c r="G596" i="49" s="1"/>
  <c r="Y658" i="49"/>
  <c r="G658" i="49" s="1"/>
  <c r="Y732" i="49"/>
  <c r="G732" i="49" s="1"/>
  <c r="Y752" i="49"/>
  <c r="G752" i="49" s="1"/>
  <c r="Y768" i="49"/>
  <c r="G768" i="49" s="1"/>
  <c r="Y922" i="49"/>
  <c r="G922" i="49" s="1"/>
  <c r="Y150" i="49"/>
  <c r="G150" i="49" s="1"/>
  <c r="Y18" i="49"/>
  <c r="G18" i="49" s="1"/>
  <c r="Y38" i="49"/>
  <c r="G38" i="49" s="1"/>
  <c r="Y54" i="49"/>
  <c r="G54" i="49" s="1"/>
  <c r="Y218" i="49"/>
  <c r="G218" i="49" s="1"/>
  <c r="Y192" i="49"/>
  <c r="G192" i="49" s="1"/>
  <c r="Y40" i="49"/>
  <c r="G40" i="49" s="1"/>
  <c r="Y324" i="49"/>
  <c r="G324" i="49" s="1"/>
  <c r="Y62" i="49"/>
  <c r="G62" i="49" s="1"/>
  <c r="Y710" i="49"/>
  <c r="G710" i="49" s="1"/>
  <c r="Y148" i="49"/>
  <c r="G148" i="49" s="1"/>
  <c r="Y212" i="49"/>
  <c r="G212" i="49" s="1"/>
  <c r="Y264" i="49"/>
  <c r="G264" i="49" s="1"/>
  <c r="Y306" i="49"/>
  <c r="G306" i="49" s="1"/>
  <c r="Y328" i="49"/>
  <c r="G328" i="49" s="1"/>
  <c r="Y416" i="49"/>
  <c r="G416" i="49" s="1"/>
  <c r="Y422" i="49"/>
  <c r="G422" i="49" s="1"/>
  <c r="Y908" i="49"/>
  <c r="G908" i="49" s="1"/>
  <c r="X934" i="49"/>
  <c r="X930" i="49" s="1"/>
  <c r="Y824" i="49"/>
  <c r="G824" i="49" s="1"/>
  <c r="Y170" i="49"/>
  <c r="G170" i="49" s="1"/>
  <c r="Y226" i="49"/>
  <c r="G226" i="49" s="1"/>
  <c r="Y286" i="49"/>
  <c r="G286" i="49" s="1"/>
  <c r="Y290" i="49"/>
  <c r="G290" i="49" s="1"/>
  <c r="Y312" i="49"/>
  <c r="G312" i="49" s="1"/>
  <c r="Y338" i="49"/>
  <c r="G338" i="49" s="1"/>
  <c r="Y396" i="49"/>
  <c r="G396" i="49" s="1"/>
  <c r="Y418" i="49"/>
  <c r="G418" i="49" s="1"/>
  <c r="Y464" i="49"/>
  <c r="G464" i="49" s="1"/>
  <c r="Y556" i="49"/>
  <c r="G556" i="49" s="1"/>
  <c r="Y618" i="49"/>
  <c r="G618" i="49" s="1"/>
  <c r="Y646" i="49"/>
  <c r="G646" i="49" s="1"/>
  <c r="Y670" i="49"/>
  <c r="G670" i="49" s="1"/>
  <c r="Y138" i="49"/>
  <c r="G138" i="49" s="1"/>
  <c r="Y242" i="49"/>
  <c r="G242" i="49" s="1"/>
  <c r="Y444" i="49"/>
  <c r="G444" i="49" s="1"/>
  <c r="Y470" i="49"/>
  <c r="G470" i="49" s="1"/>
  <c r="Y490" i="49"/>
  <c r="G490" i="49" s="1"/>
  <c r="Y580" i="49"/>
  <c r="G580" i="49" s="1"/>
  <c r="Y258" i="49"/>
  <c r="G258" i="49" s="1"/>
  <c r="Y270" i="49"/>
  <c r="G270" i="49" s="1"/>
  <c r="Y274" i="49"/>
  <c r="G274" i="49" s="1"/>
  <c r="Y296" i="49"/>
  <c r="G296" i="49" s="1"/>
  <c r="Y334" i="49"/>
  <c r="G334" i="49" s="1"/>
  <c r="Y348" i="49"/>
  <c r="G348" i="49" s="1"/>
  <c r="Y354" i="49"/>
  <c r="G354" i="49" s="1"/>
  <c r="Y392" i="49"/>
  <c r="G392" i="49" s="1"/>
  <c r="Y434" i="49"/>
  <c r="G434" i="49" s="1"/>
  <c r="Y508" i="49"/>
  <c r="G508" i="49" s="1"/>
  <c r="Y590" i="49"/>
  <c r="G590" i="49" s="1"/>
  <c r="Y628" i="49"/>
  <c r="G628" i="49" s="1"/>
  <c r="Y688" i="49"/>
  <c r="G688" i="49" s="1"/>
  <c r="Y388" i="49"/>
  <c r="G388" i="49" s="1"/>
  <c r="Y684" i="49"/>
  <c r="G684" i="49" s="1"/>
  <c r="Y74" i="49"/>
  <c r="G74" i="49" s="1"/>
  <c r="Y88" i="49"/>
  <c r="G88" i="49" s="1"/>
  <c r="Y196" i="49"/>
  <c r="G196" i="49" s="1"/>
  <c r="Y232" i="49"/>
  <c r="G232" i="49" s="1"/>
  <c r="Y314" i="49"/>
  <c r="G314" i="49" s="1"/>
  <c r="Y318" i="49"/>
  <c r="G318" i="49" s="1"/>
  <c r="Y456" i="49"/>
  <c r="G456" i="49" s="1"/>
  <c r="Y484" i="49"/>
  <c r="G484" i="49" s="1"/>
  <c r="Y588" i="49"/>
  <c r="G588" i="49" s="1"/>
  <c r="Y660" i="49"/>
  <c r="G660" i="49" s="1"/>
  <c r="Y692" i="49"/>
  <c r="G692" i="49" s="1"/>
  <c r="Y790" i="49"/>
  <c r="G790" i="49" s="1"/>
  <c r="Y812" i="49"/>
  <c r="G812" i="49" s="1"/>
  <c r="Y898" i="49"/>
  <c r="G898" i="49" s="1"/>
  <c r="Y358" i="49"/>
  <c r="G358" i="49" s="1"/>
  <c r="Y400" i="49"/>
  <c r="G400" i="49" s="1"/>
  <c r="Y452" i="49"/>
  <c r="G452" i="49" s="1"/>
  <c r="Y522" i="49"/>
  <c r="G522" i="49" s="1"/>
  <c r="Y584" i="49"/>
  <c r="G584" i="49" s="1"/>
  <c r="Y738" i="49"/>
  <c r="G738" i="49" s="1"/>
  <c r="Y764" i="49"/>
  <c r="G764" i="49" s="1"/>
  <c r="Y870" i="49"/>
  <c r="G870" i="49" s="1"/>
  <c r="Y920" i="49"/>
  <c r="G920" i="49" s="1"/>
  <c r="Y674" i="49"/>
  <c r="G674" i="49" s="1"/>
  <c r="Y342" i="49"/>
  <c r="G342" i="49" s="1"/>
  <c r="Y368" i="49"/>
  <c r="G368" i="49" s="1"/>
  <c r="Y384" i="49"/>
  <c r="G384" i="49" s="1"/>
  <c r="Y532" i="49"/>
  <c r="G532" i="49" s="1"/>
  <c r="Y560" i="49"/>
  <c r="G560" i="49" s="1"/>
  <c r="Y594" i="49"/>
  <c r="G594" i="49" s="1"/>
  <c r="Y598" i="49"/>
  <c r="G598" i="49" s="1"/>
  <c r="Y640" i="49"/>
  <c r="G640" i="49" s="1"/>
  <c r="Y702" i="49"/>
  <c r="G702" i="49" s="1"/>
  <c r="Y380" i="49"/>
  <c r="G380" i="49" s="1"/>
  <c r="Y406" i="49"/>
  <c r="G406" i="49" s="1"/>
  <c r="Y458" i="49"/>
  <c r="G458" i="49" s="1"/>
  <c r="Y474" i="49"/>
  <c r="G474" i="49" s="1"/>
  <c r="Y636" i="49"/>
  <c r="G636" i="49" s="1"/>
  <c r="Y654" i="49"/>
  <c r="G654" i="49" s="1"/>
  <c r="Y760" i="49"/>
  <c r="G760" i="49" s="1"/>
  <c r="Y784" i="49"/>
  <c r="G784" i="49" s="1"/>
  <c r="Y890" i="49"/>
  <c r="G890" i="49" s="1"/>
  <c r="Y364" i="49"/>
  <c r="G364" i="49" s="1"/>
  <c r="Y402" i="49"/>
  <c r="G402" i="49" s="1"/>
  <c r="Y454" i="49"/>
  <c r="G454" i="49" s="1"/>
  <c r="Y574" i="49"/>
  <c r="G574" i="49" s="1"/>
  <c r="Y608" i="49"/>
  <c r="G608" i="49" s="1"/>
  <c r="Y632" i="49"/>
  <c r="G632" i="49" s="1"/>
  <c r="Y912" i="49"/>
  <c r="G912" i="49" s="1"/>
  <c r="Y906" i="49"/>
  <c r="G906" i="49" s="1"/>
  <c r="Y910" i="49"/>
  <c r="G910" i="49" s="1"/>
  <c r="Y874" i="49"/>
  <c r="G874" i="49" s="1"/>
  <c r="Y878" i="49"/>
  <c r="G878" i="49" s="1"/>
  <c r="Y858" i="49"/>
  <c r="G858" i="49" s="1"/>
  <c r="Y862" i="49"/>
  <c r="G862" i="49" s="1"/>
  <c r="Y742" i="49"/>
  <c r="G742" i="49" s="1"/>
  <c r="Y842" i="49"/>
  <c r="G842" i="49" s="1"/>
  <c r="Y846" i="49"/>
  <c r="G846" i="49" s="1"/>
  <c r="Y478" i="49"/>
  <c r="G478" i="49" s="1"/>
  <c r="Y606" i="49"/>
  <c r="G606" i="49" s="1"/>
  <c r="Y826" i="49"/>
  <c r="G826" i="49" s="1"/>
  <c r="G754" i="49" l="1"/>
  <c r="C946" i="49"/>
  <c r="D957" i="49" s="1"/>
  <c r="AB106" i="49"/>
  <c r="AB108" i="49"/>
  <c r="AB126" i="49"/>
  <c r="AB10" i="49"/>
  <c r="AB104" i="49"/>
  <c r="AB128" i="49"/>
  <c r="AB12" i="49"/>
  <c r="AB14" i="49"/>
  <c r="Y868" i="49"/>
  <c r="G868" i="49" s="1"/>
  <c r="Y936" i="49"/>
  <c r="G936" i="49" s="1"/>
  <c r="Y932" i="49"/>
  <c r="G932" i="49" s="1"/>
  <c r="Y22" i="49" l="1"/>
  <c r="G22" i="49" s="1"/>
  <c r="Y136" i="49"/>
  <c r="G136" i="49" s="1"/>
  <c r="X933" i="49"/>
  <c r="X929" i="49" s="1"/>
  <c r="Y930" i="49" s="1"/>
  <c r="Y78" i="49" l="1"/>
  <c r="G78" i="49" s="1"/>
  <c r="Y118" i="49"/>
  <c r="G118" i="49" s="1"/>
  <c r="Y832" i="49"/>
  <c r="G832" i="49" s="1"/>
  <c r="Y382" i="49"/>
  <c r="G382" i="49" s="1"/>
  <c r="Y612" i="49"/>
  <c r="G612" i="49" s="1"/>
  <c r="Y934" i="49"/>
  <c r="Y30" i="49" l="1"/>
  <c r="G30" i="49" s="1"/>
  <c r="Y538" i="49"/>
  <c r="G538" i="49" s="1"/>
  <c r="Y904" i="49"/>
  <c r="G904" i="49" s="1"/>
  <c r="Y26" i="49" l="1"/>
  <c r="G26" i="49" s="1"/>
  <c r="Y730" i="49"/>
  <c r="G730" i="49" s="1"/>
  <c r="Y42" i="49"/>
  <c r="G42" i="49" s="1"/>
  <c r="W18" i="48" l="1"/>
  <c r="V50" i="48"/>
  <c r="W82" i="48" s="1"/>
  <c r="V108" i="48"/>
  <c r="W144" i="48" s="1"/>
  <c r="V185" i="48"/>
  <c r="V186" i="48" s="1"/>
  <c r="W64" i="48" s="1"/>
  <c r="T50" i="48"/>
  <c r="T108" i="48"/>
  <c r="T185" i="48"/>
  <c r="T186" i="48" s="1"/>
  <c r="T188" i="48" l="1"/>
  <c r="W50" i="48"/>
  <c r="V188" i="48"/>
  <c r="W188" i="48" s="1"/>
  <c r="W108" i="48"/>
  <c r="W186" i="48"/>
  <c r="I188" i="48"/>
  <c r="Y792" i="49" l="1"/>
  <c r="G792" i="49" s="1"/>
  <c r="X820" i="49" l="1"/>
  <c r="X744" i="49" s="1"/>
  <c r="X188" i="49" s="1"/>
  <c r="X664" i="49"/>
  <c r="X438" i="49"/>
  <c r="X220" i="49" s="1"/>
  <c r="X158" i="49"/>
  <c r="X819" i="49"/>
  <c r="X743" i="49" s="1"/>
  <c r="X187" i="49" s="1"/>
  <c r="X663" i="49"/>
  <c r="X437" i="49"/>
  <c r="X219" i="49" s="1"/>
  <c r="X157" i="49"/>
  <c r="Y802" i="49"/>
  <c r="G802" i="49" s="1"/>
  <c r="Y886" i="49"/>
  <c r="G886" i="49" s="1"/>
  <c r="Y412" i="49"/>
  <c r="G412" i="49" s="1"/>
  <c r="Y726" i="49"/>
  <c r="G726" i="49" s="1"/>
  <c r="Y116" i="49"/>
  <c r="G116" i="49" s="1"/>
  <c r="Y146" i="49"/>
  <c r="G146" i="49" s="1"/>
  <c r="Y24" i="49"/>
  <c r="G24" i="49" s="1"/>
  <c r="Y366" i="49"/>
  <c r="G366" i="49" s="1"/>
  <c r="Y504" i="49"/>
  <c r="G504" i="49" s="1"/>
  <c r="Y112" i="49"/>
  <c r="G112" i="49" s="1"/>
  <c r="Y104" i="49"/>
  <c r="G104" i="49" s="1"/>
  <c r="Y708" i="49"/>
  <c r="G708" i="49" s="1"/>
  <c r="Y126" i="49"/>
  <c r="G126" i="49" s="1"/>
  <c r="Y746" i="49"/>
  <c r="G746" i="49" s="1"/>
  <c r="Y394" i="49"/>
  <c r="G394" i="49" s="1"/>
  <c r="Y440" i="49"/>
  <c r="G440" i="49" s="1"/>
  <c r="Y466" i="49"/>
  <c r="G466" i="49" s="1"/>
  <c r="Y160" i="49"/>
  <c r="G160" i="49" s="1"/>
  <c r="Y666" i="49"/>
  <c r="G666" i="49" s="1"/>
  <c r="Y190" i="49"/>
  <c r="G190" i="49" s="1"/>
  <c r="Y72" i="49"/>
  <c r="G72" i="49" s="1"/>
  <c r="Y222" i="49"/>
  <c r="G222" i="49" s="1"/>
  <c r="Y822" i="49"/>
  <c r="G822" i="49" s="1"/>
  <c r="Y114" i="49"/>
  <c r="G114" i="49" s="1"/>
  <c r="Y10" i="49"/>
  <c r="G10" i="49" s="1"/>
  <c r="Y664" i="49" l="1"/>
  <c r="Y744" i="49"/>
  <c r="Y158" i="49"/>
  <c r="Y820" i="49"/>
  <c r="Y220" i="49"/>
  <c r="Y188" i="49"/>
  <c r="Y438" i="49"/>
  <c r="Y80" i="49" l="1"/>
  <c r="G80" i="49" s="1"/>
  <c r="Y132" i="49"/>
  <c r="G132" i="49" s="1"/>
  <c r="Y140" i="49"/>
  <c r="G140" i="49" s="1"/>
  <c r="Y84" i="49" l="1"/>
  <c r="G84" i="49" s="1"/>
  <c r="Y76" i="49" l="1"/>
  <c r="G76" i="49" s="1"/>
  <c r="X134" i="49"/>
  <c r="X110" i="49"/>
  <c r="X20" i="49"/>
  <c r="X133" i="49"/>
  <c r="Y134" i="49" s="1"/>
  <c r="X109" i="49" l="1"/>
  <c r="X19" i="49" s="1"/>
  <c r="Y20" i="49" s="1"/>
  <c r="Y110" i="49" l="1"/>
  <c r="X8" i="49"/>
  <c r="X706" i="49"/>
  <c r="X70" i="49"/>
  <c r="X144" i="49"/>
  <c r="X124" i="49"/>
  <c r="Y124" i="49" s="1"/>
  <c r="X102" i="49"/>
  <c r="X82" i="49"/>
  <c r="X705" i="49"/>
  <c r="X143" i="49"/>
  <c r="X123" i="49"/>
  <c r="X101" i="49"/>
  <c r="X81" i="49"/>
  <c r="X69" i="49"/>
  <c r="X7" i="49"/>
  <c r="X945" i="49" l="1"/>
  <c r="Y102" i="49"/>
  <c r="Y706" i="49"/>
  <c r="Y70" i="49"/>
  <c r="Y8" i="49"/>
  <c r="X944" i="49"/>
  <c r="Y144" i="49"/>
  <c r="Y82" i="49"/>
  <c r="Y945" i="49" l="1"/>
  <c r="S83" i="94"/>
  <c r="S261" i="94" s="1"/>
  <c r="I83" i="94" l="1"/>
  <c r="I261" i="94" s="1"/>
  <c r="V52" i="94"/>
  <c r="X52" i="94" s="1"/>
  <c r="Y52" i="94" s="1"/>
  <c r="H52" i="94" s="1"/>
  <c r="AB52" i="94"/>
  <c r="AC52" i="94" s="1"/>
  <c r="J83" i="94"/>
  <c r="J261" i="94" s="1"/>
  <c r="Z52" i="94" l="1"/>
  <c r="AD52" i="94"/>
  <c r="K83" i="94"/>
  <c r="K261" i="94" s="1"/>
  <c r="P7" i="95" l="1"/>
  <c r="AF7" i="95"/>
  <c r="AF13" i="95" s="1"/>
  <c r="AR7" i="95"/>
  <c r="P13" i="95"/>
  <c r="P15" i="95" s="1"/>
  <c r="AR13" i="95" l="1"/>
  <c r="AF15" i="95"/>
  <c r="AG15" i="95" s="1"/>
  <c r="L83" i="94"/>
  <c r="L261" i="94" s="1"/>
  <c r="O83" i="94" l="1"/>
  <c r="O261" i="94" s="1"/>
  <c r="M83" i="94" l="1"/>
  <c r="M261" i="94" s="1"/>
  <c r="V16" i="94" l="1"/>
  <c r="X16" i="94"/>
  <c r="Y16" i="94"/>
  <c r="H16" i="94" s="1"/>
  <c r="AB16" i="94"/>
  <c r="AC16" i="94"/>
  <c r="AD16" i="94"/>
  <c r="V18" i="94"/>
  <c r="X18" i="94"/>
  <c r="Y18" i="94"/>
  <c r="H18" i="94" s="1"/>
  <c r="AB18" i="94"/>
  <c r="AC18" i="94"/>
  <c r="Z18" i="94" s="1"/>
  <c r="AD18" i="94"/>
  <c r="V20" i="94"/>
  <c r="X20" i="94"/>
  <c r="Y20" i="94"/>
  <c r="H20" i="94" s="1"/>
  <c r="AB20" i="94"/>
  <c r="AC20" i="94"/>
  <c r="Z20" i="94" s="1"/>
  <c r="AD20" i="94"/>
  <c r="V26" i="94"/>
  <c r="X26" i="94"/>
  <c r="Y26" i="94"/>
  <c r="H26" i="94" s="1"/>
  <c r="AB26" i="94"/>
  <c r="AC26" i="94"/>
  <c r="Z26" i="94" s="1"/>
  <c r="AD26" i="94"/>
  <c r="V30" i="94"/>
  <c r="X30" i="94"/>
  <c r="Y30" i="94"/>
  <c r="H30" i="94" s="1"/>
  <c r="AB30" i="94"/>
  <c r="AC30" i="94"/>
  <c r="Z30" i="94" s="1"/>
  <c r="AD30" i="94"/>
  <c r="V34" i="94"/>
  <c r="X34" i="94"/>
  <c r="Y34" i="94"/>
  <c r="H34" i="94" s="1"/>
  <c r="AB34" i="94"/>
  <c r="AC34" i="94" s="1"/>
  <c r="V36" i="94"/>
  <c r="X36" i="94" s="1"/>
  <c r="AB36" i="94"/>
  <c r="AC36" i="94" s="1"/>
  <c r="V38" i="94"/>
  <c r="X38" i="94"/>
  <c r="Y38" i="94"/>
  <c r="H38" i="94" s="1"/>
  <c r="AB38" i="94"/>
  <c r="AC38" i="94" s="1"/>
  <c r="V46" i="94"/>
  <c r="X46" i="94" s="1"/>
  <c r="Y46" i="94" s="1"/>
  <c r="H46" i="94" s="1"/>
  <c r="AB46" i="94"/>
  <c r="AC46" i="94" s="1"/>
  <c r="V48" i="94"/>
  <c r="X48" i="94"/>
  <c r="Y48" i="94"/>
  <c r="H48" i="94" s="1"/>
  <c r="AB48" i="94"/>
  <c r="AC48" i="94" s="1"/>
  <c r="V50" i="94"/>
  <c r="X50" i="94"/>
  <c r="Y50" i="94"/>
  <c r="H50" i="94" s="1"/>
  <c r="AB50" i="94"/>
  <c r="AC50" i="94" s="1"/>
  <c r="V54" i="94"/>
  <c r="X54" i="94"/>
  <c r="Y54" i="94" s="1"/>
  <c r="H54" i="94" s="1"/>
  <c r="AB54" i="94"/>
  <c r="AC54" i="94" s="1"/>
  <c r="V58" i="94"/>
  <c r="X58" i="94"/>
  <c r="Y58" i="94"/>
  <c r="H58" i="94" s="1"/>
  <c r="AB58" i="94"/>
  <c r="AC58" i="94" s="1"/>
  <c r="V60" i="94"/>
  <c r="X60" i="94" s="1"/>
  <c r="Y60" i="94" s="1"/>
  <c r="H60" i="94" s="1"/>
  <c r="AB60" i="94"/>
  <c r="AC60" i="94" s="1"/>
  <c r="N83" i="94"/>
  <c r="V83" i="94"/>
  <c r="N261" i="94"/>
  <c r="AC6" i="94" l="1"/>
  <c r="AD6" i="94" s="1"/>
  <c r="Z16" i="94"/>
  <c r="AC83" i="94"/>
  <c r="Z34" i="94"/>
  <c r="AD34" i="94"/>
  <c r="Y36" i="94"/>
  <c r="H36" i="94" s="1"/>
  <c r="X83" i="94"/>
  <c r="Z36" i="94"/>
  <c r="AD36" i="94"/>
  <c r="Z38" i="94"/>
  <c r="AD38" i="94"/>
  <c r="Z46" i="94"/>
  <c r="AD46" i="94"/>
  <c r="Z48" i="94"/>
  <c r="AD48" i="94"/>
  <c r="Z50" i="94"/>
  <c r="AD50" i="94"/>
  <c r="Z54" i="94"/>
  <c r="AD54" i="94"/>
  <c r="Z58" i="94"/>
  <c r="AD58" i="94"/>
  <c r="Z60" i="94"/>
  <c r="AD60" i="94"/>
  <c r="Z2" i="94" l="1"/>
  <c r="AA83" i="94"/>
  <c r="J22" i="90"/>
  <c r="AC261" i="94"/>
  <c r="AD83" i="94"/>
  <c r="H22" i="90" s="1"/>
  <c r="Y83" i="94"/>
  <c r="J22" i="87"/>
  <c r="X261" i="94"/>
  <c r="Y261" i="94" s="1"/>
  <c r="J24" i="90" l="1"/>
  <c r="J25" i="90" s="1"/>
  <c r="F22" i="90"/>
  <c r="F24" i="90" s="1"/>
  <c r="AD261" i="94"/>
  <c r="Z261" i="94"/>
  <c r="Y6" i="94"/>
  <c r="Y5" i="94" s="1"/>
  <c r="H22" i="87"/>
  <c r="F22" i="87"/>
  <c r="F24" i="87" s="1"/>
  <c r="J24" i="87"/>
  <c r="J25" i="87" s="1"/>
  <c r="H24" i="90" l="1"/>
  <c r="F25" i="90"/>
  <c r="F25" i="87"/>
  <c r="H24" i="87"/>
</calcChain>
</file>

<file path=xl/sharedStrings.xml><?xml version="1.0" encoding="utf-8"?>
<sst xmlns="http://schemas.openxmlformats.org/spreadsheetml/2006/main" count="8168" uniqueCount="1283">
  <si>
    <t>PREV</t>
  </si>
  <si>
    <t>REAL</t>
  </si>
  <si>
    <t>Item</t>
  </si>
  <si>
    <t>Descrição</t>
  </si>
  <si>
    <t>CONTRATO</t>
  </si>
  <si>
    <t>ACUMULADO</t>
  </si>
  <si>
    <t>PERCENTUAL</t>
  </si>
  <si>
    <t>2.14</t>
  </si>
  <si>
    <t>2.12</t>
  </si>
  <si>
    <t>2.16</t>
  </si>
  <si>
    <t>2.17</t>
  </si>
  <si>
    <t>2.8</t>
  </si>
  <si>
    <t>2.9</t>
  </si>
  <si>
    <t>2.2</t>
  </si>
  <si>
    <t>2.13</t>
  </si>
  <si>
    <t>2.15</t>
  </si>
  <si>
    <t>2.1</t>
  </si>
  <si>
    <t>2.10</t>
  </si>
  <si>
    <t>2.11</t>
  </si>
  <si>
    <t>2.4</t>
  </si>
  <si>
    <t>2.5</t>
  </si>
  <si>
    <t>2.6</t>
  </si>
  <si>
    <t>2.7</t>
  </si>
  <si>
    <t>2.3</t>
  </si>
  <si>
    <t>PREVISÃO</t>
  </si>
  <si>
    <t>EVOLUÇÃO MENSAL DO CONTRATO POR TIPO DE DESPESA</t>
  </si>
  <si>
    <t>2025 / 2026</t>
  </si>
  <si>
    <t>24.1</t>
  </si>
  <si>
    <t>36.1</t>
  </si>
  <si>
    <t>ITEM</t>
  </si>
  <si>
    <t>MÃO DE OBRA</t>
  </si>
  <si>
    <t>P</t>
  </si>
  <si>
    <t>PREVISTO</t>
  </si>
  <si>
    <t>R</t>
  </si>
  <si>
    <t>REALIZADO</t>
  </si>
  <si>
    <t>CUSTO DIRETO</t>
  </si>
  <si>
    <t>DESPESAS REEMBOLSÁVEIS</t>
  </si>
  <si>
    <t>TOTAL
 MENSAL</t>
  </si>
  <si>
    <t>TOTAL 
ACUMULADO</t>
  </si>
  <si>
    <t>Previsto Mensal</t>
  </si>
  <si>
    <t>Realizado Mensal</t>
  </si>
  <si>
    <t>Previsto Acumulado</t>
  </si>
  <si>
    <t>Realizado Acumulado</t>
  </si>
  <si>
    <t>PLANILHA REFERENCIAL DE PREÇOS - RESUMO (COM DESONERAÇÃO)</t>
  </si>
  <si>
    <t>NÃO MEDIDOS</t>
  </si>
  <si>
    <t>Classe</t>
  </si>
  <si>
    <t>%</t>
  </si>
  <si>
    <t>Meses</t>
  </si>
  <si>
    <t>Quantidade</t>
  </si>
  <si>
    <t>Preço 
Unitário</t>
  </si>
  <si>
    <t>Preço Total</t>
  </si>
  <si>
    <t>PERCENTUAL 
MEDIDO</t>
  </si>
  <si>
    <t>Média Mensal</t>
  </si>
  <si>
    <t>Projeção R$</t>
  </si>
  <si>
    <t>Projeção %</t>
  </si>
  <si>
    <t>x 12 meses</t>
  </si>
  <si>
    <t xml:space="preserve"> 12 meses</t>
  </si>
  <si>
    <t>12 meses</t>
  </si>
  <si>
    <t>jul</t>
  </si>
  <si>
    <t>ago</t>
  </si>
  <si>
    <t>set</t>
  </si>
  <si>
    <t>out</t>
  </si>
  <si>
    <t>nov</t>
  </si>
  <si>
    <t>dez</t>
  </si>
  <si>
    <t>jan</t>
  </si>
  <si>
    <t>fev</t>
  </si>
  <si>
    <t>mar</t>
  </si>
  <si>
    <t>abr</t>
  </si>
  <si>
    <t>mai</t>
  </si>
  <si>
    <t>jun</t>
  </si>
  <si>
    <t>RESUMO DA MÃO DE OBRA</t>
  </si>
  <si>
    <t>1.1</t>
  </si>
  <si>
    <t>Consultor Especializado</t>
  </si>
  <si>
    <t>P8060</t>
  </si>
  <si>
    <t/>
  </si>
  <si>
    <t>Almoxarife</t>
  </si>
  <si>
    <t>1.2</t>
  </si>
  <si>
    <t>P9803</t>
  </si>
  <si>
    <t>Auxiliar Administrativo</t>
  </si>
  <si>
    <t>Técnico Administrativo</t>
  </si>
  <si>
    <t>1.3</t>
  </si>
  <si>
    <t>P9806</t>
  </si>
  <si>
    <t>Técnico Pleno - Encarregado - Com Periculosidade</t>
  </si>
  <si>
    <t>Engenheiro Pleno - Eletricista - Telecomunicações - Com Periculosidade</t>
  </si>
  <si>
    <t>1.4</t>
  </si>
  <si>
    <t>P9809</t>
  </si>
  <si>
    <t>Engenheiro Sênior - Proteção e Controle / Eletricista - Coord - Com Periculosidade</t>
  </si>
  <si>
    <t>Vigia (12X36) - Diurno</t>
  </si>
  <si>
    <t>1.5</t>
  </si>
  <si>
    <t>P9811 (*)</t>
  </si>
  <si>
    <t>Vigia (12x36) - Noturno</t>
  </si>
  <si>
    <t>Eletromecânico - Montador - Com Periculosidade</t>
  </si>
  <si>
    <t>1.6</t>
  </si>
  <si>
    <t>P9812 (*)</t>
  </si>
  <si>
    <t>Médico</t>
  </si>
  <si>
    <t>Engenheiro Pleno - Segurança do Trabalho</t>
  </si>
  <si>
    <t>1.8</t>
  </si>
  <si>
    <t>P9819 (*)</t>
  </si>
  <si>
    <t xml:space="preserve">Técnico Sênior - TI / Eletrotécnico (12X36) - Diurno </t>
  </si>
  <si>
    <t xml:space="preserve">Técnico Sênior - Eletrotécnico / Operador de Subest (12X36) - Diurno / Técnico Pleno - Eletromecânico/ Telecomunicações / Eletrotécnico / Eletrônico - Com Periculosidade </t>
  </si>
  <si>
    <t>1.9</t>
  </si>
  <si>
    <t>P9827</t>
  </si>
  <si>
    <t>Técnico Sênior - Eletrotécnico - Noturno / Técnico Pleno - Operador de Subest (12X36) - Noturno</t>
  </si>
  <si>
    <t xml:space="preserve">Técnico Sênior - Segurança </t>
  </si>
  <si>
    <t>1.10</t>
  </si>
  <si>
    <t>P9827N</t>
  </si>
  <si>
    <t>Secretária</t>
  </si>
  <si>
    <t>Chefe de Escritório</t>
  </si>
  <si>
    <t>1.11</t>
  </si>
  <si>
    <t>P9830 (*)</t>
  </si>
  <si>
    <t>Comprador</t>
  </si>
  <si>
    <t>Eletricista - Com Periculosidade</t>
  </si>
  <si>
    <t>1.12</t>
  </si>
  <si>
    <t>P9851</t>
  </si>
  <si>
    <t>Engenheiro Júnior - Eletricista - Com Periculosidade</t>
  </si>
  <si>
    <t>Motorista</t>
  </si>
  <si>
    <t>1.13</t>
  </si>
  <si>
    <t>P9864 (*)</t>
  </si>
  <si>
    <t>Motorista (12x36) - Noturno</t>
  </si>
  <si>
    <t>Oficial - Pedreiro/Armador/Carpinteiro - Com Periculosidade</t>
  </si>
  <si>
    <t>1.14</t>
  </si>
  <si>
    <t>P9867</t>
  </si>
  <si>
    <t>Servente / Zelador</t>
  </si>
  <si>
    <t>Servente - Com Periculosidade</t>
  </si>
  <si>
    <t>1.15</t>
  </si>
  <si>
    <t>P9867 (*)</t>
  </si>
  <si>
    <t>Engenheiro Coordenador</t>
  </si>
  <si>
    <t>Previsão de Horas Extras - Eletromecânico - Montador</t>
  </si>
  <si>
    <t>1.17</t>
  </si>
  <si>
    <t>P9867N (*)</t>
  </si>
  <si>
    <t xml:space="preserve">Previsão de Horas Sobreaviso - Técnico Sênior Eletromecânico/Eletrotécnico/Eletrônico </t>
  </si>
  <si>
    <t>1.18</t>
  </si>
  <si>
    <t>P9876 (*)</t>
  </si>
  <si>
    <t xml:space="preserve">Previsão de Horas Extras - Técnico Sênior Eletromecânico/Eletrotécnico/Eletrônico </t>
  </si>
  <si>
    <t>1.19</t>
  </si>
  <si>
    <t>P9878</t>
  </si>
  <si>
    <t>Previsão de Horas Sobreaviso ‐ Motorista</t>
  </si>
  <si>
    <t>Previsão de Horas Extras - Motorista</t>
  </si>
  <si>
    <t>1.20</t>
  </si>
  <si>
    <t>P9883</t>
  </si>
  <si>
    <t>1.21</t>
  </si>
  <si>
    <t>P9900</t>
  </si>
  <si>
    <t>Viagens Aéreas  - 1 trecho (ida)</t>
  </si>
  <si>
    <t>1.22</t>
  </si>
  <si>
    <t>P9930 (*)</t>
  </si>
  <si>
    <t>Viagens Aéreas  - 1 trecho (volta)</t>
  </si>
  <si>
    <t>Viagens Terrestres - 1 trecho (ida)</t>
  </si>
  <si>
    <t>1.23</t>
  </si>
  <si>
    <t>P9946 (*)</t>
  </si>
  <si>
    <t>Viagens Terrestres - 1 trecho (volta)</t>
  </si>
  <si>
    <t>Diárias Nacionais</t>
  </si>
  <si>
    <t>1.24</t>
  </si>
  <si>
    <t>P9948</t>
  </si>
  <si>
    <t>Aluguel Notebook ‐ com software ‐ tipo 2 (i7, HD 1Tb, Memória RAM 8Gb, Tela 15,6" + Sist.
Operacional Windows 10)</t>
  </si>
  <si>
    <t>Aluguel de Impressora A3</t>
  </si>
  <si>
    <t>1.25</t>
  </si>
  <si>
    <t>P9948N</t>
  </si>
  <si>
    <t>Aluguel de Servidor</t>
  </si>
  <si>
    <t>Aluguel de Plotter</t>
  </si>
  <si>
    <t>1.26</t>
  </si>
  <si>
    <t>P9952 (*)</t>
  </si>
  <si>
    <t>Veículo - caminhonete 4x4 cabine dupla</t>
  </si>
  <si>
    <t>Veículo - caminhonete 4x4 cabine dupla c/ motorista</t>
  </si>
  <si>
    <t>1.27</t>
  </si>
  <si>
    <t>P9954</t>
  </si>
  <si>
    <t>Veículo - pick up  4x4  (E8891) - Operativo + Improdutivo</t>
  </si>
  <si>
    <t>Veículo - sedan 1.6 flex - 115CV (E8889) - Operativo + Improdutivo</t>
  </si>
  <si>
    <t>1.28</t>
  </si>
  <si>
    <t>P9954 (*)</t>
  </si>
  <si>
    <t>Veículo - van com motorista  tipo furgão (E8887) - Operativo + Improdutivo</t>
  </si>
  <si>
    <t>Ônibus com 45 lugares - 218CV (com motorista - incluindo combustível e manutenção)</t>
  </si>
  <si>
    <t>1.29</t>
  </si>
  <si>
    <t>P9955 (*)</t>
  </si>
  <si>
    <t>Imóvel Comercial - Escritório + Almox (B8951) - 150 m²</t>
  </si>
  <si>
    <t>Mobiliário para escritório (B8953)</t>
  </si>
  <si>
    <t>1.30</t>
  </si>
  <si>
    <t>P9830h (*)</t>
  </si>
  <si>
    <t>Custos Diversos - Escritório (B8959)</t>
  </si>
  <si>
    <t>GPS de Navegação</t>
  </si>
  <si>
    <t>1.31</t>
  </si>
  <si>
    <t>P9830Nh (*)</t>
  </si>
  <si>
    <t>Câmera fotográfica</t>
  </si>
  <si>
    <t>Câmera fotografica profissional DSLR, 18 MP, vídeos em Full HD, lente EF-S 18-55mm f/3.5-5.6 III e bateria</t>
  </si>
  <si>
    <t>1.32</t>
  </si>
  <si>
    <t>P9867h</t>
  </si>
  <si>
    <t>Binóculo Profissional Ampliação 8 à 24x 50mm</t>
  </si>
  <si>
    <t>Sistema de repetidoras VHF interligadas com link UHF - 4 antenas</t>
  </si>
  <si>
    <t>1.33</t>
  </si>
  <si>
    <t>P9867h (*)</t>
  </si>
  <si>
    <t>Sistema de repetidoras VHF interligadas com link UHF - 2 antenas</t>
  </si>
  <si>
    <t>Rádio VHF portátil EP 450</t>
  </si>
  <si>
    <t>1.34</t>
  </si>
  <si>
    <t>P9867Nh (*)</t>
  </si>
  <si>
    <t>Rádio VHF móvel digital para viatura</t>
  </si>
  <si>
    <t>Rádio VHF para instalação nas SEs, composto por rádio base e sistema irradiante</t>
  </si>
  <si>
    <t>1.35</t>
  </si>
  <si>
    <t>P9870h</t>
  </si>
  <si>
    <t>Serviço de instalação e configuração de sistema de repetidoras e infraestrutura - 4 antenas</t>
  </si>
  <si>
    <t>Serviço de instalação e configuração de sistema de repetidoras e infraestrutura - 2 antenas</t>
  </si>
  <si>
    <t>1.36</t>
  </si>
  <si>
    <t>Imóvel Residencial (B8952)</t>
  </si>
  <si>
    <t>Mobiliário para Residência (B8954)</t>
  </si>
  <si>
    <t>1.37</t>
  </si>
  <si>
    <t>P9870Nh</t>
  </si>
  <si>
    <t>Custos Diversos - Residência (B8960)</t>
  </si>
  <si>
    <t>Caminhão carroceria com guindauto com capacidade de 20 t.m - 136 kW</t>
  </si>
  <si>
    <t>1.38</t>
  </si>
  <si>
    <t>P9930h (*)</t>
  </si>
  <si>
    <t>Caminhão carroceria com guindauto e cesto aéreo com capacidade de 10 t.m - 136 kW</t>
  </si>
  <si>
    <t>Caminhão carroceria com capacidade de 15 t - 188 kW -c/Cabine auxiliar (horas produtivas)</t>
  </si>
  <si>
    <t>1.39</t>
  </si>
  <si>
    <t>P9930Nh (*)</t>
  </si>
  <si>
    <t>Caminhão carroceria com capacidade de 15 t - 188 kW -c/Cabine auxiliar (horas improdutivas)</t>
  </si>
  <si>
    <t>Cavalo mecânico com semirreboque com capacidade de 22 t - 240 kW (horas produtivas)</t>
  </si>
  <si>
    <t>Cavalo mecânico com semirreboque com capacidade de 22 t - 240 kW (horas improdutivas)</t>
  </si>
  <si>
    <t>TOTAL - MÃO DE OBRA</t>
  </si>
  <si>
    <t>Caminhão tanque com capacidade de 10.000 l - 188 kW (horas produtivas)</t>
  </si>
  <si>
    <t>Caminhão tanque com capacidade de 10.000 l - 188 kW (horas improdutivas)</t>
  </si>
  <si>
    <t>(*) com periculosidade</t>
  </si>
  <si>
    <t>Caminhão basculante com capacidade de 10 m³ - 188 kW (horas produtivas)</t>
  </si>
  <si>
    <t>Caminhão basculante com capacidade de 10 m³ - 188 kW (horas improdutivas)</t>
  </si>
  <si>
    <t>CUSTOS DIRETOS</t>
  </si>
  <si>
    <t>Motoniveladora - 93 kW (horas produtivas)</t>
  </si>
  <si>
    <t>Motoniveladora - 93 kW (horas improdutivas)</t>
  </si>
  <si>
    <t>VIAGENS</t>
  </si>
  <si>
    <t>Retroescavadeira de pneus com capacidade de 0,76 m³ - 58 kW (horas produtivas)</t>
  </si>
  <si>
    <t>Retroescavadeira de pneus com capacidade de 0,76 m³ - 58 kW (horas improdutivas)</t>
  </si>
  <si>
    <t>2.1.1</t>
  </si>
  <si>
    <t>und</t>
  </si>
  <si>
    <t>MATERIAL DE CONSUMO ELÉTRICO</t>
  </si>
  <si>
    <t>FERRAMENTAS ELÉTRICA</t>
  </si>
  <si>
    <t>2.1.2</t>
  </si>
  <si>
    <t>SOBRESSALENTES - ELÉTRICA</t>
  </si>
  <si>
    <t>SOBRESSALENTES - LINHA DE TRANSMISSÃO</t>
  </si>
  <si>
    <t>2.1.3</t>
  </si>
  <si>
    <t>INSTRUMENTOS - ELÉTRICA</t>
  </si>
  <si>
    <t>MANUTENÇÃO CIVIL - MATERIAIS CONSUMÍVEIS</t>
  </si>
  <si>
    <t>2.1.4</t>
  </si>
  <si>
    <t>FERRAMENTAS - CIVIL</t>
  </si>
  <si>
    <t>Transporte de componentes e equipamentos de elétrica</t>
  </si>
  <si>
    <t>2.1.5</t>
  </si>
  <si>
    <t>Mobilização e Desmobilização dos equipamentos - eixo norte</t>
  </si>
  <si>
    <t>Mobilização e Desmobilização dos equipamentos - eixo leste</t>
  </si>
  <si>
    <t>EQUIPAMENTOS DE INFORMÁTICA E PROGRAMAS</t>
  </si>
  <si>
    <t>Locação de Container 2,30x6,00m, alt.2,50m, s/div. int e s/sanitários</t>
  </si>
  <si>
    <t>Ar condicionado split - 9.000 BTU's</t>
  </si>
  <si>
    <t>2.2.1</t>
  </si>
  <si>
    <t>und x mês</t>
  </si>
  <si>
    <t>Grupo gerador de 4 KVA, 220v, trifásico, silenciado, com 100 metros de cabos e 01 QTA</t>
  </si>
  <si>
    <t>Banheiro Químico, com 03 limpezas semanais</t>
  </si>
  <si>
    <t>2.2.2</t>
  </si>
  <si>
    <t>Tenda Piramidal 6m x 6m (para refeitório)</t>
  </si>
  <si>
    <t>Bebedouro elétrico</t>
  </si>
  <si>
    <t>2.2.3</t>
  </si>
  <si>
    <t>Equipamentos, materiais, ferramentas e serviços especializados</t>
  </si>
  <si>
    <t>2.2.4</t>
  </si>
  <si>
    <t>VEÍCULOS, COMBUSTÍVEL E MANUTENÇÃO</t>
  </si>
  <si>
    <t>2.3.1</t>
  </si>
  <si>
    <t>2.3.2</t>
  </si>
  <si>
    <t>2.3.3</t>
  </si>
  <si>
    <t>2.3.4</t>
  </si>
  <si>
    <t>2.3.5</t>
  </si>
  <si>
    <t>2.3.6</t>
  </si>
  <si>
    <t>ESCRITÓRIO</t>
  </si>
  <si>
    <t>2.4.1</t>
  </si>
  <si>
    <t>R$ x ocupante/mês</t>
  </si>
  <si>
    <t>2.4.2</t>
  </si>
  <si>
    <t>2.4.3</t>
  </si>
  <si>
    <t>2.4.4</t>
  </si>
  <si>
    <t>2.4.5</t>
  </si>
  <si>
    <t>2.4.6</t>
  </si>
  <si>
    <t>2.4.7</t>
  </si>
  <si>
    <t>SISTEMA DE RÁDIO COMUNICAÇÃO</t>
  </si>
  <si>
    <t>2.5.1</t>
  </si>
  <si>
    <t>mês</t>
  </si>
  <si>
    <t>2.5.2</t>
  </si>
  <si>
    <t>2.5.3</t>
  </si>
  <si>
    <t>2.5.4</t>
  </si>
  <si>
    <t>2.5.5</t>
  </si>
  <si>
    <t>2.5.6</t>
  </si>
  <si>
    <t>2.5.7</t>
  </si>
  <si>
    <t>INSTALAÇÃO DA EQUIPE</t>
  </si>
  <si>
    <t>2.6.1</t>
  </si>
  <si>
    <t>R$/m² x mês</t>
  </si>
  <si>
    <t>2.6.2</t>
  </si>
  <si>
    <t>2.6.3</t>
  </si>
  <si>
    <t>EQUIPAMENTOS PARA MANUTENÇÃO ELÉTRICA</t>
  </si>
  <si>
    <t>2.7.1</t>
  </si>
  <si>
    <t>2.7.2</t>
  </si>
  <si>
    <t>2.7.3</t>
  </si>
  <si>
    <t>2.7.4</t>
  </si>
  <si>
    <t>2.7.5</t>
  </si>
  <si>
    <t>2.7.6</t>
  </si>
  <si>
    <t>2.7.7</t>
  </si>
  <si>
    <t>2.7.8</t>
  </si>
  <si>
    <t>2.7.9</t>
  </si>
  <si>
    <t>2.7.10</t>
  </si>
  <si>
    <t>2.7.11</t>
  </si>
  <si>
    <t>2.7.12</t>
  </si>
  <si>
    <t>2.7.13</t>
  </si>
  <si>
    <t>2.7.14</t>
  </si>
  <si>
    <t>2.7.15</t>
  </si>
  <si>
    <t>Trator sobre esteiras com lâmina - 127 kW (Horas produtivas)</t>
  </si>
  <si>
    <t>2.7.16</t>
  </si>
  <si>
    <t>Trator sobre esteiras com lâmina - 127 kW (Horas improdutivas)</t>
  </si>
  <si>
    <t>MATERIAL DE CONSUMO - ELÉTRICO</t>
  </si>
  <si>
    <t>2.8.1</t>
  </si>
  <si>
    <t>2.9.1</t>
  </si>
  <si>
    <t>2.10.1</t>
  </si>
  <si>
    <t>2.11.1</t>
  </si>
  <si>
    <t>2.12.2</t>
  </si>
  <si>
    <t>2.13.1</t>
  </si>
  <si>
    <t>2.14.1</t>
  </si>
  <si>
    <t>TRANSPORTE DE EQUIPAMENTOS PARA MANUTENÇÃO NOS FABRICANTES</t>
  </si>
  <si>
    <t>txkm</t>
  </si>
  <si>
    <t>2.15.1</t>
  </si>
  <si>
    <t>MOBILIZAÇÃO E DESMOBILIZAÇÃO DOS EQUIPAMENTOS</t>
  </si>
  <si>
    <t>2.16.1</t>
  </si>
  <si>
    <t>2.16.2</t>
  </si>
  <si>
    <t>FRENTES MÓVEIS DE LIMPEZA E CONSERVAÇÃO</t>
  </si>
  <si>
    <t>2.17.1</t>
  </si>
  <si>
    <t>2.17.2</t>
  </si>
  <si>
    <t>2.17.3</t>
  </si>
  <si>
    <t>2.17.4</t>
  </si>
  <si>
    <t>2.17.5</t>
  </si>
  <si>
    <t>2.17.6</t>
  </si>
  <si>
    <t>TOTAL - CUSTO DIRETO</t>
  </si>
  <si>
    <t>3.1.</t>
  </si>
  <si>
    <t>3.1</t>
  </si>
  <si>
    <t>global</t>
  </si>
  <si>
    <t>TOTAL - DESPESAS REEMBOLSÁVEIS</t>
  </si>
  <si>
    <t>TOTAL GERAL</t>
  </si>
  <si>
    <t>SIT</t>
  </si>
  <si>
    <t>DESCRIÇÃO</t>
  </si>
  <si>
    <t>BOLETIM/MÊS</t>
  </si>
  <si>
    <t>PLANILHA REFERENCIAL DE PREÇOS - CUSTOS DIRETOS (COM DESONERAÇÃO)</t>
  </si>
  <si>
    <t>Unidade</t>
  </si>
  <si>
    <t>Total</t>
  </si>
  <si>
    <t>GESTÃO DO CONTRATO</t>
  </si>
  <si>
    <t>VEÍCULOS</t>
  </si>
  <si>
    <t>1.1.1</t>
  </si>
  <si>
    <t>Veículo ‐ caminhonete 4x4 cabine dupla c/ motorista</t>
  </si>
  <si>
    <t>1.1.2</t>
  </si>
  <si>
    <t>Veículo ‐ caminhonete 4x4 cabine dupla</t>
  </si>
  <si>
    <t>1.1.3</t>
  </si>
  <si>
    <t>Veículo ‐ pick up 4x4 (E8891) ‐ Operativo + Improdutivo</t>
  </si>
  <si>
    <t>1.1.4</t>
  </si>
  <si>
    <t>Veículo ‐ sedan 1.6 flex ‐ 115CV (E8889) ‐ Operativo + Improdutivo</t>
  </si>
  <si>
    <t>1.1.5</t>
  </si>
  <si>
    <t>Ônibus com 45 lugares ‐ 218CV (com motorista ‐ incluindo combustível e manutenção)</t>
  </si>
  <si>
    <t>1.2.1</t>
  </si>
  <si>
    <t>1.2.2</t>
  </si>
  <si>
    <t>1.2.3</t>
  </si>
  <si>
    <t>1.2.4</t>
  </si>
  <si>
    <t>Câmera fotografica profissional DSLR, 18 MP, vídeos em Full HD, lente EF‐S 18‐ 55mm f/3.5‐5.6 III e bateria</t>
  </si>
  <si>
    <t>1.2.5</t>
  </si>
  <si>
    <t>1.2.6</t>
  </si>
  <si>
    <t>Imóvel Comercial ‐ Escritório + Almox (B8951) ‐ 150 m²</t>
  </si>
  <si>
    <t>1.2.7</t>
  </si>
  <si>
    <t>ocupante x mês</t>
  </si>
  <si>
    <t>1.2.8</t>
  </si>
  <si>
    <t>Custos Diversos ‐ Escritório (B8959)</t>
  </si>
  <si>
    <t>1.2.9</t>
  </si>
  <si>
    <t>1.2.10</t>
  </si>
  <si>
    <t>1.2.11</t>
  </si>
  <si>
    <t>Viagens Aéreas ‐ 1 trecho (ida)</t>
  </si>
  <si>
    <t>1.2.12</t>
  </si>
  <si>
    <t>Viagens Aéreas ‐ 1 trecho (volta)</t>
  </si>
  <si>
    <t>1.2.13</t>
  </si>
  <si>
    <t>Viagens Terrestres ‐ 1 trecho (ida)</t>
  </si>
  <si>
    <t>1.2.14</t>
  </si>
  <si>
    <t>Viagens Terrestres ‐ 1 trecho (volta)</t>
  </si>
  <si>
    <t>1.2.15</t>
  </si>
  <si>
    <t>1.2.16</t>
  </si>
  <si>
    <t>Alojamento Nível Superior (aluguel de casa + mobiliário)</t>
  </si>
  <si>
    <t>1.2.17</t>
  </si>
  <si>
    <t>m² x mês</t>
  </si>
  <si>
    <t>1.2.18</t>
  </si>
  <si>
    <t>1.2.19</t>
  </si>
  <si>
    <t>Custos Diversos ‐ Residência (B8960)</t>
  </si>
  <si>
    <t>1.2.20</t>
  </si>
  <si>
    <t>Alojamento Nível Médio (aluguel de república + mobiliário)</t>
  </si>
  <si>
    <t>1.2.21</t>
  </si>
  <si>
    <t>1.2.22</t>
  </si>
  <si>
    <t>1.2.23</t>
  </si>
  <si>
    <t>1.3.1</t>
  </si>
  <si>
    <t>SISTEMA DE RÁDIO COMUNICAÇÃO ‐ EIXO NORTE</t>
  </si>
  <si>
    <t>1.3.1.1</t>
  </si>
  <si>
    <t>Sistema de repetidoras VHF interligadas com link UHF ‐ 4 antenas</t>
  </si>
  <si>
    <t>1.3.1.2</t>
  </si>
  <si>
    <t>1.3.1.3</t>
  </si>
  <si>
    <t>Rádio VHF móvel digital para viatura (eixo norte)</t>
  </si>
  <si>
    <t>1.3.1.4</t>
  </si>
  <si>
    <t>1.3.1.5</t>
  </si>
  <si>
    <t>Serviço de instalação e configuração de sistema de repetidoras e infraestrutura ‐ 4 antenas</t>
  </si>
  <si>
    <t>1.3.2</t>
  </si>
  <si>
    <t>SISTEMA DE RÁDIO COMUNICAÇÃO ‐ EIXO LESTE</t>
  </si>
  <si>
    <t>1.3.2.1</t>
  </si>
  <si>
    <t>1.3.2.2</t>
  </si>
  <si>
    <t>Sistema de repetidoras VHF interligadas com link UHF ‐ 2 antenas</t>
  </si>
  <si>
    <t>1.3.2.3</t>
  </si>
  <si>
    <t>1.3.2.4</t>
  </si>
  <si>
    <t>Rádio VHF móvel digital para viatura (eixo leste)</t>
  </si>
  <si>
    <t>1.3.2.5</t>
  </si>
  <si>
    <t>Rádio VHF para instalação nas EB's, composto por rádio base e sistema irradiante</t>
  </si>
  <si>
    <t>1.3.2.6</t>
  </si>
  <si>
    <t xml:space="preserve"> </t>
  </si>
  <si>
    <t>1.3.2.7</t>
  </si>
  <si>
    <t>Serviço de instalação e configuração de sistema de repetidoras e infraestrutura ‐ 2 antenas</t>
  </si>
  <si>
    <t>SUBTOTAL - ITEM 1</t>
  </si>
  <si>
    <t>OPERAÇÃO SISTEMA ELÉTRICO</t>
  </si>
  <si>
    <t>Aluguel Notebook ‐ com software ‐ tipo 2 (i7, HD 1Tb, Memória RAM 8Gb, Tela 15,6" + Sist. Operacional Windows 10)</t>
  </si>
  <si>
    <t>SUBTOTAL - ITEM 2</t>
  </si>
  <si>
    <t>MANUTENÇÃO DO SISTEMA ELÉTRICO</t>
  </si>
  <si>
    <t>3.1.1</t>
  </si>
  <si>
    <t>3.1.2</t>
  </si>
  <si>
    <t>3.1.3</t>
  </si>
  <si>
    <t>3.1.4</t>
  </si>
  <si>
    <t>Veículo ‐ van com motorista tipo furgão (E8887) ‐ Operativo + Improdutivo</t>
  </si>
  <si>
    <t>3.2</t>
  </si>
  <si>
    <t>3.2.1</t>
  </si>
  <si>
    <t>3.2.2</t>
  </si>
  <si>
    <t>3.2.3</t>
  </si>
  <si>
    <t>3.2.4</t>
  </si>
  <si>
    <t>3.3</t>
  </si>
  <si>
    <t>CAMPO ‐ RECURSOS PARA AS EQUIPES AO LONGO DOS TRECHOS</t>
  </si>
  <si>
    <t>3.3.1</t>
  </si>
  <si>
    <t>3.3.2</t>
  </si>
  <si>
    <t>Ar condicionado split ‐ 9.000 BTU's</t>
  </si>
  <si>
    <t>3.3.3</t>
  </si>
  <si>
    <t>3.3.4</t>
  </si>
  <si>
    <t>3.3.5</t>
  </si>
  <si>
    <t>3.3.6</t>
  </si>
  <si>
    <t>3.4</t>
  </si>
  <si>
    <t>3.4.1</t>
  </si>
  <si>
    <t>Caminhão carroceria com guindauto com capacidade de 20 t.m ‐ 136 kW</t>
  </si>
  <si>
    <t>3.4.2</t>
  </si>
  <si>
    <t>Caminhão carroceria com guindauto e cesto aéreo com capacidade de 10 t.m ‐ 136 kW</t>
  </si>
  <si>
    <t>3.4.3</t>
  </si>
  <si>
    <t>3.4.4</t>
  </si>
  <si>
    <t>3.4.5</t>
  </si>
  <si>
    <t>3.4.6</t>
  </si>
  <si>
    <t>3.4.7</t>
  </si>
  <si>
    <t>3.4.8</t>
  </si>
  <si>
    <t>3.4.9</t>
  </si>
  <si>
    <t>3.4.10</t>
  </si>
  <si>
    <t>3.4.11</t>
  </si>
  <si>
    <t>3.4.12</t>
  </si>
  <si>
    <t>3.4.13</t>
  </si>
  <si>
    <t>3.4.14</t>
  </si>
  <si>
    <t>3.5</t>
  </si>
  <si>
    <t>3.5.1</t>
  </si>
  <si>
    <t>Ar comprinido seco Aerossol 300 ml</t>
  </si>
  <si>
    <t>3.5.2</t>
  </si>
  <si>
    <t>Pincel ‐ ki 03 pinceís 1/2" 1" e 1" 1.1/2"</t>
  </si>
  <si>
    <t>3.5.3</t>
  </si>
  <si>
    <t>Pano para limpeza</t>
  </si>
  <si>
    <t>kg</t>
  </si>
  <si>
    <t>3.5.4</t>
  </si>
  <si>
    <t>Limpador de contatos elétricos 300ml</t>
  </si>
  <si>
    <t>3.5.5</t>
  </si>
  <si>
    <t>Solvente/Desengraxante de alta rigidez dielétrica ‐ 500 ml</t>
  </si>
  <si>
    <t>3.5.6</t>
  </si>
  <si>
    <t>Filtro de ventiladores para paineís</t>
  </si>
  <si>
    <t>3.5.7</t>
  </si>
  <si>
    <t>Sabão líquido neutro (5 litros)</t>
  </si>
  <si>
    <t>3.5.8</t>
  </si>
  <si>
    <t>Fita adesiva isolante antichama 19 mm x 20 m ‐ SINAPI 00020111</t>
  </si>
  <si>
    <t>3.5.9</t>
  </si>
  <si>
    <t>Fita isolante de borracha autofusão impermeável à prova dágua , até 69 kV (alta tensão)‐ 19mm x 5m ‐ SINAPI.AJUST 00000404</t>
  </si>
  <si>
    <t>3.5.10</t>
  </si>
  <si>
    <t>Recarga de gás SF6 (hexafluoreto de enxofre) ‐ 52,16 kg</t>
  </si>
  <si>
    <t>3.5.11</t>
  </si>
  <si>
    <t>Óleo diesel comum ‐ SICRO M0043</t>
  </si>
  <si>
    <t>l</t>
  </si>
  <si>
    <t>3.5.12</t>
  </si>
  <si>
    <t>Anilha Identificação ‐ 0,5 a 6mm² (pacote com 100 unidades)</t>
  </si>
  <si>
    <t>3.5.13</t>
  </si>
  <si>
    <t>Anilha Identificação ‐ 10 a 16mm² (pacote com 100 unidades)</t>
  </si>
  <si>
    <t>3.5.14</t>
  </si>
  <si>
    <t>Anilha Identificação ‐ 25 a 70mm² (pacote com 100 unidades)</t>
  </si>
  <si>
    <t>3.5.15</t>
  </si>
  <si>
    <t>Anilha Identificação ‐ 95 a 120mm² (pacote com 100 unidades)</t>
  </si>
  <si>
    <t>3.6</t>
  </si>
  <si>
    <t>3.6.1</t>
  </si>
  <si>
    <t>Adaptador universal de tomadas</t>
  </si>
  <si>
    <t>3.6.2</t>
  </si>
  <si>
    <t>Alavanca reta, 1,75 m</t>
  </si>
  <si>
    <t>3.6.3</t>
  </si>
  <si>
    <t>Alicate bico chato/pato, 6"</t>
  </si>
  <si>
    <t>3.6.4</t>
  </si>
  <si>
    <t>Alicate cortador de cabos diagonal, 6" ‐ SINAPI 00038470</t>
  </si>
  <si>
    <t>3.6.5</t>
  </si>
  <si>
    <t>3.6.6</t>
  </si>
  <si>
    <t>Alicate/Tesoura cortador manual de cabos de até 300mm², 225mm</t>
  </si>
  <si>
    <t>3.6.7</t>
  </si>
  <si>
    <t>3.6.8</t>
  </si>
  <si>
    <t>Alicate crimpador, RJ‐11/RJ‐45, 200 mm ‐ SINAPI 00038547</t>
  </si>
  <si>
    <t>3.6.9</t>
  </si>
  <si>
    <t>Alicate crimpador, RG‐59 e RG‐6, 130mm</t>
  </si>
  <si>
    <t>3.6.10</t>
  </si>
  <si>
    <t>Alicate crimpador para terminais 1,0 a 10mm², 220 mm</t>
  </si>
  <si>
    <t>3.6.11</t>
  </si>
  <si>
    <t>Alicate crimpador para terminais 10 a 120mm², 620mm</t>
  </si>
  <si>
    <t>3.6.12</t>
  </si>
  <si>
    <t>Alicate crimpador 11", 280 mm</t>
  </si>
  <si>
    <t>3.6.13</t>
  </si>
  <si>
    <t>Alicate crimpador, hidráulico, prensa terminal, com matriz de 10 a 300mm²</t>
  </si>
  <si>
    <t>3.6.14</t>
  </si>
  <si>
    <t>Alicate de pressão, 10", 280 mm ‐ 11275 ORSE</t>
  </si>
  <si>
    <t>3.6.15</t>
  </si>
  <si>
    <t>Alicate profissional universal, 8". Material: Cromo Vanadium</t>
  </si>
  <si>
    <t>3.6.16</t>
  </si>
  <si>
    <t>Alicate universal, 8", com isolação 1000 V</t>
  </si>
  <si>
    <t>3.6.17</t>
  </si>
  <si>
    <t>Arco de Serra manual (com serra) ‐ 10585 ORSE</t>
  </si>
  <si>
    <t>3.6.18</t>
  </si>
  <si>
    <t>Bastão/Vara de manobra 35 kV, Ø 32 mm, 3,0 m, 2 m isolante</t>
  </si>
  <si>
    <t>3.6.19</t>
  </si>
  <si>
    <t>Bastão isolante universal Ø 38 mm, 6 m, com 2 cabeçotes</t>
  </si>
  <si>
    <t>3.6.20</t>
  </si>
  <si>
    <t>Bastão de resgate ‐ 35 kV, 220 mm</t>
  </si>
  <si>
    <t>3.6.21</t>
  </si>
  <si>
    <t>Bastão‐garra comprimento do isolante 3 m</t>
  </si>
  <si>
    <t>3.6.22</t>
  </si>
  <si>
    <t>Bastão tensor com luva ajustável Ø 51 mm, 72,5 kV, 2,30 m</t>
  </si>
  <si>
    <t>3.6.23</t>
  </si>
  <si>
    <t>Bastão com gancho tipo "J" 90cm</t>
  </si>
  <si>
    <t>3.6.24</t>
  </si>
  <si>
    <t>Banqueta isolante, 500x500x300 mm, 40 kV</t>
  </si>
  <si>
    <t>3.6.25</t>
  </si>
  <si>
    <t>Berço simples para cadeia de isoladores 230 kV para até 6 isoladores de até Ø 254 mm</t>
  </si>
  <si>
    <t>3.6.26</t>
  </si>
  <si>
    <t>Balancim (Ref. RE402‐0099 ou similar) para escada perfil de fibra de vidro extensiva</t>
  </si>
  <si>
    <t>3.6.27</t>
  </si>
  <si>
    <t>3.6.28</t>
  </si>
  <si>
    <t>Chave de boca ajustável 8"</t>
  </si>
  <si>
    <t>3.6.29</t>
  </si>
  <si>
    <t>Chave de boca ajustável 12"</t>
  </si>
  <si>
    <t>3.6.30</t>
  </si>
  <si>
    <t>Chave de boca ajustável 18"</t>
  </si>
  <si>
    <t>3.6.31</t>
  </si>
  <si>
    <t>Cadeado 40mm</t>
  </si>
  <si>
    <t>3.6.32</t>
  </si>
  <si>
    <t>Caixa de ferramentas para eletricista NR10 com 34 peças ‐ Equipes de_x000D_
Manutenção</t>
  </si>
  <si>
    <t>3.6.33</t>
  </si>
  <si>
    <t>Caixa de ferramentas com 40 peças (Para técnicos de automação e telecom)</t>
  </si>
  <si>
    <t>3.6.34</t>
  </si>
  <si>
    <t>Caixa de ferramentas tipo sanfonada, confeccionada em chapa de aço, com rodas e puxador</t>
  </si>
  <si>
    <t>3.6.35</t>
  </si>
  <si>
    <t>Câmera fotográfica digital 20MP, 5x Zoom Óptico</t>
  </si>
  <si>
    <t>3.6.36</t>
  </si>
  <si>
    <t>Chave com catraca 4 bocas 8x9x10x11 mm (Ref. 44637101 ou similar)</t>
  </si>
  <si>
    <t>3.6.37</t>
  </si>
  <si>
    <t>Conjunto de aterramento rápido e temporário para cubículos até 35kV</t>
  </si>
  <si>
    <t>3.6.38</t>
  </si>
  <si>
    <t>Conjunto de aterramento rápido e temporário para redes isoladas até 1kV</t>
  </si>
  <si>
    <t>3.6.39</t>
  </si>
  <si>
    <t>Conjunto de aterramento temporário para subestações até 36kV</t>
  </si>
  <si>
    <t>3.6.40</t>
  </si>
  <si>
    <t>Conjunto de chaves básicas para eletricista com 06 peças</t>
  </si>
  <si>
    <t>3.6.41</t>
  </si>
  <si>
    <t>Detector de Tensão por contato 1kV</t>
  </si>
  <si>
    <t>3.6.42</t>
  </si>
  <si>
    <t>Detector unipolar de tensão por aproximação ‐ 10 a 40KV</t>
  </si>
  <si>
    <t>3.6.43</t>
  </si>
  <si>
    <t>Encerado de lona (3x2 m)</t>
  </si>
  <si>
    <t>3.6.44</t>
  </si>
  <si>
    <t>Escada perfil "U" de fibra de vidro extensiva ‐ altura esticada 8,40 m ‐ 15 kV</t>
  </si>
  <si>
    <t>3.6.45</t>
  </si>
  <si>
    <t>Escada de fibra de vidro tipo "A" (subestações) ‐ 10 degraus</t>
  </si>
  <si>
    <t>3.6.46</t>
  </si>
  <si>
    <t>Escova com cerdas de aço para condutores</t>
  </si>
  <si>
    <t>3.6.47</t>
  </si>
  <si>
    <t>Facão para mato, 18 pol</t>
  </si>
  <si>
    <t>3.6.48</t>
  </si>
  <si>
    <t>Farol de punho</t>
  </si>
  <si>
    <t>3.6.49</t>
  </si>
  <si>
    <t>Ferramenta universal para bastão de manobra ‐ Adaptador de ferramentas</t>
  </si>
  <si>
    <t>3.6.50</t>
  </si>
  <si>
    <t>Ferramenta universal para bastão de manobra ‐ Adaptador de peça</t>
  </si>
  <si>
    <t>3.6.51</t>
  </si>
  <si>
    <t>Ferramenta universal para bastão de manobra ‐ Adaptador universal</t>
  </si>
  <si>
    <t>3.6.52</t>
  </si>
  <si>
    <t>Ferramenta universal para bastão de manobra ‐ Cabeçote com gancho duplo</t>
  </si>
  <si>
    <t>3.6.53</t>
  </si>
  <si>
    <t>Ferramenta universal para bastão de manobra ‐ Cabeçote multi‐uso</t>
  </si>
  <si>
    <t>3.6.54</t>
  </si>
  <si>
    <t>Ferramenta universal para bastão de manobra ‐ Cabeçote para grampo de aterramento</t>
  </si>
  <si>
    <t>3.6.55</t>
  </si>
  <si>
    <t>Ferramenta universal para bastão de manobra ‐ Chave com catraca</t>
  </si>
  <si>
    <t>3.6.56</t>
  </si>
  <si>
    <t>Ferramenta universal para bastão de manobra ‐ Desconector para chave fusível</t>
  </si>
  <si>
    <t>3.6.57</t>
  </si>
  <si>
    <t>Ferramenta universal para bastão de manobra ‐ Escova em "V" para limpeza de condutor</t>
  </si>
  <si>
    <t>3.6.58</t>
  </si>
  <si>
    <t>Ferramenta universal para bastão de manobra ‐ Extrator de cartucho</t>
  </si>
  <si>
    <t>3.6.59</t>
  </si>
  <si>
    <t>Ferramenta universal para bastão de manobra ‐ Extrator de contrapino por impulso</t>
  </si>
  <si>
    <t>3.6.60</t>
  </si>
  <si>
    <t>Ferramenta universal para bastão de manobra ‐ Gancho tração espiral</t>
  </si>
  <si>
    <t>3.6.61</t>
  </si>
  <si>
    <t>Ferramenta universal para bastão de manobra ‐ Garfo ajustador de concha</t>
  </si>
  <si>
    <t>3.6.62</t>
  </si>
  <si>
    <t>Ferramenta universal para bastão de manobra ‐ Garra de amarração</t>
  </si>
  <si>
    <t>3.6.63</t>
  </si>
  <si>
    <t>Ferramenta universal para bastão de manobra ‐ Instalador de Contrapino</t>
  </si>
  <si>
    <t>3.6.64</t>
  </si>
  <si>
    <t>Ferramenta universal para bastão de manobra ‐ Jogo para Tensionadores Duplos ‐ jugo duplo com corrente lado morto</t>
  </si>
  <si>
    <t>3.6.65</t>
  </si>
  <si>
    <t>Ferramenta universal para bastão de manobra ‐ Jogo para Tensionadores Duplos ‐_x000D_
jugo duplo lado vivo</t>
  </si>
  <si>
    <t>3.6.66</t>
  </si>
  <si>
    <t>Ferramenta universal para bastão de manobra ‐ Jogo para Tensionadores Simples balancim trinangular chapa dupla</t>
  </si>
  <si>
    <t>3.6.67</t>
  </si>
  <si>
    <t>Ferramenta universal para bastão de manobra ‐ Sacador de contrapino em alavanca</t>
  </si>
  <si>
    <t>3.6.68</t>
  </si>
  <si>
    <t>Ferramenta universal para bastão de manobra ‐ Suporte de concha</t>
  </si>
  <si>
    <t>3.6.69</t>
  </si>
  <si>
    <t>Ferramenta universal para bastão de manobra ‐ Suporte flexível para soquete hexagonal</t>
  </si>
  <si>
    <t>3.6.70</t>
  </si>
  <si>
    <t>Ferramenta universal para bastão de manobra ‐ Tenaz multi‐angular</t>
  </si>
  <si>
    <t>3.6.71</t>
  </si>
  <si>
    <t>Ferramenta universal para bastão de manobra ‐ Tenaz para isolador</t>
  </si>
  <si>
    <t>3.6.72</t>
  </si>
  <si>
    <t>Foice 33mm (Com Cabo 110cm)</t>
  </si>
  <si>
    <t>3.6.73</t>
  </si>
  <si>
    <t>Fumigador para apicultura</t>
  </si>
  <si>
    <t>3.6.74</t>
  </si>
  <si>
    <t>Furadeira elétrica de impacto 1/2" Ø 13mm, 800W, 1050 A, 2800 rpm e 220V</t>
  </si>
  <si>
    <t>3.6.75</t>
  </si>
  <si>
    <t>Grampo de aterramento com parafuso olhal T (linhas)</t>
  </si>
  <si>
    <t>3.6.76</t>
  </si>
  <si>
    <t>Jogo de chave canhão com 12 unidades</t>
  </si>
  <si>
    <t>3.6.77</t>
  </si>
  <si>
    <t>Jogo de chave combinada com 16 unidades (sextavado/boca fixa) de 1/4" a_x000D_
1.1/4" (6,35 mm a 31,75 mm)</t>
  </si>
  <si>
    <t>3.6.78</t>
  </si>
  <si>
    <t>Jogo de soquetes estriado com encaixe 1/2" com 38 soquetes ‐ 10‐32mmn</t>
  </si>
  <si>
    <t>3.6.79</t>
  </si>
  <si>
    <t>Jogo tensionador simples com munhão</t>
  </si>
  <si>
    <t>3.6.80</t>
  </si>
  <si>
    <t>Jogo de chaves biela 12 peças tipo L 8 a 19mm</t>
  </si>
  <si>
    <t>3.6.81</t>
  </si>
  <si>
    <t>Jogo de chave de fenda e philips com haste protegida para eletricista com 07 peças</t>
  </si>
  <si>
    <t>3.6.82</t>
  </si>
  <si>
    <t>Jogo de chave de fenda para bastão</t>
  </si>
  <si>
    <t>3.6.83</t>
  </si>
  <si>
    <t>Kit de reparo eletrônico (ferro de solda, sugador de placa de circuito impresso,componentes sobressalentes)</t>
  </si>
  <si>
    <t>3.6.84</t>
  </si>
  <si>
    <t>Kit ferramenta fibra óptica (clivador +alicate decapador + alicate stripper + bolsa + 2 chaves allen + recipiente para álcool + guia) + Medidor de potência para fibra óptica (Power Meter Medidor Potência Fibra Óptica + Caneta Laser 10W)</t>
  </si>
  <si>
    <t>3.6.85</t>
  </si>
  <si>
    <t>Kit ferramentas telecom ( tipo TRAMONTINA PRO 44970053 ou similar)</t>
  </si>
  <si>
    <t>3.6.86</t>
  </si>
  <si>
    <t>Lanterna tática grande ‐ 5.500.000 lumens</t>
  </si>
  <si>
    <t>3.6.87</t>
  </si>
  <si>
    <t>Lima chata murça 8" com cabo</t>
  </si>
  <si>
    <t>3.6.88</t>
  </si>
  <si>
    <t>Lima chata bastarda 10"</t>
  </si>
  <si>
    <t>3.6.89</t>
  </si>
  <si>
    <t>Luva de cobertura punho 15cm</t>
  </si>
  <si>
    <t>3.6.90</t>
  </si>
  <si>
    <t>Luva isolante classe 00 ‐ 2,5kV</t>
  </si>
  <si>
    <t>3.6.91</t>
  </si>
  <si>
    <t>Luva isolante classe 0 ‐ 5kV</t>
  </si>
  <si>
    <t>3.6.92</t>
  </si>
  <si>
    <t>Luva isolante classe 3 ‐ 30kV</t>
  </si>
  <si>
    <t>3.6.93</t>
  </si>
  <si>
    <t>Marreta de 5kg com cabo de madeira</t>
  </si>
  <si>
    <t>3.6.94</t>
  </si>
  <si>
    <t>Martelete Perfurador/Rompedor Profissional 220V, 800W, 870 RPM</t>
  </si>
  <si>
    <t>3.6.95</t>
  </si>
  <si>
    <t>Martelo‐bola 1kg</t>
  </si>
  <si>
    <t>3.6.96</t>
  </si>
  <si>
    <t>Martelo universal (de unha) 25mm</t>
  </si>
  <si>
    <t>3.6.97</t>
  </si>
  <si>
    <t>Kit para enchimento e complementação de gás SF6, composto de adaptador, mangueira,regulador e manômetro padrão</t>
  </si>
  <si>
    <t>3.6.98</t>
  </si>
  <si>
    <t>Pá‐de‐bico com cabo de madeira</t>
  </si>
  <si>
    <t>3.6.99</t>
  </si>
  <si>
    <t>Parafusadeira/Furadeira elétrica com fio ‐ 220V, 400W</t>
  </si>
  <si>
    <t>3.6.100</t>
  </si>
  <si>
    <t>Plataforma de fibra de vidro antiderrapente para andaime modular isolante, com conexões em aluminio fundido 2x1m</t>
  </si>
  <si>
    <t>3.6.101</t>
  </si>
  <si>
    <t>Punho saca fusível NH tamanho 000 a 4, 1kV</t>
  </si>
  <si>
    <t>3.6.102</t>
  </si>
  <si>
    <t>Sela com extensor colar de 38mm</t>
  </si>
  <si>
    <t>3.6.103</t>
  </si>
  <si>
    <t>Separador de fases horizontal 15kV polietileno de alta densidade na cor cinza (cx 110‐690 mm ; cx 66‐850 mm)</t>
  </si>
  <si>
    <t>3.6.104</t>
  </si>
  <si>
    <t>Soprador térmico 2000W, 220V</t>
  </si>
  <si>
    <t>3.6.105</t>
  </si>
  <si>
    <t>Talha manual Tirfor 1.600kgf/cm² com alavanca</t>
  </si>
  <si>
    <t>3.6.106</t>
  </si>
  <si>
    <t>Testador de bastão de manobra para isolador</t>
  </si>
  <si>
    <t>3.6.107</t>
  </si>
  <si>
    <t>Teste de Bateria Digital com Impressora Térmica Embutida</t>
  </si>
  <si>
    <t>3.6.108</t>
  </si>
  <si>
    <t>Testador de Crimpagem Cabo Rede Lan Rj45 Rj11</t>
  </si>
  <si>
    <t>3.7</t>
  </si>
  <si>
    <t>SOBRESSALENTES ‐ ELÉTRICA</t>
  </si>
  <si>
    <t>3.7.1</t>
  </si>
  <si>
    <t>Alarme sonoro, tensão de 125 Vcc</t>
  </si>
  <si>
    <t>3.7.2</t>
  </si>
  <si>
    <t>Bloco auxiliar com 2 contatos reversíveis</t>
  </si>
  <si>
    <t>3.7.3</t>
  </si>
  <si>
    <t>Botoeira de impulso preto</t>
  </si>
  <si>
    <t>3.7.4</t>
  </si>
  <si>
    <t>Botoeira de impulso verde</t>
  </si>
  <si>
    <t>3.7.5</t>
  </si>
  <si>
    <t>Botoeira de impulso vermelho</t>
  </si>
  <si>
    <t>3.7.6</t>
  </si>
  <si>
    <t>Botoeira de impulso amarelo</t>
  </si>
  <si>
    <t>3.7.7</t>
  </si>
  <si>
    <t>Cartucho para solda exotermica 115g</t>
  </si>
  <si>
    <t>3.7.8</t>
  </si>
  <si>
    <t>Cartucho para solda exotermica 90g</t>
  </si>
  <si>
    <t>3.7.9</t>
  </si>
  <si>
    <t>Chave comutadora de 2 posições, 3 pólos, 3na, 20A, 48x48 mm</t>
  </si>
  <si>
    <t>3.7.10</t>
  </si>
  <si>
    <t>Chave de comando de disjuntor, 3 posições, 690 V, corrente nominal 20 A</t>
  </si>
  <si>
    <t>3.7.11</t>
  </si>
  <si>
    <t>Chave seletora ca 10‐2pólos‐2pos.‐690V‐20 A</t>
  </si>
  <si>
    <t>3.7.12</t>
  </si>
  <si>
    <t>Chave seletora, 2 posições, 6 contatos, 690 V, 20 A</t>
  </si>
  <si>
    <t>3.7.13</t>
  </si>
  <si>
    <t>Chave seletora, 690 V, com 2 posições, 6 contatos, corrente nominal 20 A</t>
  </si>
  <si>
    <t>3.7.14</t>
  </si>
  <si>
    <t>Conector splitbolt para cabo de cobre nu #70mm²</t>
  </si>
  <si>
    <t>3.7.15</t>
  </si>
  <si>
    <t>Conector terminal a compressão para cabos de cobre nu #35mm²</t>
  </si>
  <si>
    <t>3.7.16</t>
  </si>
  <si>
    <t>Contator de força tretrapolar com 2na+2nf, 690 V, 30 A, tensão de alimentação de força e comando 125 Vcc.</t>
  </si>
  <si>
    <t>3.7.17</t>
  </si>
  <si>
    <t>Cabo cobre flexível classe 4 ou 5 isolação PVC/A M 1,68 e cobertura PVC‐ST1 antichama BWF‐B 0,6/1 kV 50mm²</t>
  </si>
  <si>
    <t>m</t>
  </si>
  <si>
    <t>3.7.18</t>
  </si>
  <si>
    <t>Cabo cobre flexível classe 4 ou 5 isolação PVC/A M 1,68 e cobertura PVC‐ST1 antichama BWF‐B 0,6/1 kV 70mm²</t>
  </si>
  <si>
    <t>3.7.19</t>
  </si>
  <si>
    <t>Cabo cobre flexível classe 4 ou 5 isolação PVC/A M 1,68 e cobertura PVC‐ST1 antichama BWF‐B 0,6/1 kV 95mm²</t>
  </si>
  <si>
    <t>3.7.20</t>
  </si>
  <si>
    <t>Cabo cobre flexível classe 4 ou 5 isolação PVC/A M 1,68 e cobertura PVC‐ST1 antichama BWF‐B 0,6/1 kV 120mm²</t>
  </si>
  <si>
    <t>3.7.21</t>
  </si>
  <si>
    <t>Cabo de cobre nu, eletrolítico, têmpera meio duro, #35mm² (m)</t>
  </si>
  <si>
    <t>3.7.22</t>
  </si>
  <si>
    <t>Cabo de cobre nu, eletrolítico, têmpera meio duro, #50mm² (m)</t>
  </si>
  <si>
    <t>3.7.23</t>
  </si>
  <si>
    <t>Cabo de cobre nu, eletrolítico, têmpera meio duro, #70mm² (m)</t>
  </si>
  <si>
    <t>3.7.24</t>
  </si>
  <si>
    <t>Contator tripolar, 690 V, corrente nominal 26 A, 220 Vca, contatos auxiliares 2na+2n</t>
  </si>
  <si>
    <t>3.7.25</t>
  </si>
  <si>
    <t>Contator auxiliar 250 Vcc vax 110 Vcc 3na‐+2nf</t>
  </si>
  <si>
    <t>3.7.26</t>
  </si>
  <si>
    <t>Contator auxiliar, 2na+2nf, cwcba0.22, bobina 125 Vcc</t>
  </si>
  <si>
    <t>3.7.27</t>
  </si>
  <si>
    <t>Contator auxiliar,3na+1nf, cwcba0.31, bobina 125 Vcc</t>
  </si>
  <si>
    <t>3.7.28</t>
  </si>
  <si>
    <t>3.7.29</t>
  </si>
  <si>
    <t>Contator de força lc1 d12‐3p+na+nf‐125 Vcc</t>
  </si>
  <si>
    <t>3.7.30</t>
  </si>
  <si>
    <t>Contator de força,125 Vcc, 250 A, 2no, 2nc, 3 pólos</t>
  </si>
  <si>
    <t>3.7.31</t>
  </si>
  <si>
    <t>Contator tripolar 9A, 125 Vcc</t>
  </si>
  <si>
    <t>3.7.32</t>
  </si>
  <si>
    <t>Disjuntor trifásico termomagnético, 32A, 125 Vcc</t>
  </si>
  <si>
    <t>3.7.33</t>
  </si>
  <si>
    <t>Disjuntor auxiliar de controle, bipolar, comando manual 125 Vcc, 10 A, 440 Vca, 10 kA(em 125 Vcc).</t>
  </si>
  <si>
    <t>3.7.34</t>
  </si>
  <si>
    <t>Disjuntor auxiliar de controle, monopolar, comando manual , 10 A, 440 Vca, 20 kA(em 230 Vca)</t>
  </si>
  <si>
    <t>3.7.35</t>
  </si>
  <si>
    <t>Disjuntor bipolar 16A 250 Vcc</t>
  </si>
  <si>
    <t>3.7.36</t>
  </si>
  <si>
    <t>Disjuntor bipolar 10A, 10 kA</t>
  </si>
  <si>
    <t>3.7.37</t>
  </si>
  <si>
    <t>Disjuntor bipolar 32A 250 Vcc</t>
  </si>
  <si>
    <t>3.7.38</t>
  </si>
  <si>
    <t>Disjuntor bipolar 4,5 kA, 10 A</t>
  </si>
  <si>
    <t>3.7.39</t>
  </si>
  <si>
    <t>Disjuntor bipolar, 16 A s62 c10</t>
  </si>
  <si>
    <t>3.7.40</t>
  </si>
  <si>
    <t>Disjuntor de caixa moldada ca, monopolar,440 V, 10 kA (em 230 Vca) , comando manual, frame/corrente nominal=63/20 A.</t>
  </si>
  <si>
    <t>3.7.41</t>
  </si>
  <si>
    <t>Disjuntor de caixa moldada ca, tripolar , 440 V, 10 kA (em 230 Vca), comando manual, frame/corrente nominal=63/25 A.</t>
  </si>
  <si>
    <t>3.7.42</t>
  </si>
  <si>
    <t>Disjuntor de caixa moldada ca, tripolar , 440 V, 10 kA (em 400 Vca), comando manual, frame/corrente nominal=63/50 A.</t>
  </si>
  <si>
    <t>3.7.43</t>
  </si>
  <si>
    <t>Disjuntor de caixa moldada ca, tripolar , 690 V, 36 kA (em 415 Vca), comando manual, frame/corrente nominal=63/25 A.</t>
  </si>
  <si>
    <t>3.7.44</t>
  </si>
  <si>
    <t>Disjuntor de caixa moldada ca, tripolar, 690 V, 36 kA (em 380/415 Vca), com comando motorizado 125 Vcc, frame/corrente nominal=320/160 A.</t>
  </si>
  <si>
    <t>3.7.45</t>
  </si>
  <si>
    <t>Disjuntor de caixa moldada ca, tripolar, 690 V, 36 kA (em 380/415 Vca), com comando motorizado 125 Vcc, frame/corrente nominal=630/400 A.</t>
  </si>
  <si>
    <t>3.7.46</t>
  </si>
  <si>
    <t>Disjuntor de caixa moldada ca, tripolar,440 V, 10 kA (em 400 Vca) , comando manual, frame/corrente nominal=63/2 A.</t>
  </si>
  <si>
    <t>3.7.47</t>
  </si>
  <si>
    <t>Disjuntor de caixa moldada para corrente contínua, bipolar, comando manual 125 Vcc, 2,0 A, 440 Vca, 10 kA(em 125 Vcc)</t>
  </si>
  <si>
    <t>3.7.48</t>
  </si>
  <si>
    <t>Disjuntor de caixa moldada para corrente contínua, bipolar, comando manual 125 Vcc, 25 A, 440 Vca, 10 kA (em 125 Vcc)</t>
  </si>
  <si>
    <t>3.7.49</t>
  </si>
  <si>
    <t>Disjuntor de caixa moldada para corrente contínua, bipolar, comando manual 125_x000D_
Vcc,20 A, 440 Vca, 10 kA (em 125 Vcc)</t>
  </si>
  <si>
    <t>3.7.50</t>
  </si>
  <si>
    <t>Disjuntor de caixa moldada para corrente contínua, tripolar, 125 Vcc, 690 Vca, 36 kA (em 250 Vcc), frame/corrente=160 A/160 A</t>
  </si>
  <si>
    <t>3.7.51</t>
  </si>
  <si>
    <t>Disjuntor de caixa moldada para corrente contínua, tripolar, comando motorizado, 125 Vcc, 690 Vca, 36 kA (em 250 Vcc), frame/corrente = 160 a/160 A</t>
  </si>
  <si>
    <t>3.7.52</t>
  </si>
  <si>
    <t>Disjuntor monopolar termomagnético 2A, curva c, 18ka (230/400V) ‐_x000D_
(código:5sx2102‐7)</t>
  </si>
  <si>
    <t>3.7.53</t>
  </si>
  <si>
    <t>Disjuntor monopolar, 10 a, s61 c10</t>
  </si>
  <si>
    <t>3.7.54</t>
  </si>
  <si>
    <t>Disjuntor monopolar, 16 a, s61 c16</t>
  </si>
  <si>
    <t>3.7.55</t>
  </si>
  <si>
    <t>Disjuntor termomagnético , bipolar , corrente 10A, 440 V, 10 kA (em 125 Vcc), comando manual</t>
  </si>
  <si>
    <t>3.7.56</t>
  </si>
  <si>
    <t>Disjuntor termomagnético , monopolar , corrente 10A, 440 V, 20 kA (em 230 Vca), comando manual</t>
  </si>
  <si>
    <t>3.7.57</t>
  </si>
  <si>
    <t>Disjuntor termomagnético tipo: 5sx2 206‐7‐0,5A‐440V+5sx9 100+5sx9 200</t>
  </si>
  <si>
    <t>3.7.58</t>
  </si>
  <si>
    <t>Disjuntor termomagnético tipo: 5sx2 206‐7‐1A‐440V+5sx9 100+5sx9 200</t>
  </si>
  <si>
    <t>3.7.59</t>
  </si>
  <si>
    <t>Disjuntor termomagnético tipo: 5sx2 206‐7‐6A‐440V+5sx9 100+5sx9 200</t>
  </si>
  <si>
    <t>3.7.60</t>
  </si>
  <si>
    <t>Disjuntor termomagnético tipo: 5sx2 306‐7‐6A‐440V+5sx9 100+5sx9 200</t>
  </si>
  <si>
    <t>3.7.61</t>
  </si>
  <si>
    <t>Disjuntor tripolar pkzmo‐2,5 + nhi 11 ‐1,6 A a 2,5 A ‐ ajuste: 2A</t>
  </si>
  <si>
    <t>3.7.62</t>
  </si>
  <si>
    <t>Disjuntores trifásicos 380V, 15A</t>
  </si>
  <si>
    <t>3.7.63</t>
  </si>
  <si>
    <t>Extintor de incêndio tipo pó químico, seco, de 12 kg</t>
  </si>
  <si>
    <t>3.7.64</t>
  </si>
  <si>
    <t>Fonte de alimentação cc chaveada, entrada 85‐264Vca, saída 24Vcc/10A ‐_x000D_
phoenix contact ‐ código (quint‐ps‐ 100/240/24Vdc/10)</t>
  </si>
  <si>
    <t>3.7.65</t>
  </si>
  <si>
    <t>Fusivel nh0250a ur, tensão 500 V</t>
  </si>
  <si>
    <t>3.7.66</t>
  </si>
  <si>
    <t>Fusível tipo diazed de 2A</t>
  </si>
  <si>
    <t>3.7.67</t>
  </si>
  <si>
    <t>Fusível tipo diazed de 4A</t>
  </si>
  <si>
    <t>3.7.68</t>
  </si>
  <si>
    <t>Fusível tipo diazed de 6A</t>
  </si>
  <si>
    <t>3.7.69</t>
  </si>
  <si>
    <t>Lâmpada de multivapor metálico 250 W‐220 Vca, bulbo ovóide, rosca e‐40</t>
  </si>
  <si>
    <t>3.7.70</t>
  </si>
  <si>
    <t>Lâmpada fluorescente 15W‐220V</t>
  </si>
  <si>
    <t>3.7.71</t>
  </si>
  <si>
    <t>Lâmpada fluorescente 7 W, 220 V</t>
  </si>
  <si>
    <t>3.7.72</t>
  </si>
  <si>
    <t>Lâmpada fluorescente 9 W, 220 Vca</t>
  </si>
  <si>
    <t>3.7.73</t>
  </si>
  <si>
    <t>Lâmpada fluorescente compacta dupla 2p, 26 W/220 Vca.</t>
  </si>
  <si>
    <t>3.7.74</t>
  </si>
  <si>
    <t>Lâmpada fluorescente compacta tl5 23 W</t>
  </si>
  <si>
    <t>3.7.75</t>
  </si>
  <si>
    <t>Lâmpada fluorescente compacta, potência nominal 18 W, bulbo t 4</t>
  </si>
  <si>
    <t>3.7.76</t>
  </si>
  <si>
    <t>Lâmpada fluorescente de 28 W, tms 450 2tl5</t>
  </si>
  <si>
    <t>3.7.77</t>
  </si>
  <si>
    <t>Lâmpada fluorescente tubular tl5 32 W</t>
  </si>
  <si>
    <t>3.7.78</t>
  </si>
  <si>
    <t>Lâmpada fluorescente tubular, potência nominal 24 W e dimensões 549 x 16, cor luz do dia, bulbo T‐5, base G5)</t>
  </si>
  <si>
    <t>3.7.79</t>
  </si>
  <si>
    <t>Lâmpada fluorescente, tipo pl eletrônica, 220 V ‐15 W</t>
  </si>
  <si>
    <t>3.7.80</t>
  </si>
  <si>
    <t>Lâmpada vapor metálico 70 W</t>
  </si>
  <si>
    <t>3.7.81</t>
  </si>
  <si>
    <t>Lâmpada vapor metálico branca 400 W</t>
  </si>
  <si>
    <t>3.7.82</t>
  </si>
  <si>
    <t>Lâmpadas diversas led</t>
  </si>
  <si>
    <t>3.7.83</t>
  </si>
  <si>
    <t>Microswitch m3c‐25 V ‐ 15A</t>
  </si>
  <si>
    <t>3.7.84</t>
  </si>
  <si>
    <t>Mini solenoíde 125 Vcc</t>
  </si>
  <si>
    <t>3.7.85</t>
  </si>
  <si>
    <t>Minidisjuntor termomagnético, bipolar, 10 A, 125 Vcc, 10 kA</t>
  </si>
  <si>
    <t>3.7.86</t>
  </si>
  <si>
    <t>Minidisjuntor termomagnético, monopolar, 10 A, 230 Vca, 10 kA</t>
  </si>
  <si>
    <t>3.7.87</t>
  </si>
  <si>
    <t>Minidisjuntor termomagnético, tripolar, 2A, 230 Vca, 10 kA</t>
  </si>
  <si>
    <t>3.7.88</t>
  </si>
  <si>
    <t>Minidisjuntor 10A, 2 pólos, 6 kA, curva c</t>
  </si>
  <si>
    <t>3.7.89</t>
  </si>
  <si>
    <t>Minidisjuntor 16A, 2 pólos, 6 kA, curva c</t>
  </si>
  <si>
    <t>3.7.90</t>
  </si>
  <si>
    <t>Minidisjuntor 2A, 2 pólos, 6 kA, curva c</t>
  </si>
  <si>
    <t>3.7.91</t>
  </si>
  <si>
    <t>Minidisjuntor 4A, 2 pólos, 6 kA, curva c</t>
  </si>
  <si>
    <t>3.7.92</t>
  </si>
  <si>
    <t>Módulo de supervisão efapower (psm) efacec fse</t>
  </si>
  <si>
    <t>3.7.93</t>
  </si>
  <si>
    <t>Relé de proteção térmica 1,7 ‐ 2,4 A</t>
  </si>
  <si>
    <t>3.7.94</t>
  </si>
  <si>
    <t>Rele auxiliar industrial 4naf</t>
  </si>
  <si>
    <t>3.7.95</t>
  </si>
  <si>
    <t>Relé de tensão trifásico nvt‐3f‐380 V ‐ 60 Hz</t>
  </si>
  <si>
    <t>3.7.96</t>
  </si>
  <si>
    <t>Rele temporizado elo, 0,1s a 30s vaux 12s Vcc</t>
  </si>
  <si>
    <t>3.7.97</t>
  </si>
  <si>
    <t>Rele temporizado elo, 1s a 3s vaux 125 Vcc</t>
  </si>
  <si>
    <t>3.7.98</t>
  </si>
  <si>
    <t>Relé temporizador 1naf 125 Vcc, tempo: 30 segundos</t>
  </si>
  <si>
    <t>3.7.99</t>
  </si>
  <si>
    <t>Relé térmico 250 Vcc f 2,5 ‐ 4A</t>
  </si>
  <si>
    <t>3.7.100</t>
  </si>
  <si>
    <t>Resistência de aquecimento 250 Vca, 25 W</t>
  </si>
  <si>
    <t>3.7.101</t>
  </si>
  <si>
    <t>Resistência de aquecimento para painel 100 W ‐220 V</t>
  </si>
  <si>
    <t>3.7.102</t>
  </si>
  <si>
    <t>Resistência de aquecimento para painel 60 W ‐220 V</t>
  </si>
  <si>
    <t>3.7.103</t>
  </si>
  <si>
    <t>Resistência de aquecimento 110/220 Vca, 50/60 Hz, 100 W</t>
  </si>
  <si>
    <t>3.7.104</t>
  </si>
  <si>
    <t>Resistência tubular blindada em tubo de aço AISI 304 para desumidificação de painel com proteção metálica, 150 W‐ 110/220 V.</t>
  </si>
  <si>
    <t>3.7.105</t>
  </si>
  <si>
    <t>Resistência desumidificadora helicoidal com proteção metálica, 220 V, 150 W</t>
  </si>
  <si>
    <t>3.7.106</t>
  </si>
  <si>
    <t>Sinaleiro cor verde, tensão de 125 Vca/cc</t>
  </si>
  <si>
    <t>3.7.107</t>
  </si>
  <si>
    <t>Sinaleiro com led, aro frontal redondo, lente cor amarela, 125 Vcc</t>
  </si>
  <si>
    <t>3.7.108</t>
  </si>
  <si>
    <t>Sinaleiro com led, aro frontal redondo, lente cor incolor, 125 Vcc</t>
  </si>
  <si>
    <t>3.7.109</t>
  </si>
  <si>
    <t>Sinaleiro com led, aro frontal redondo, lente cor vermelha, 125 Vcc</t>
  </si>
  <si>
    <t>3.7.110</t>
  </si>
  <si>
    <t>Sinaleiro com led, aro frontal redondo, lente cor verde, 125 Vcc</t>
  </si>
  <si>
    <t>3.7.111</t>
  </si>
  <si>
    <t>Sinaleiro vermelho e ou amarelo, tensão de 125 Vcc</t>
  </si>
  <si>
    <t>3.7.112</t>
  </si>
  <si>
    <t>Termostato 0° a 60 °C</t>
  </si>
  <si>
    <t>3.8</t>
  </si>
  <si>
    <t>SOBRESSALENTES ‐ LINHA DE TRANSMISSÃO</t>
  </si>
  <si>
    <t>3.8.1</t>
  </si>
  <si>
    <t>Cadeia de Ancoragem Dupla "AD" ‐ 1xCAA Grosbeak ‐ 20 kA ‐ 230kV</t>
  </si>
  <si>
    <t>pç</t>
  </si>
  <si>
    <t>3.8.2</t>
  </si>
  <si>
    <t>Cadeia de Ancoragem Dupla "AD" ‐ 1xCAA Grosbeak ‐ 40 kA ‐ 230kV</t>
  </si>
  <si>
    <t>3.8.3</t>
  </si>
  <si>
    <t>Cadeia de Suspensão simples "SI" ‐ 1xCAA Grosbeak ‐ 20kA ‐ 230kV</t>
  </si>
  <si>
    <t>3.8.4</t>
  </si>
  <si>
    <t>Cadeia de Suspensão simples "SI" ‐ 1xCAA Grosbeak ‐ 40kA ‐ 230kV</t>
  </si>
  <si>
    <t>3.8.5</t>
  </si>
  <si>
    <t>Cadeia de Suspensão simples "SJ" ‐ 1xCAA Grosbeak ‐ 230kV</t>
  </si>
  <si>
    <t>3.8.6</t>
  </si>
  <si>
    <t>Amortecedor de vibração para cabo CAA 636MCM Ø25,16mm</t>
  </si>
  <si>
    <t>3.8.7</t>
  </si>
  <si>
    <t>3.8.8</t>
  </si>
  <si>
    <t>Amortecedor vibração para cabo de aço 3/8"</t>
  </si>
  <si>
    <t>3.8.9</t>
  </si>
  <si>
    <t>Barras de estais ‐ sistema GEWI 25mm</t>
  </si>
  <si>
    <t>cj</t>
  </si>
  <si>
    <t>3.8.10</t>
  </si>
  <si>
    <t>Conectores derivação em "T" ‐ Cabo/CaboCabo CA 900 a 1033,5MCM ou CABO</t>
  </si>
  <si>
    <t>3.8.11</t>
  </si>
  <si>
    <t>Conectores derivação em "T" ‐ Cabo/Cabo02 Cabos CA 874,5 a 1113MCM ou 02</t>
  </si>
  <si>
    <t>3.8.12</t>
  </si>
  <si>
    <t>Conectores derivação em "T" ‐ Cabo/CaboCabo CAA 636MCM a 954MCM/ Cabo</t>
  </si>
  <si>
    <t>3.8.13</t>
  </si>
  <si>
    <t>Emenda Preformada CAA GROSBEAK ‐ diâmetro 25,15mm</t>
  </si>
  <si>
    <t>3.8.14</t>
  </si>
  <si>
    <t>Emenda Preformada Cabo Aço Galvanizado 3/8" (SM, HS, EHS)</t>
  </si>
  <si>
    <t>3.8.15</t>
  </si>
  <si>
    <t>Emenda Preformada Cabo Dotterel ‐ diâmetro 15,42mm ‐ 178,9MCM</t>
  </si>
  <si>
    <t>3.8.16</t>
  </si>
  <si>
    <t>Haste de aterramento</t>
  </si>
  <si>
    <t>3.8.17</t>
  </si>
  <si>
    <t>Grampo de terra duplo</t>
  </si>
  <si>
    <t>3.8.18</t>
  </si>
  <si>
    <t>Grampo de terra duplo EM BRONZE</t>
  </si>
  <si>
    <t>3.8.19</t>
  </si>
  <si>
    <t>Luva de compressão de cobre</t>
  </si>
  <si>
    <t>3.8.20</t>
  </si>
  <si>
    <t>Cabo OPGW 13,4 mm com 24 fibras ópticas</t>
  </si>
  <si>
    <t>3.9</t>
  </si>
  <si>
    <t>INSTRUMENTOS ‐ ELÉTRICA</t>
  </si>
  <si>
    <t>3.9.1</t>
  </si>
  <si>
    <t>Alicate Amperímetro (mod. 381 CA/CC True‐rms 1000V CAT III (ou similar)</t>
  </si>
  <si>
    <t>3.9.2</t>
  </si>
  <si>
    <t>Alicate amperímetro CA/CC de 600V, digital, CAT III FLUKE 305</t>
  </si>
  <si>
    <t>3.9.3</t>
  </si>
  <si>
    <t>Alicate Medidor de qualidade de energia (mod. Fluke 345 ou similar)</t>
  </si>
  <si>
    <t>3.9.4</t>
  </si>
  <si>
    <t>Calibrador de processos multifunção digital (mod. Fluke 725 ou similar)</t>
  </si>
  <si>
    <t>3.9.5</t>
  </si>
  <si>
    <t>Fasímetro, digital, categoria IV, 40~700Vca, 600V</t>
  </si>
  <si>
    <t>3.9.6</t>
  </si>
  <si>
    <t>Freqüencímetro gitital de bancada , 1GHz de 8 dígitos</t>
  </si>
  <si>
    <t>3.9.7</t>
  </si>
  <si>
    <t>Medidor de distância, laser, amplitude de medição 1mm a 80m</t>
  </si>
  <si>
    <t>3.9.8</t>
  </si>
  <si>
    <t>Medidor de resistência de aterramento e resistividade do solo (Faixa de medição de 0,02Ω a 300KΩ; Alcance de até 2 K Ω) com 02 pinças</t>
  </si>
  <si>
    <t>3.9.9</t>
  </si>
  <si>
    <t>Medidor de vazão portátil tipo Clamp‐on</t>
  </si>
  <si>
    <t>3.9.10</t>
  </si>
  <si>
    <t>Megôhmetro digital de 5 kV, alcance de até 1 TΩ, Interface USB, IP54</t>
  </si>
  <si>
    <t>3.9.11</t>
  </si>
  <si>
    <t>Multímetro digital, tensão DC/AC 50,000 mV a 1000V, 0,4% (True/RMS), frequencia 99,999Hz a 999,99KHz "FLUKE‐87‐V" com pontas prova TWIST GUARD</t>
  </si>
  <si>
    <t>3.9.12</t>
  </si>
  <si>
    <t>Multímetro digital para teste de equipotencialização (medições de baixas resistências), 100V, 10A, 0,1 Ω a 50 Ω</t>
  </si>
  <si>
    <t>3.9.13</t>
  </si>
  <si>
    <t>Osciloscópio portátil com frequência de trabalho de 100Mhz, LCD Colorido 7”, CAT II 600V</t>
  </si>
  <si>
    <t>3.9.14</t>
  </si>
  <si>
    <t>Power Meter (Medidor Potência Fibra Óptica) potência 1310 nm, 1490 nm e 1550 nm + Caneta Laser 10w</t>
  </si>
  <si>
    <t>3.9.15</t>
  </si>
  <si>
    <t>Termômetro mira laser escala de ‐30ºC a 500ºc</t>
  </si>
  <si>
    <t>3.9.16</t>
  </si>
  <si>
    <t>Termovisor ‐20ºC a 350ºC, com camera de 5 megapixels, visor LCD de 3,5 polegadas</t>
  </si>
  <si>
    <t>3.9.17</t>
  </si>
  <si>
    <t>Testador de cabos RJ45 / 11, frequencia 200kHz, display LCD 3 ½ digitos, 600V</t>
  </si>
  <si>
    <t>3.9.18</t>
  </si>
  <si>
    <t>Verificador elétrico de tensão 1000V, sem contato com cabo (mod. T6‐1000 Fluke ou similar)</t>
  </si>
  <si>
    <t>3.10</t>
  </si>
  <si>
    <t>MANUTENÇÃO CIVIL ‐ MATERIAIS CONSUMÍVEIS</t>
  </si>
  <si>
    <t>3.10.1</t>
  </si>
  <si>
    <t>Aço D=10 mm CA 50</t>
  </si>
  <si>
    <t>3.10.2</t>
  </si>
  <si>
    <t>Aço D=12 mm CA 50</t>
  </si>
  <si>
    <t>3.10.3</t>
  </si>
  <si>
    <t>Aço D=5.0 mm CA 60</t>
  </si>
  <si>
    <t>3.10.4</t>
  </si>
  <si>
    <t>Aço D=6.3 mm CA 50</t>
  </si>
  <si>
    <t>3.10.5</t>
  </si>
  <si>
    <t>Aço D=8.0 mm CA 50</t>
  </si>
  <si>
    <t>3.10.6</t>
  </si>
  <si>
    <t>Arame farpado nº. 16 galvanizado Simples</t>
  </si>
  <si>
    <t>3.10.7</t>
  </si>
  <si>
    <t>Arame galvanizado 8BWG, d=4,19mm</t>
  </si>
  <si>
    <t>3.10.8</t>
  </si>
  <si>
    <t>Arame recozido n.º 18</t>
  </si>
  <si>
    <t>3.10.9</t>
  </si>
  <si>
    <t>Areia</t>
  </si>
  <si>
    <t>m³</t>
  </si>
  <si>
    <t>3.10.10</t>
  </si>
  <si>
    <t>Argamassa para grouteamento</t>
  </si>
  <si>
    <t>3.10.11</t>
  </si>
  <si>
    <t>Brita</t>
  </si>
  <si>
    <t>3.10.12</t>
  </si>
  <si>
    <t>Caibro de 5x5cm</t>
  </si>
  <si>
    <t>3.10.13</t>
  </si>
  <si>
    <t>Cal hidratada</t>
  </si>
  <si>
    <t>3.10.14</t>
  </si>
  <si>
    <t>Cimento CPII‐32</t>
  </si>
  <si>
    <t>3.10.15</t>
  </si>
  <si>
    <t>Compensado resinado 17mm</t>
  </si>
  <si>
    <t>m²</t>
  </si>
  <si>
    <t>3.10.16</t>
  </si>
  <si>
    <t>Desmoldante</t>
  </si>
  <si>
    <t>3.10.17</t>
  </si>
  <si>
    <t>Diesel comum (l)</t>
  </si>
  <si>
    <t>3.10.18</t>
  </si>
  <si>
    <t>Fita isolante adesiva antichama 19mm x 20m</t>
  </si>
  <si>
    <t>3.10.19</t>
  </si>
  <si>
    <t>Gastalho 10x2,0cm</t>
  </si>
  <si>
    <t>3.10.20</t>
  </si>
  <si>
    <t>Grampo para cerca galvanizado 1 x 9</t>
  </si>
  <si>
    <t>3.10.21</t>
  </si>
  <si>
    <t>Lâmpada comum 80‐100W</t>
  </si>
  <si>
    <t>3.10.22</t>
  </si>
  <si>
    <t>Lâmpada fluorecente de 20W</t>
  </si>
  <si>
    <t>3.10.23</t>
  </si>
  <si>
    <t>Lâmpada vapor mercúrio 400 W (base E40)</t>
  </si>
  <si>
    <t>3.10.24</t>
  </si>
  <si>
    <t>Lixa nº120</t>
  </si>
  <si>
    <t>3.10.25</t>
  </si>
  <si>
    <t>Lona plástica ‐ 150micra</t>
  </si>
  <si>
    <t>3.10.26</t>
  </si>
  <si>
    <t>Massa corrida ‐ latão 18 l</t>
  </si>
  <si>
    <t>3.10.27</t>
  </si>
  <si>
    <t>Mourão de concreto reto para cercas</t>
  </si>
  <si>
    <t>3.10.28</t>
  </si>
  <si>
    <t>Pincel 1"</t>
  </si>
  <si>
    <t>3.10.29</t>
  </si>
  <si>
    <t>Prego 18x30</t>
  </si>
  <si>
    <t>3.10.30</t>
  </si>
  <si>
    <t>Rolo de lã de carneiro ‐ 20cm</t>
  </si>
  <si>
    <t>3.10.31</t>
  </si>
  <si>
    <t>Rolo de espuma poliéster 23 cm com cabo</t>
  </si>
  <si>
    <t>3.10.32</t>
  </si>
  <si>
    <t>Soquete de porcelana base E27, para uso ao tempo, para lâmpadas</t>
  </si>
  <si>
    <t>3.10.33</t>
  </si>
  <si>
    <t>Sarrafo de madeira 2,5x15cm (1x6) não aparelhada</t>
  </si>
  <si>
    <t>3.10.34</t>
  </si>
  <si>
    <t>Thinner/águarras ‐ 1 l</t>
  </si>
  <si>
    <t>3.10.35</t>
  </si>
  <si>
    <t>Tijolo comum (5,5x10x20) cm</t>
  </si>
  <si>
    <t>3.10.36</t>
  </si>
  <si>
    <t>Tinta Alcatrão de Hulha ‐ galão de 3,6 litros</t>
  </si>
  <si>
    <t>3.10.37</t>
  </si>
  <si>
    <t>Tinta Latex PVA</t>
  </si>
  <si>
    <t>3.11</t>
  </si>
  <si>
    <t>FERRAMENTAS ‐ CIVIL</t>
  </si>
  <si>
    <t>3.11.1</t>
  </si>
  <si>
    <t>Alavanca para construção civil</t>
  </si>
  <si>
    <t>3.11.2</t>
  </si>
  <si>
    <t>Ancinho</t>
  </si>
  <si>
    <t>3.11.3</t>
  </si>
  <si>
    <t>Arco de Serra manual (com serra)</t>
  </si>
  <si>
    <t>3.11.4</t>
  </si>
  <si>
    <t>Balde 10 l</t>
  </si>
  <si>
    <t>3.11.5</t>
  </si>
  <si>
    <t>3.11.6</t>
  </si>
  <si>
    <t>3.11.8</t>
  </si>
  <si>
    <t>Carro de mão</t>
  </si>
  <si>
    <t>3.11.9</t>
  </si>
  <si>
    <t>Cavadeira articulado</t>
  </si>
  <si>
    <t>3.11.10</t>
  </si>
  <si>
    <t>Chibanca</t>
  </si>
  <si>
    <t>3.11.11</t>
  </si>
  <si>
    <t>Colher de pedreiro</t>
  </si>
  <si>
    <t>3.11.12</t>
  </si>
  <si>
    <t>Conjunto de ferramentas básicas para encanador</t>
  </si>
  <si>
    <t>3.11.13</t>
  </si>
  <si>
    <t>Conjunto de ferramentas básicas para pedreiro</t>
  </si>
  <si>
    <t>3.11.14</t>
  </si>
  <si>
    <t>Corda de bombeiro 12mm em nylon trançado (rolo de 100 m)</t>
  </si>
  <si>
    <t>3.11.15</t>
  </si>
  <si>
    <t>Desempenadeira de aço dentada</t>
  </si>
  <si>
    <t>3.11.16</t>
  </si>
  <si>
    <t>Desempenadeira de aço lisa</t>
  </si>
  <si>
    <t>3.11.17</t>
  </si>
  <si>
    <t>Disco corte abrasivo 18"</t>
  </si>
  <si>
    <t>3.11.18</t>
  </si>
  <si>
    <t>Enxada estreita de 240 x 230 mm, com cabo</t>
  </si>
  <si>
    <t>3.11.19</t>
  </si>
  <si>
    <t>Escada articulada multifuncional 16 degraus</t>
  </si>
  <si>
    <t>3.11.20</t>
  </si>
  <si>
    <t>Escova de aco, com cabo, *4 x 15* fileiras de cerdas</t>
  </si>
  <si>
    <t>3.11.21</t>
  </si>
  <si>
    <t>Espátula aço inox, 8cm ‐ cabo de madeira</t>
  </si>
  <si>
    <t>3.11.22</t>
  </si>
  <si>
    <t>Espátula de plástico lisa, largura 10 cm</t>
  </si>
  <si>
    <t>3.11.23</t>
  </si>
  <si>
    <t>Esponja de limpeza</t>
  </si>
  <si>
    <t>3.11.24</t>
  </si>
  <si>
    <t>Esquadro 90º x 30cm (12")</t>
  </si>
  <si>
    <t>3.11.25</t>
  </si>
  <si>
    <t>Estrovenga</t>
  </si>
  <si>
    <t>3.11.26</t>
  </si>
  <si>
    <t>3.11.27</t>
  </si>
  <si>
    <t>Foice 33mm</t>
  </si>
  <si>
    <t>3.11.28</t>
  </si>
  <si>
    <t>3.11.29</t>
  </si>
  <si>
    <t>Lanterna grande ‐ 10 Million</t>
  </si>
  <si>
    <t>3.11.30</t>
  </si>
  <si>
    <t>Machado</t>
  </si>
  <si>
    <t>3.11.31</t>
  </si>
  <si>
    <t>Mangueira de ¾ (17 unidades com 50 metros cada)</t>
  </si>
  <si>
    <t>3.11.32</t>
  </si>
  <si>
    <t>Mangueira de nível (21 unidades com 15 metros cada)</t>
  </si>
  <si>
    <t>3.11.33</t>
  </si>
  <si>
    <t>Marreta de 1/2 kg com cabo</t>
  </si>
  <si>
    <t>3.11.34</t>
  </si>
  <si>
    <t>Marreta de 2kg</t>
  </si>
  <si>
    <t>3.11.35</t>
  </si>
  <si>
    <t>3.11.36</t>
  </si>
  <si>
    <t>Martelo com unha</t>
  </si>
  <si>
    <t>3.11.37</t>
  </si>
  <si>
    <t>Martelo de borracha 32 Cm</t>
  </si>
  <si>
    <t>3.11.38</t>
  </si>
  <si>
    <t>Nível c/ bolha ajustável de inclinação, bolha fixa e prumo – 400mm</t>
  </si>
  <si>
    <t>3.11.39</t>
  </si>
  <si>
    <t>Nível de bolha de madeira</t>
  </si>
  <si>
    <t>3.11.40</t>
  </si>
  <si>
    <t>Pá quadrada</t>
  </si>
  <si>
    <t>3.11.41</t>
  </si>
  <si>
    <t>Pé‐de‐cabra</t>
  </si>
  <si>
    <t>3.11.42</t>
  </si>
  <si>
    <t>Picareta com cabo</t>
  </si>
  <si>
    <t>3.11.43</t>
  </si>
  <si>
    <t>Pistola para pintura</t>
  </si>
  <si>
    <t>3.11.44</t>
  </si>
  <si>
    <t>Ponteiro de aço</t>
  </si>
  <si>
    <t>3.11.45</t>
  </si>
  <si>
    <t>Prumo de centro</t>
  </si>
  <si>
    <t>3.11.46</t>
  </si>
  <si>
    <t>Prumo de parede</t>
  </si>
  <si>
    <t>3.11.47</t>
  </si>
  <si>
    <t>Rastelo (ASG)</t>
  </si>
  <si>
    <t>3.11.48</t>
  </si>
  <si>
    <t>Refletor redondo em alumínio anodizado para lâmpada vapor de mercúrio/sódio, corpo em aluminio com pintura epoxi, para lâmpada E‐27 de 300 W, com suporte redondo e alça regulável para fixação.</t>
  </si>
  <si>
    <t>3.11.49</t>
  </si>
  <si>
    <t>Régua de alumínio ‐ 2,00m</t>
  </si>
  <si>
    <t>3.11.50</t>
  </si>
  <si>
    <t>Serrote 40cm</t>
  </si>
  <si>
    <t>3.11.51</t>
  </si>
  <si>
    <t>Talhadeira de aço chato 10"</t>
  </si>
  <si>
    <t>3.11.52</t>
  </si>
  <si>
    <t>Turquesa</t>
  </si>
  <si>
    <t>3.11.53</t>
  </si>
  <si>
    <t>Trena Metálica 8 m</t>
  </si>
  <si>
    <t>3.11.54</t>
  </si>
  <si>
    <t>Trena de Fita 20m</t>
  </si>
  <si>
    <t>3.11.55</t>
  </si>
  <si>
    <t>Trena de Fita 50m</t>
  </si>
  <si>
    <t>3.12</t>
  </si>
  <si>
    <t>3.12.1</t>
  </si>
  <si>
    <t>3.13</t>
  </si>
  <si>
    <t>MOBILIZAÇÃO E DESMOBILIZAÇÃO DE EQUIPAMENTOS</t>
  </si>
  <si>
    <t>3.13.1</t>
  </si>
  <si>
    <t>Mobilização e Desmobilização dos equipamentos ‐ eixo norte</t>
  </si>
  <si>
    <t>3.13.2</t>
  </si>
  <si>
    <t>Mobilização e Desmobilização dos equipamentos ‐ eixo leste</t>
  </si>
  <si>
    <t>SUBTOTAL - ITEM 3</t>
  </si>
  <si>
    <t>TOTAL DO CUSTO DIRETO PARA O SISTEMA ELÉTRICO</t>
  </si>
  <si>
    <t>MODELO 11C - PLANILHA REFERENCIAL DE PREÇOS (COM DESONERAÇÃO)</t>
  </si>
  <si>
    <t>PERCENTUAL
 MEDIDO</t>
  </si>
  <si>
    <t>Coordenação - Eixos Norte e Leste</t>
  </si>
  <si>
    <t>pessoa x mês</t>
  </si>
  <si>
    <t>Consultoria - Eixos Norte e Leste</t>
  </si>
  <si>
    <t>SESMT - Eixos Norte e Leste</t>
  </si>
  <si>
    <t>1.3.3</t>
  </si>
  <si>
    <t>Logística, Infraestrutura, TI, Almoxarifados - Eixos Norte e Leste</t>
  </si>
  <si>
    <t>1.4.1</t>
  </si>
  <si>
    <t>1.4.2</t>
  </si>
  <si>
    <t>1.4.3</t>
  </si>
  <si>
    <t>Técnico Sênior - TI</t>
  </si>
  <si>
    <t>1.4.4</t>
  </si>
  <si>
    <t>1.4.5</t>
  </si>
  <si>
    <t>1.4.6</t>
  </si>
  <si>
    <t>1.4.7</t>
  </si>
  <si>
    <t>Servente</t>
  </si>
  <si>
    <t>1.4.8</t>
  </si>
  <si>
    <t>1.4.9</t>
  </si>
  <si>
    <t>1.4.10</t>
  </si>
  <si>
    <t>Zelador</t>
  </si>
  <si>
    <t>Coordenação de Operação - Eixos Norte e Leste</t>
  </si>
  <si>
    <t>Engenheiro Sênior - Eletricista - Coordenador</t>
  </si>
  <si>
    <t>27.055,66</t>
  </si>
  <si>
    <t>Engenheiro Júnior - Eletricista</t>
  </si>
  <si>
    <t>25.568,86</t>
  </si>
  <si>
    <t>Técnico Sênior - Eletromecânico (12X36) - Diurno</t>
  </si>
  <si>
    <t>8.227,26</t>
  </si>
  <si>
    <t>Operação do Sistema Elétrico no NPCO - SE , LT E LD - Eixos Norte e Leste</t>
  </si>
  <si>
    <t>Técnico Sênior - Eletrotécnico (12X36) - Diurno</t>
  </si>
  <si>
    <t>Técnico Sênior - Eletrotécnico (12X36) - Noturno</t>
  </si>
  <si>
    <t>12.223,36</t>
  </si>
  <si>
    <t>Motorista (12x36) - Diurno</t>
  </si>
  <si>
    <t>5.099,23</t>
  </si>
  <si>
    <t>7.575,99</t>
  </si>
  <si>
    <t>Operação Subestações - Eixo Norte (3 SE)</t>
  </si>
  <si>
    <t>Motorista (12X36)</t>
  </si>
  <si>
    <t>Operação Subestações - Eixo Leste</t>
  </si>
  <si>
    <t>Operação Subestações - Previsão de Horas de Sobreaviso e Horas Extras</t>
  </si>
  <si>
    <t>Previsão de Horas Sobreaviso - Técnico Sênior Eletrotécnico</t>
  </si>
  <si>
    <t>pessoa x hora</t>
  </si>
  <si>
    <t>11,43</t>
  </si>
  <si>
    <t>Previsão de Horas Sobreaviso - Técnico Sênior Eletromecânico</t>
  </si>
  <si>
    <t>Previsão de Horas Sobreaviso - Técnico Sênior Motorista</t>
  </si>
  <si>
    <t>9,22</t>
  </si>
  <si>
    <t>Previsão de Horas Extras - Técnico Sênior Eletrotécnico</t>
  </si>
  <si>
    <t>99,39</t>
  </si>
  <si>
    <t>66,90</t>
  </si>
  <si>
    <t>Previsão de Horas Extras - Técnico Sênior Eletromecânico</t>
  </si>
  <si>
    <t>2.5.8</t>
  </si>
  <si>
    <t>61,64</t>
  </si>
  <si>
    <t>2.5.9</t>
  </si>
  <si>
    <t>41,48</t>
  </si>
  <si>
    <t>Coordenação, Planejamento e Manutenção Elétrica - Eixos Norte e Leste</t>
  </si>
  <si>
    <t>Engenheiro Pleno - Eletricista</t>
  </si>
  <si>
    <t>Técnico Sênior</t>
  </si>
  <si>
    <t>Manutenção dos Sistemas Proteção - SPCS - Eixos Norte e Leste</t>
  </si>
  <si>
    <t>Engenheiro Sênior - Proteção e Controle</t>
  </si>
  <si>
    <t xml:space="preserve">Técnico Sênior - Eletrotécnico/Eletrônico </t>
  </si>
  <si>
    <t>Manutenção dos Sistemas de Telecomunicações - Eixos Norte e Leste</t>
  </si>
  <si>
    <t>Engenheiro Pleno - Telecomunicações</t>
  </si>
  <si>
    <t xml:space="preserve">Técnico Sênior - Telecomunicações/Eletrotécnico/Eletrônico </t>
  </si>
  <si>
    <t>Manutenção das Linhas de Transmissão 230 e 69 kV e Distribuição 13,8 kV - Eixos Norte e Leste</t>
  </si>
  <si>
    <t>Engenheiro Sênior - Eletricista</t>
  </si>
  <si>
    <t>Técnico Sênior - Eletrotécnico</t>
  </si>
  <si>
    <t>Eletricista</t>
  </si>
  <si>
    <t>7.104,43</t>
  </si>
  <si>
    <t>Eletromecânico - Montador</t>
  </si>
  <si>
    <t>8.508,70</t>
  </si>
  <si>
    <t>Manutenção de Subestações 230 e 69 kV - Eixos Norte e Leste</t>
  </si>
  <si>
    <r>
      <rPr>
        <b/>
        <sz val="11"/>
        <rFont val="Calibri"/>
        <family val="2"/>
      </rPr>
      <t>Conservação</t>
    </r>
    <r>
      <rPr>
        <b/>
        <sz val="11"/>
        <color indexed="8"/>
        <rFont val="Calibri"/>
        <family val="2"/>
      </rPr>
      <t xml:space="preserve"> e Limpeza das Subestações e Faixa de Servidão das linhas de Transmissão e Distribuição - Eixos Norte e Leste</t>
    </r>
  </si>
  <si>
    <r>
      <rPr>
        <b/>
        <sz val="11"/>
        <color rgb="FF0000FF"/>
        <rFont val="Calibri"/>
        <family val="2"/>
      </rPr>
      <t>Conservação e Limpeza das Subestações e Faixa de Servidão das linhas de Transmissão e Distribuição - Eixos Norte e Leste</t>
    </r>
  </si>
  <si>
    <t>Técnico Pleno - Encarregado</t>
  </si>
  <si>
    <t>7.821,94</t>
  </si>
  <si>
    <t>Oficial - Pedreiro/Armador/Carpinteiro</t>
  </si>
  <si>
    <t>7.296,61</t>
  </si>
  <si>
    <t>4.898,32</t>
  </si>
  <si>
    <t>Previsão de Horas de Sobreaviso e Horas Extras para Manutenção do Sistema Elétrico</t>
  </si>
  <si>
    <t>Previsão de Horas Extras - Eletricista</t>
  </si>
  <si>
    <t>84,60</t>
  </si>
  <si>
    <t>48,42</t>
  </si>
  <si>
    <t>86,18</t>
  </si>
  <si>
    <t>58,01</t>
  </si>
  <si>
    <t>TOTAL DA MÃO DE OBRA PARA O SISTEMA ELÉTRICO</t>
  </si>
  <si>
    <t>Média Com</t>
  </si>
  <si>
    <t>Média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</si>
</sst>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quot;R$&quot;\ * #,##0.00_-;\-&quot;R$&quot;\ * #,##0.00_-;_-&quot;R$&quot;\ * &quot;-&quot;??_-;_-@_-"/>
    <numFmt numFmtId="165" formatCode="_-* #,##0.00_-;\-* #,##0.00_-;_-* &quot;-&quot;??_-;_-@_-"/>
    <numFmt numFmtId="166" formatCode="_(&quot;R$&quot;* #,##0.00_);_(&quot;R$&quot;* \(#,##0.00\);_(&quot;R$&quot;* &quot;-&quot;??_);_(@_)"/>
    <numFmt numFmtId="167" formatCode="_([$€-2]* #,##0.00_);_([$€-2]* \(#,##0.00\);_([$€-2]* &quot;-&quot;??_)"/>
    <numFmt numFmtId="168" formatCode="_(&quot;R$ &quot;* #,##0.00_);_(&quot;R$ &quot;* \(#,##0.00\);_(&quot;R$ &quot;* \-??_);_(@_)"/>
    <numFmt numFmtId="169" formatCode="_(* #,##0.00_);_(* \(#,##0.00\);_(* \-??_);_(@_)"/>
    <numFmt numFmtId="170" formatCode="_(* #,##0.000_);_(* \(#,##0.000\);_(* \-??_);_(@_)"/>
    <numFmt numFmtId="171" formatCode="_(* #,##0_);_(* \(#,##0\);_(* &quot;-&quot;??_);_(@_)"/>
    <numFmt numFmtId="172" formatCode="0.00000"/>
    <numFmt numFmtId="173" formatCode="_ * #,##0.00_)_R_$_ ;_ * \(#,##0.00\)_R_$_ ;_ * &quot;-&quot;??_)_R_$_ ;_ @_ "/>
    <numFmt numFmtId="174" formatCode="0.0"/>
    <numFmt numFmtId="175" formatCode="#,##0.0000000"/>
    <numFmt numFmtId="176" formatCode="#,##0.00000"/>
    <numFmt numFmtId="177" formatCode="_-* #,##0.0000_-;\-* #,##0.0000_-;_-* &quot;-&quot;??_-;_-@_-"/>
    <numFmt numFmtId="178" formatCode="#,##0.000"/>
    <numFmt numFmtId="179" formatCode="m\.d\.yy;@"/>
    <numFmt numFmtId="180" formatCode="#,##0.000000"/>
    <numFmt numFmtId="181" formatCode="#,##0.0000"/>
    <numFmt numFmtId="182" formatCode="0.000"/>
    <numFmt numFmtId="183" formatCode="_-* #,##0.000000_-;\-* #,##0.000000_-;_-* &quot;-&quot;??_-;_-@_-"/>
    <numFmt numFmtId="184" formatCode="#,##0.00000000"/>
    <numFmt numFmtId="185" formatCode="0.0%"/>
  </numFmts>
  <fonts count="7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alibri"/>
      <family val="2"/>
      <scheme val="minor"/>
    </font>
    <font>
      <sz val="11"/>
      <name val="Calibri"/>
      <family val="2"/>
      <scheme val="minor"/>
    </font>
    <font>
      <b/>
      <sz val="11"/>
      <color theme="1"/>
      <name val="Calibri"/>
      <family val="2"/>
      <scheme val="minor"/>
    </font>
    <font>
      <sz val="11"/>
      <color indexed="8"/>
      <name val="Calibri"/>
      <family val="2"/>
    </font>
    <font>
      <sz val="10"/>
      <name val="MS Sans Serif"/>
      <family val="2"/>
    </font>
    <font>
      <sz val="10"/>
      <name val="Arial"/>
      <family val="2"/>
      <charset val="1"/>
    </font>
    <font>
      <sz val="7.5"/>
      <name val="MS Sans Serif"/>
      <family val="2"/>
    </font>
    <font>
      <sz val="10"/>
      <color indexed="8"/>
      <name val="Arial"/>
      <family val="2"/>
    </font>
    <font>
      <sz val="11"/>
      <color indexed="55"/>
      <name val="Calibri"/>
      <family val="2"/>
    </font>
    <font>
      <b/>
      <sz val="15"/>
      <color indexed="62"/>
      <name val="Calibri"/>
      <family val="2"/>
    </font>
    <font>
      <sz val="11"/>
      <color rgb="FF000000"/>
      <name val="Calibri"/>
      <family val="2"/>
      <charset val="1"/>
    </font>
    <font>
      <sz val="11"/>
      <color rgb="FF000000"/>
      <name val="Calibri"/>
      <family val="2"/>
    </font>
    <font>
      <b/>
      <sz val="11"/>
      <name val="Calibri"/>
      <family val="2"/>
      <scheme val="minor"/>
    </font>
    <font>
      <sz val="10"/>
      <name val="Arial"/>
      <family val="2"/>
    </font>
    <font>
      <sz val="10"/>
      <color indexed="8"/>
      <name val="Arial"/>
      <family val="2"/>
    </font>
    <font>
      <sz val="10"/>
      <color indexed="8"/>
      <name val="MS Sans Serif"/>
      <family val="2"/>
    </font>
    <font>
      <sz val="10.1"/>
      <color indexed="8"/>
      <name val="Times New Roman"/>
      <family val="1"/>
    </font>
    <font>
      <sz val="12"/>
      <color theme="1"/>
      <name val="Calibri"/>
      <family val="2"/>
      <scheme val="minor"/>
    </font>
    <font>
      <sz val="10"/>
      <color rgb="FF000000"/>
      <name val="Times New Roman"/>
      <family val="1"/>
    </font>
    <font>
      <sz val="8"/>
      <color indexed="10"/>
      <name val="MS Sans Serif"/>
      <family val="2"/>
    </font>
    <font>
      <b/>
      <sz val="11"/>
      <name val="Calibri"/>
      <family val="2"/>
    </font>
    <font>
      <b/>
      <sz val="11"/>
      <color rgb="FF0000FF"/>
      <name val="Calibri"/>
      <family val="2"/>
      <scheme val="minor"/>
    </font>
    <font>
      <sz val="11"/>
      <color rgb="FF0000FF"/>
      <name val="Calibri"/>
      <family val="2"/>
      <scheme val="minor"/>
    </font>
    <font>
      <sz val="10"/>
      <color theme="1"/>
      <name val="Calibri"/>
      <family val="2"/>
      <scheme val="minor"/>
    </font>
    <font>
      <sz val="10"/>
      <color rgb="FF0000FF"/>
      <name val="Calibri"/>
      <family val="2"/>
      <scheme val="minor"/>
    </font>
    <font>
      <sz val="10"/>
      <color rgb="FF000000"/>
      <name val="Arial"/>
      <family val="2"/>
    </font>
    <font>
      <b/>
      <sz val="15"/>
      <color theme="1"/>
      <name val="Calibri"/>
      <family val="2"/>
      <scheme val="minor"/>
    </font>
    <font>
      <b/>
      <sz val="11"/>
      <color indexed="8"/>
      <name val="Calibri"/>
      <family val="2"/>
    </font>
    <font>
      <b/>
      <sz val="11"/>
      <color rgb="FF0000FF"/>
      <name val="Calibri"/>
      <family val="2"/>
    </font>
    <font>
      <b/>
      <sz val="10"/>
      <color rgb="FF0000FF"/>
      <name val="Calibri"/>
      <family val="2"/>
      <scheme val="minor"/>
    </font>
    <font>
      <b/>
      <sz val="11"/>
      <color rgb="FFFF0000"/>
      <name val="Calibri"/>
      <family val="2"/>
      <scheme val="minor"/>
    </font>
    <font>
      <b/>
      <sz val="10"/>
      <color theme="1"/>
      <name val="Calibri"/>
      <family val="2"/>
      <scheme val="minor"/>
    </font>
    <font>
      <sz val="11"/>
      <name val="Arial"/>
      <family val="2"/>
    </font>
    <font>
      <b/>
      <sz val="11"/>
      <name val="Arial"/>
      <family val="2"/>
    </font>
    <font>
      <sz val="11"/>
      <color rgb="FFFF0000"/>
      <name val="Calibri"/>
      <family val="2"/>
      <scheme val="minor"/>
    </font>
    <font>
      <b/>
      <u/>
      <sz val="13"/>
      <name val="Calibri"/>
      <family val="2"/>
      <scheme val="minor"/>
    </font>
    <font>
      <b/>
      <sz val="13"/>
      <name val="Calibri"/>
      <family val="2"/>
      <scheme val="minor"/>
    </font>
    <font>
      <b/>
      <sz val="10"/>
      <name val="Arial"/>
      <family val="2"/>
    </font>
    <font>
      <b/>
      <sz val="10"/>
      <color rgb="FF0070C0"/>
      <name val="Arial"/>
      <family val="2"/>
    </font>
    <font>
      <sz val="10"/>
      <color rgb="FF0070C0"/>
      <name val="Arial"/>
      <family val="2"/>
    </font>
    <font>
      <b/>
      <sz val="10"/>
      <color rgb="FFC00000"/>
      <name val="Arial"/>
      <family val="2"/>
    </font>
    <font>
      <sz val="10"/>
      <color rgb="FFC00000"/>
      <name val="Arial"/>
      <family val="2"/>
    </font>
    <font>
      <sz val="10"/>
      <color rgb="FFFF0000"/>
      <name val="Arial"/>
      <family val="2"/>
    </font>
    <font>
      <b/>
      <sz val="12"/>
      <color rgb="FFFF0000"/>
      <name val="Calibri"/>
      <family val="2"/>
      <scheme val="minor"/>
    </font>
    <font>
      <sz val="10"/>
      <name val="Calibri"/>
      <family val="2"/>
    </font>
    <font>
      <sz val="10"/>
      <name val="Arial"/>
      <family val="2"/>
    </font>
    <font>
      <b/>
      <sz val="26"/>
      <name val="Arial"/>
      <family val="2"/>
    </font>
    <font>
      <b/>
      <sz val="12"/>
      <color theme="1"/>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s>
  <borders count="63">
    <border>
      <left/>
      <right/>
      <top/>
      <bottom/>
      <diagonal/>
    </border>
    <border>
      <left style="thin">
        <color indexed="64"/>
      </left>
      <right/>
      <top style="thin">
        <color indexed="64"/>
      </top>
      <bottom style="hair">
        <color indexed="64"/>
      </bottom>
      <diagonal/>
    </border>
    <border>
      <left/>
      <right/>
      <top/>
      <bottom style="thin">
        <color indexed="64"/>
      </bottom>
      <diagonal/>
    </border>
    <border>
      <left style="thin">
        <color indexed="64"/>
      </left>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top/>
      <bottom style="thick">
        <color indexed="48"/>
      </bottom>
      <diagonal/>
    </border>
    <border>
      <left/>
      <right/>
      <top/>
      <bottom style="thick">
        <color indexed="62"/>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hair">
        <color indexed="64"/>
      </top>
      <bottom style="double">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rgb="FFA6A6A6"/>
      </left>
      <right style="thin">
        <color rgb="FFA6A6A6"/>
      </right>
      <top style="thin">
        <color rgb="FFA6A6A6"/>
      </top>
      <bottom style="thin">
        <color rgb="FFA6A6A6"/>
      </bottom>
      <diagonal/>
    </border>
    <border>
      <left/>
      <right style="thin">
        <color theme="0" tint="-0.34998626667073579"/>
      </right>
      <top style="thin">
        <color theme="0" tint="-0.34998626667073579"/>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indexed="64"/>
      </left>
      <right style="thin">
        <color theme="0" tint="-0.34998626667073579"/>
      </right>
      <top style="thin">
        <color indexed="64"/>
      </top>
      <bottom/>
      <diagonal/>
    </border>
    <border>
      <left style="thin">
        <color theme="0" tint="-0.34998626667073579"/>
      </left>
      <right/>
      <top style="thin">
        <color indexed="64"/>
      </top>
      <bottom/>
      <diagonal/>
    </border>
    <border>
      <left style="thin">
        <color theme="0" tint="-0.34998626667073579"/>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style="thin">
        <color theme="0" tint="-0.34998626667073579"/>
      </right>
      <top/>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s>
  <cellStyleXfs count="124">
    <xf numFmtId="0" fontId="0" fillId="0" borderId="0" applyNumberFormat="0" applyFont="0" applyFill="0" applyBorder="0" applyAlignment="0" applyProtection="0">
      <alignment vertical="top"/>
    </xf>
    <xf numFmtId="0" fontId="25" fillId="0" borderId="0" applyNumberFormat="0" applyFont="0" applyFill="0" applyBorder="0" applyAlignment="0" applyProtection="0">
      <alignment vertical="top"/>
    </xf>
    <xf numFmtId="43" fontId="25" fillId="0" borderId="0" applyFont="0" applyFill="0" applyBorder="0" applyAlignment="0" applyProtection="0"/>
    <xf numFmtId="9" fontId="25" fillId="0" borderId="0" applyFont="0" applyFill="0" applyBorder="0" applyAlignment="0" applyProtection="0"/>
    <xf numFmtId="0" fontId="24" fillId="0" borderId="0"/>
    <xf numFmtId="167" fontId="25" fillId="0" borderId="0" applyFont="0" applyFill="0" applyBorder="0" applyAlignment="0" applyProtection="0"/>
    <xf numFmtId="167" fontId="25" fillId="0" borderId="0" applyFont="0" applyFill="0" applyBorder="0" applyAlignment="0" applyProtection="0"/>
    <xf numFmtId="0" fontId="29" fillId="0" borderId="0"/>
    <xf numFmtId="0" fontId="29" fillId="0" borderId="0"/>
    <xf numFmtId="0" fontId="29" fillId="0" borderId="0"/>
    <xf numFmtId="0" fontId="29" fillId="0" borderId="0"/>
    <xf numFmtId="165" fontId="25" fillId="0" borderId="0" applyFont="0" applyFill="0" applyBorder="0" applyAlignment="0" applyProtection="0"/>
    <xf numFmtId="43" fontId="25" fillId="0" borderId="0" applyFont="0" applyFill="0" applyBorder="0" applyAlignment="0" applyProtection="0"/>
    <xf numFmtId="166" fontId="25" fillId="0" borderId="0" applyFont="0" applyFill="0" applyBorder="0" applyAlignment="0" applyProtection="0"/>
    <xf numFmtId="164" fontId="25" fillId="0" borderId="0" applyFont="0" applyFill="0" applyBorder="0" applyAlignment="0" applyProtection="0"/>
    <xf numFmtId="166" fontId="25" fillId="0" borderId="0" applyFont="0" applyFill="0" applyBorder="0" applyAlignment="0" applyProtection="0"/>
    <xf numFmtId="168" fontId="25" fillId="0" borderId="0" applyFill="0" applyBorder="0" applyAlignment="0" applyProtection="0"/>
    <xf numFmtId="168" fontId="25" fillId="0" borderId="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4" fillId="0" borderId="0"/>
    <xf numFmtId="0" fontId="25" fillId="0" borderId="0"/>
    <xf numFmtId="0" fontId="25" fillId="0" borderId="0"/>
    <xf numFmtId="0" fontId="25" fillId="0" borderId="0"/>
    <xf numFmtId="3" fontId="25" fillId="0" borderId="0"/>
    <xf numFmtId="3" fontId="25" fillId="0" borderId="0"/>
    <xf numFmtId="0" fontId="30" fillId="0" borderId="0"/>
    <xf numFmtId="0" fontId="32" fillId="0" borderId="0">
      <alignment horizontal="left"/>
    </xf>
    <xf numFmtId="0" fontId="25" fillId="0" borderId="0"/>
    <xf numFmtId="0" fontId="36" fillId="0" borderId="0"/>
    <xf numFmtId="0" fontId="25" fillId="0" borderId="0"/>
    <xf numFmtId="0" fontId="30" fillId="0" borderId="0"/>
    <xf numFmtId="0" fontId="31" fillId="0" borderId="0"/>
    <xf numFmtId="9" fontId="24" fillId="0" borderId="0" applyFont="0" applyFill="0" applyBorder="0" applyAlignment="0" applyProtection="0"/>
    <xf numFmtId="9" fontId="25"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33" fillId="0" borderId="0" applyFont="0" applyFill="0" applyBorder="0" applyAlignment="0" applyProtection="0"/>
    <xf numFmtId="9" fontId="34" fillId="0" borderId="0" applyFont="0" applyFill="0" applyBorder="0" applyAlignment="0" applyProtection="0"/>
    <xf numFmtId="9" fontId="24" fillId="0" borderId="0" applyFont="0" applyFill="0" applyBorder="0" applyAlignment="0" applyProtection="0"/>
    <xf numFmtId="9" fontId="25" fillId="0" borderId="0" applyFont="0" applyFill="0" applyBorder="0" applyAlignment="0" applyProtection="0"/>
    <xf numFmtId="0" fontId="25" fillId="0" borderId="0" applyFill="0" applyBorder="0" applyAlignment="0" applyProtection="0"/>
    <xf numFmtId="0" fontId="25" fillId="0" borderId="0" applyFill="0" applyBorder="0" applyAlignment="0" applyProtection="0"/>
    <xf numFmtId="169" fontId="31" fillId="0" borderId="0"/>
    <xf numFmtId="170" fontId="31" fillId="0" borderId="0"/>
    <xf numFmtId="171" fontId="25" fillId="0" borderId="0" applyFont="0" applyFill="0" applyBorder="0" applyAlignment="0" applyProtection="0"/>
    <xf numFmtId="171" fontId="25" fillId="0" borderId="0" applyFont="0" applyFill="0" applyBorder="0" applyAlignment="0" applyProtection="0"/>
    <xf numFmtId="169" fontId="25" fillId="0" borderId="0" applyFill="0" applyBorder="0" applyAlignment="0" applyProtection="0"/>
    <xf numFmtId="169" fontId="25" fillId="0" borderId="0" applyFill="0" applyBorder="0" applyAlignment="0" applyProtection="0"/>
    <xf numFmtId="172" fontId="25" fillId="0" borderId="0" applyFill="0" applyBorder="0" applyAlignment="0" applyProtection="0"/>
    <xf numFmtId="172" fontId="25" fillId="0" borderId="0" applyFill="0" applyBorder="0" applyAlignment="0" applyProtection="0"/>
    <xf numFmtId="169" fontId="25" fillId="0" borderId="0" applyFill="0" applyBorder="0" applyAlignment="0" applyProtection="0"/>
    <xf numFmtId="169" fontId="25" fillId="0" borderId="0" applyFill="0" applyBorder="0" applyAlignment="0" applyProtection="0"/>
    <xf numFmtId="0" fontId="37" fillId="0" borderId="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4" applyNumberFormat="0" applyFill="0" applyAlignment="0" applyProtection="0"/>
    <xf numFmtId="0" fontId="35" fillId="0" borderId="13" applyNumberFormat="0" applyFill="0" applyAlignment="0" applyProtection="0"/>
    <xf numFmtId="165" fontId="24" fillId="0" borderId="0" applyFont="0" applyFill="0" applyBorder="0" applyAlignment="0" applyProtection="0"/>
    <xf numFmtId="173" fontId="25" fillId="0" borderId="0" applyFont="0" applyFill="0" applyBorder="0" applyAlignment="0" applyProtection="0"/>
    <xf numFmtId="165" fontId="24" fillId="0" borderId="0" applyFont="0" applyFill="0" applyBorder="0" applyAlignment="0" applyProtection="0"/>
    <xf numFmtId="165" fontId="25" fillId="0" borderId="0" applyFont="0" applyFill="0" applyBorder="0" applyAlignment="0" applyProtection="0"/>
    <xf numFmtId="43" fontId="25"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0" fontId="30" fillId="0" borderId="0" applyFill="0" applyBorder="0" applyAlignment="0" applyProtection="0"/>
    <xf numFmtId="169" fontId="31" fillId="0" borderId="0"/>
    <xf numFmtId="165" fontId="33" fillId="0" borderId="0" applyFont="0" applyFill="0" applyBorder="0" applyAlignment="0" applyProtection="0"/>
    <xf numFmtId="165" fontId="33"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0" fontId="23" fillId="0" borderId="0"/>
    <xf numFmtId="165" fontId="23" fillId="0" borderId="0" applyFont="0" applyFill="0" applyBorder="0" applyAlignment="0" applyProtection="0"/>
    <xf numFmtId="0" fontId="22" fillId="0" borderId="0"/>
    <xf numFmtId="165" fontId="22" fillId="0" borderId="0" applyFont="0" applyFill="0" applyBorder="0" applyAlignment="0" applyProtection="0"/>
    <xf numFmtId="0" fontId="40" fillId="0" borderId="0">
      <alignment vertical="top"/>
    </xf>
    <xf numFmtId="0" fontId="39" fillId="0" borderId="0"/>
    <xf numFmtId="0" fontId="33" fillId="0" borderId="0">
      <alignment vertical="top"/>
    </xf>
    <xf numFmtId="0" fontId="41" fillId="0" borderId="0"/>
    <xf numFmtId="43" fontId="42"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0" fontId="20" fillId="0" borderId="0"/>
    <xf numFmtId="0" fontId="43" fillId="0" borderId="0"/>
    <xf numFmtId="0" fontId="25" fillId="0" borderId="0"/>
    <xf numFmtId="0" fontId="44" fillId="0" borderId="0"/>
    <xf numFmtId="0" fontId="19" fillId="0" borderId="0"/>
    <xf numFmtId="0" fontId="18" fillId="0" borderId="0"/>
    <xf numFmtId="0" fontId="18" fillId="0" borderId="0"/>
    <xf numFmtId="0" fontId="17" fillId="0" borderId="0"/>
    <xf numFmtId="0" fontId="16" fillId="0" borderId="0"/>
    <xf numFmtId="0" fontId="15" fillId="0" borderId="0"/>
    <xf numFmtId="165" fontId="42" fillId="0" borderId="0" applyFont="0" applyFill="0" applyBorder="0" applyAlignment="0" applyProtection="0"/>
    <xf numFmtId="0" fontId="15" fillId="0" borderId="0"/>
    <xf numFmtId="0" fontId="15" fillId="0" borderId="0"/>
    <xf numFmtId="0" fontId="45" fillId="0" borderId="0" pivotButton="1"/>
    <xf numFmtId="0" fontId="14" fillId="0" borderId="0"/>
    <xf numFmtId="0" fontId="13" fillId="0" borderId="0"/>
    <xf numFmtId="0" fontId="12" fillId="0" borderId="0"/>
    <xf numFmtId="43" fontId="25" fillId="0" borderId="0" applyFont="0" applyFill="0" applyBorder="0" applyAlignment="0" applyProtection="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9" fontId="3" fillId="0" borderId="0" applyFont="0" applyFill="0" applyBorder="0" applyAlignment="0" applyProtection="0"/>
    <xf numFmtId="164" fontId="3" fillId="0" borderId="0" applyFont="0" applyFill="0" applyBorder="0" applyAlignment="0" applyProtection="0"/>
    <xf numFmtId="0" fontId="2" fillId="0" borderId="0"/>
    <xf numFmtId="9" fontId="2" fillId="0" borderId="0" applyFont="0" applyFill="0" applyBorder="0" applyAlignment="0" applyProtection="0"/>
    <xf numFmtId="165" fontId="2" fillId="0" borderId="0" applyFont="0" applyFill="0" applyBorder="0" applyAlignment="0" applyProtection="0"/>
    <xf numFmtId="9" fontId="71" fillId="0" borderId="0" applyFont="0" applyFill="0" applyBorder="0" applyAlignment="0" applyProtection="0"/>
    <xf numFmtId="165" fontId="71" fillId="0" borderId="0" applyFont="0" applyFill="0" applyBorder="0" applyAlignment="0" applyProtection="0"/>
  </cellStyleXfs>
  <cellXfs count="757">
    <xf numFmtId="0" fontId="25" fillId="0" borderId="0" xfId="0" applyFont="1">
      <alignment vertical="top"/>
    </xf>
    <xf numFmtId="1" fontId="2" fillId="0" borderId="0" xfId="119" applyNumberFormat="1" applyAlignment="1">
      <alignment horizontal="center" vertical="center"/>
    </xf>
    <xf numFmtId="0" fontId="2" fillId="0" borderId="0" xfId="119" applyAlignment="1">
      <alignment vertical="center"/>
    </xf>
    <xf numFmtId="3" fontId="28" fillId="4" borderId="31" xfId="119" applyNumberFormat="1" applyFont="1" applyFill="1" applyBorder="1" applyAlignment="1">
      <alignment horizontal="right" vertical="center"/>
    </xf>
    <xf numFmtId="0" fontId="2" fillId="0" borderId="0" xfId="119" applyAlignment="1">
      <alignment horizontal="center" vertical="center"/>
    </xf>
    <xf numFmtId="3" fontId="28" fillId="4" borderId="17" xfId="119" applyNumberFormat="1" applyFont="1" applyFill="1" applyBorder="1" applyAlignment="1">
      <alignment horizontal="center" vertical="center"/>
    </xf>
    <xf numFmtId="0" fontId="28" fillId="4" borderId="35" xfId="119" applyFont="1" applyFill="1" applyBorder="1" applyAlignment="1">
      <alignment horizontal="center" vertical="center"/>
    </xf>
    <xf numFmtId="0" fontId="28" fillId="4" borderId="36" xfId="119" applyFont="1" applyFill="1" applyBorder="1" applyAlignment="1">
      <alignment horizontal="center" vertical="center"/>
    </xf>
    <xf numFmtId="0" fontId="28" fillId="6" borderId="17" xfId="119" applyFont="1" applyFill="1" applyBorder="1" applyAlignment="1">
      <alignment horizontal="left" vertical="center"/>
    </xf>
    <xf numFmtId="0" fontId="28" fillId="6" borderId="30" xfId="119" applyFont="1" applyFill="1" applyBorder="1" applyAlignment="1">
      <alignment vertical="center"/>
    </xf>
    <xf numFmtId="0" fontId="28" fillId="6" borderId="31" xfId="119" applyFont="1" applyFill="1" applyBorder="1" applyAlignment="1">
      <alignment horizontal="center" vertical="center"/>
    </xf>
    <xf numFmtId="0" fontId="28" fillId="6" borderId="31" xfId="119" applyFont="1" applyFill="1" applyBorder="1" applyAlignment="1">
      <alignment vertical="center"/>
    </xf>
    <xf numFmtId="3" fontId="28" fillId="6" borderId="31" xfId="119" applyNumberFormat="1" applyFont="1" applyFill="1" applyBorder="1" applyAlignment="1">
      <alignment vertical="center"/>
    </xf>
    <xf numFmtId="0" fontId="28" fillId="6" borderId="31" xfId="119" applyFont="1" applyFill="1" applyBorder="1" applyAlignment="1">
      <alignment horizontal="right" vertical="center"/>
    </xf>
    <xf numFmtId="10" fontId="47" fillId="6" borderId="17" xfId="120" applyNumberFormat="1" applyFont="1" applyFill="1" applyBorder="1" applyAlignment="1">
      <alignment horizontal="center" vertical="center"/>
    </xf>
    <xf numFmtId="0" fontId="2" fillId="6" borderId="0" xfId="119" applyFill="1" applyAlignment="1">
      <alignment vertical="center"/>
    </xf>
    <xf numFmtId="0" fontId="47" fillId="6" borderId="17" xfId="119" applyFont="1" applyFill="1" applyBorder="1" applyAlignment="1">
      <alignment horizontal="left" vertical="center"/>
    </xf>
    <xf numFmtId="0" fontId="47" fillId="6" borderId="30" xfId="119" applyFont="1" applyFill="1" applyBorder="1" applyAlignment="1">
      <alignment vertical="center"/>
    </xf>
    <xf numFmtId="0" fontId="47" fillId="6" borderId="31" xfId="119" applyFont="1" applyFill="1" applyBorder="1" applyAlignment="1">
      <alignment horizontal="center" vertical="center"/>
    </xf>
    <xf numFmtId="0" fontId="47" fillId="6" borderId="31" xfId="119" applyFont="1" applyFill="1" applyBorder="1" applyAlignment="1">
      <alignment vertical="center"/>
    </xf>
    <xf numFmtId="3" fontId="47" fillId="6" borderId="31" xfId="119" applyNumberFormat="1" applyFont="1" applyFill="1" applyBorder="1" applyAlignment="1">
      <alignment vertical="center"/>
    </xf>
    <xf numFmtId="0" fontId="47" fillId="6" borderId="31" xfId="119" applyFont="1" applyFill="1" applyBorder="1" applyAlignment="1">
      <alignment horizontal="right" vertical="center"/>
    </xf>
    <xf numFmtId="0" fontId="48" fillId="6" borderId="0" xfId="119" applyFont="1" applyFill="1" applyAlignment="1">
      <alignment vertical="center"/>
    </xf>
    <xf numFmtId="0" fontId="2" fillId="0" borderId="17" xfId="119" applyBorder="1" applyAlignment="1">
      <alignment horizontal="left" vertical="center"/>
    </xf>
    <xf numFmtId="1" fontId="2" fillId="0" borderId="17" xfId="119" applyNumberFormat="1" applyBorder="1" applyAlignment="1">
      <alignment vertical="center"/>
    </xf>
    <xf numFmtId="0" fontId="2" fillId="0" borderId="17" xfId="119" applyBorder="1" applyAlignment="1">
      <alignment horizontal="center" vertical="center"/>
    </xf>
    <xf numFmtId="4" fontId="2" fillId="4" borderId="17" xfId="119" applyNumberFormat="1" applyFill="1" applyBorder="1" applyAlignment="1">
      <alignment horizontal="right" vertical="center"/>
    </xf>
    <xf numFmtId="4" fontId="2" fillId="0" borderId="17" xfId="119" applyNumberFormat="1" applyBorder="1" applyAlignment="1">
      <alignment horizontal="right" vertical="center"/>
    </xf>
    <xf numFmtId="4" fontId="2" fillId="0" borderId="30" xfId="119" applyNumberFormat="1" applyBorder="1" applyAlignment="1">
      <alignment horizontal="right" vertical="center"/>
    </xf>
    <xf numFmtId="10" fontId="47" fillId="0" borderId="17" xfId="120" quotePrefix="1" applyNumberFormat="1" applyFont="1" applyBorder="1" applyAlignment="1">
      <alignment horizontal="center" vertical="center"/>
    </xf>
    <xf numFmtId="1" fontId="48" fillId="0" borderId="0" xfId="119" applyNumberFormat="1" applyFont="1" applyAlignment="1">
      <alignment horizontal="center" vertical="center"/>
    </xf>
    <xf numFmtId="0" fontId="48" fillId="0" borderId="0" xfId="119" applyFont="1" applyAlignment="1">
      <alignment vertical="center"/>
    </xf>
    <xf numFmtId="0" fontId="48" fillId="0" borderId="17" xfId="119" applyFont="1" applyBorder="1" applyAlignment="1">
      <alignment horizontal="left" vertical="center"/>
    </xf>
    <xf numFmtId="1" fontId="48" fillId="0" borderId="17" xfId="119" applyNumberFormat="1" applyFont="1" applyBorder="1" applyAlignment="1">
      <alignment vertical="center"/>
    </xf>
    <xf numFmtId="0" fontId="48" fillId="0" borderId="17" xfId="119" applyFont="1" applyBorder="1" applyAlignment="1">
      <alignment horizontal="center" vertical="center"/>
    </xf>
    <xf numFmtId="165" fontId="48" fillId="4" borderId="17" xfId="119" applyNumberFormat="1" applyFont="1" applyFill="1" applyBorder="1" applyAlignment="1">
      <alignment horizontal="right" vertical="center"/>
    </xf>
    <xf numFmtId="4" fontId="48" fillId="0" borderId="17" xfId="119" applyNumberFormat="1" applyFont="1" applyBorder="1" applyAlignment="1">
      <alignment horizontal="right" vertical="center"/>
    </xf>
    <xf numFmtId="4" fontId="48" fillId="0" borderId="30" xfId="119" applyNumberFormat="1" applyFont="1" applyBorder="1" applyAlignment="1">
      <alignment horizontal="right" vertical="center"/>
    </xf>
    <xf numFmtId="10" fontId="47" fillId="0" borderId="17" xfId="120" applyNumberFormat="1" applyFont="1" applyBorder="1" applyAlignment="1">
      <alignment horizontal="center" vertical="center"/>
    </xf>
    <xf numFmtId="1" fontId="2" fillId="3" borderId="17" xfId="119" applyNumberFormat="1" applyFill="1" applyBorder="1" applyAlignment="1">
      <alignment vertical="center"/>
    </xf>
    <xf numFmtId="1" fontId="48" fillId="3" borderId="17" xfId="119" applyNumberFormat="1" applyFont="1" applyFill="1" applyBorder="1" applyAlignment="1">
      <alignment vertical="center"/>
    </xf>
    <xf numFmtId="4" fontId="48" fillId="4" borderId="17" xfId="119" applyNumberFormat="1" applyFont="1" applyFill="1" applyBorder="1" applyAlignment="1">
      <alignment horizontal="right" vertical="center"/>
    </xf>
    <xf numFmtId="4" fontId="28" fillId="0" borderId="17" xfId="119" applyNumberFormat="1" applyFont="1" applyBorder="1" applyAlignment="1">
      <alignment horizontal="right" vertical="center"/>
    </xf>
    <xf numFmtId="4" fontId="28" fillId="0" borderId="30" xfId="119" applyNumberFormat="1" applyFont="1" applyBorder="1" applyAlignment="1">
      <alignment horizontal="right" vertical="center"/>
    </xf>
    <xf numFmtId="0" fontId="28" fillId="0" borderId="0" xfId="119" applyFont="1" applyAlignment="1">
      <alignment vertical="center"/>
    </xf>
    <xf numFmtId="4" fontId="47" fillId="0" borderId="17" xfId="119" applyNumberFormat="1" applyFont="1" applyBorder="1" applyAlignment="1">
      <alignment horizontal="right" vertical="center"/>
    </xf>
    <xf numFmtId="4" fontId="47" fillId="0" borderId="30" xfId="119" applyNumberFormat="1" applyFont="1" applyBorder="1" applyAlignment="1">
      <alignment horizontal="right" vertical="center"/>
    </xf>
    <xf numFmtId="0" fontId="47" fillId="0" borderId="0" xfId="119" applyFont="1" applyAlignment="1">
      <alignment vertical="center"/>
    </xf>
    <xf numFmtId="0" fontId="27" fillId="0" borderId="31" xfId="119" applyFont="1" applyBorder="1" applyAlignment="1">
      <alignment horizontal="left" vertical="center"/>
    </xf>
    <xf numFmtId="4" fontId="28" fillId="0" borderId="31" xfId="119" applyNumberFormat="1" applyFont="1" applyBorder="1" applyAlignment="1">
      <alignment horizontal="right" vertical="center"/>
    </xf>
    <xf numFmtId="0" fontId="48" fillId="0" borderId="31" xfId="119" applyFont="1" applyBorder="1" applyAlignment="1">
      <alignment horizontal="left" vertical="center"/>
    </xf>
    <xf numFmtId="4" fontId="47" fillId="0" borderId="31" xfId="119" applyNumberFormat="1" applyFont="1" applyBorder="1" applyAlignment="1">
      <alignment horizontal="right" vertical="center"/>
    </xf>
    <xf numFmtId="0" fontId="28" fillId="6" borderId="33" xfId="119" applyFont="1" applyFill="1" applyBorder="1" applyAlignment="1">
      <alignment horizontal="left" vertical="center"/>
    </xf>
    <xf numFmtId="0" fontId="28" fillId="6" borderId="37" xfId="119" applyFont="1" applyFill="1" applyBorder="1" applyAlignment="1">
      <alignment vertical="center"/>
    </xf>
    <xf numFmtId="0" fontId="28" fillId="6" borderId="38" xfId="119" applyFont="1" applyFill="1" applyBorder="1" applyAlignment="1">
      <alignment horizontal="center" vertical="center"/>
    </xf>
    <xf numFmtId="0" fontId="28" fillId="6" borderId="38" xfId="119" applyFont="1" applyFill="1" applyBorder="1" applyAlignment="1">
      <alignment vertical="center"/>
    </xf>
    <xf numFmtId="4" fontId="28" fillId="6" borderId="38" xfId="119" applyNumberFormat="1" applyFont="1" applyFill="1" applyBorder="1" applyAlignment="1">
      <alignment vertical="center"/>
    </xf>
    <xf numFmtId="4" fontId="28" fillId="6" borderId="38" xfId="119" applyNumberFormat="1" applyFont="1" applyFill="1" applyBorder="1" applyAlignment="1">
      <alignment horizontal="right" vertical="center"/>
    </xf>
    <xf numFmtId="0" fontId="47" fillId="6" borderId="33" xfId="119" applyFont="1" applyFill="1" applyBorder="1" applyAlignment="1">
      <alignment horizontal="left" vertical="center"/>
    </xf>
    <xf numFmtId="0" fontId="47" fillId="6" borderId="37" xfId="119" applyFont="1" applyFill="1" applyBorder="1" applyAlignment="1">
      <alignment vertical="center"/>
    </xf>
    <xf numFmtId="0" fontId="47" fillId="6" borderId="38" xfId="119" applyFont="1" applyFill="1" applyBorder="1" applyAlignment="1">
      <alignment horizontal="center" vertical="center"/>
    </xf>
    <xf numFmtId="0" fontId="47" fillId="6" borderId="38" xfId="119" applyFont="1" applyFill="1" applyBorder="1" applyAlignment="1">
      <alignment vertical="center"/>
    </xf>
    <xf numFmtId="4" fontId="47" fillId="6" borderId="38" xfId="119" applyNumberFormat="1" applyFont="1" applyFill="1" applyBorder="1" applyAlignment="1">
      <alignment vertical="center"/>
    </xf>
    <xf numFmtId="4" fontId="47" fillId="6" borderId="38" xfId="119" applyNumberFormat="1" applyFont="1" applyFill="1" applyBorder="1" applyAlignment="1">
      <alignment horizontal="right" vertical="center"/>
    </xf>
    <xf numFmtId="0" fontId="28" fillId="2" borderId="34" xfId="119" applyFont="1" applyFill="1" applyBorder="1" applyAlignment="1">
      <alignment horizontal="left" vertical="center"/>
    </xf>
    <xf numFmtId="0" fontId="28" fillId="2" borderId="35" xfId="119" applyFont="1" applyFill="1" applyBorder="1" applyAlignment="1">
      <alignment vertical="center"/>
    </xf>
    <xf numFmtId="0" fontId="28" fillId="2" borderId="36" xfId="119" applyFont="1" applyFill="1" applyBorder="1" applyAlignment="1">
      <alignment horizontal="center" vertical="center"/>
    </xf>
    <xf numFmtId="4" fontId="28" fillId="2" borderId="36" xfId="119" applyNumberFormat="1" applyFont="1" applyFill="1" applyBorder="1" applyAlignment="1">
      <alignment horizontal="center" vertical="center"/>
    </xf>
    <xf numFmtId="4" fontId="28" fillId="2" borderId="36" xfId="119" applyNumberFormat="1" applyFont="1" applyFill="1" applyBorder="1" applyAlignment="1">
      <alignment vertical="center"/>
    </xf>
    <xf numFmtId="4" fontId="28" fillId="2" borderId="36" xfId="119" applyNumberFormat="1" applyFont="1" applyFill="1" applyBorder="1" applyAlignment="1">
      <alignment horizontal="right" vertical="center"/>
    </xf>
    <xf numFmtId="10" fontId="47" fillId="2" borderId="17" xfId="120" applyNumberFormat="1" applyFont="1" applyFill="1" applyBorder="1" applyAlignment="1">
      <alignment horizontal="center" vertical="center"/>
    </xf>
    <xf numFmtId="0" fontId="28" fillId="2" borderId="0" xfId="119" applyFont="1" applyFill="1" applyAlignment="1">
      <alignment vertical="center"/>
    </xf>
    <xf numFmtId="0" fontId="47" fillId="2" borderId="34" xfId="119" applyFont="1" applyFill="1" applyBorder="1" applyAlignment="1">
      <alignment horizontal="left" vertical="center"/>
    </xf>
    <xf numFmtId="0" fontId="47" fillId="2" borderId="35" xfId="119" applyFont="1" applyFill="1" applyBorder="1" applyAlignment="1">
      <alignment vertical="center"/>
    </xf>
    <xf numFmtId="0" fontId="47" fillId="2" borderId="36" xfId="119" applyFont="1" applyFill="1" applyBorder="1" applyAlignment="1">
      <alignment horizontal="center" vertical="center"/>
    </xf>
    <xf numFmtId="4" fontId="47" fillId="2" borderId="36" xfId="119" applyNumberFormat="1" applyFont="1" applyFill="1" applyBorder="1" applyAlignment="1">
      <alignment horizontal="center" vertical="center"/>
    </xf>
    <xf numFmtId="4" fontId="47" fillId="2" borderId="36" xfId="119" applyNumberFormat="1" applyFont="1" applyFill="1" applyBorder="1" applyAlignment="1">
      <alignment vertical="center"/>
    </xf>
    <xf numFmtId="4" fontId="47" fillId="2" borderId="36" xfId="119" applyNumberFormat="1" applyFont="1" applyFill="1" applyBorder="1" applyAlignment="1">
      <alignment horizontal="right" vertical="center"/>
    </xf>
    <xf numFmtId="0" fontId="47" fillId="2" borderId="0" xfId="119" applyFont="1" applyFill="1" applyAlignment="1">
      <alignment vertical="center"/>
    </xf>
    <xf numFmtId="165" fontId="2" fillId="4" borderId="17" xfId="119" applyNumberFormat="1" applyFill="1" applyBorder="1" applyAlignment="1">
      <alignment horizontal="right" vertical="center"/>
    </xf>
    <xf numFmtId="165" fontId="2" fillId="0" borderId="17" xfId="119" applyNumberFormat="1" applyBorder="1" applyAlignment="1">
      <alignment horizontal="right" vertical="center"/>
    </xf>
    <xf numFmtId="165" fontId="48" fillId="0" borderId="17" xfId="119" applyNumberFormat="1" applyFont="1" applyBorder="1" applyAlignment="1">
      <alignment horizontal="right" vertical="center"/>
    </xf>
    <xf numFmtId="10" fontId="47" fillId="0" borderId="0" xfId="120" applyNumberFormat="1" applyFont="1" applyAlignment="1">
      <alignment horizontal="center" vertical="center"/>
    </xf>
    <xf numFmtId="0" fontId="28" fillId="2" borderId="17" xfId="119" applyFont="1" applyFill="1" applyBorder="1" applyAlignment="1">
      <alignment horizontal="left" vertical="center"/>
    </xf>
    <xf numFmtId="0" fontId="28" fillId="2" borderId="30" xfId="119" applyFont="1" applyFill="1" applyBorder="1" applyAlignment="1">
      <alignment vertical="center"/>
    </xf>
    <xf numFmtId="0" fontId="28" fillId="2" borderId="31" xfId="119" applyFont="1" applyFill="1" applyBorder="1" applyAlignment="1">
      <alignment horizontal="center" vertical="center"/>
    </xf>
    <xf numFmtId="165" fontId="28" fillId="2" borderId="31" xfId="119" applyNumberFormat="1" applyFont="1" applyFill="1" applyBorder="1" applyAlignment="1">
      <alignment vertical="center"/>
    </xf>
    <xf numFmtId="165" fontId="28" fillId="2" borderId="31" xfId="119" applyNumberFormat="1" applyFont="1" applyFill="1" applyBorder="1" applyAlignment="1">
      <alignment horizontal="right" vertical="center"/>
    </xf>
    <xf numFmtId="0" fontId="47" fillId="2" borderId="17" xfId="119" applyFont="1" applyFill="1" applyBorder="1" applyAlignment="1">
      <alignment horizontal="left" vertical="center"/>
    </xf>
    <xf numFmtId="0" fontId="47" fillId="2" borderId="30" xfId="119" applyFont="1" applyFill="1" applyBorder="1" applyAlignment="1">
      <alignment vertical="center"/>
    </xf>
    <xf numFmtId="0" fontId="47" fillId="2" borderId="31" xfId="119" applyFont="1" applyFill="1" applyBorder="1" applyAlignment="1">
      <alignment horizontal="center" vertical="center"/>
    </xf>
    <xf numFmtId="4" fontId="48" fillId="2" borderId="17" xfId="119" applyNumberFormat="1" applyFont="1" applyFill="1" applyBorder="1" applyAlignment="1">
      <alignment horizontal="right" vertical="center"/>
    </xf>
    <xf numFmtId="165" fontId="47" fillId="2" borderId="31" xfId="119" applyNumberFormat="1" applyFont="1" applyFill="1" applyBorder="1" applyAlignment="1">
      <alignment horizontal="right" vertical="center"/>
    </xf>
    <xf numFmtId="0" fontId="27" fillId="0" borderId="17" xfId="119" applyFont="1" applyBorder="1" applyAlignment="1">
      <alignment horizontal="left" vertical="center"/>
    </xf>
    <xf numFmtId="4" fontId="2" fillId="0" borderId="17" xfId="119" applyNumberFormat="1" applyBorder="1" applyAlignment="1">
      <alignment horizontal="left" vertical="center"/>
    </xf>
    <xf numFmtId="4" fontId="48" fillId="0" borderId="17" xfId="119" applyNumberFormat="1" applyFont="1" applyBorder="1" applyAlignment="1">
      <alignment horizontal="left" vertical="center"/>
    </xf>
    <xf numFmtId="175" fontId="48" fillId="0" borderId="17" xfId="119" applyNumberFormat="1" applyFont="1" applyBorder="1" applyAlignment="1">
      <alignment horizontal="right" vertical="center"/>
    </xf>
    <xf numFmtId="176" fontId="48" fillId="0" borderId="17" xfId="119" applyNumberFormat="1" applyFont="1" applyBorder="1" applyAlignment="1">
      <alignment horizontal="right" vertical="center"/>
    </xf>
    <xf numFmtId="4" fontId="2" fillId="0" borderId="33" xfId="119" applyNumberFormat="1" applyBorder="1" applyAlignment="1">
      <alignment horizontal="left" vertical="center"/>
    </xf>
    <xf numFmtId="4" fontId="48" fillId="0" borderId="33" xfId="119" applyNumberFormat="1" applyFont="1" applyBorder="1" applyAlignment="1">
      <alignment horizontal="left" vertical="center"/>
    </xf>
    <xf numFmtId="0" fontId="28" fillId="2" borderId="30" xfId="119" applyFont="1" applyFill="1" applyBorder="1" applyAlignment="1">
      <alignment vertical="center" wrapText="1"/>
    </xf>
    <xf numFmtId="0" fontId="47" fillId="2" borderId="30" xfId="119" applyFont="1" applyFill="1" applyBorder="1" applyAlignment="1">
      <alignment vertical="center" wrapText="1"/>
    </xf>
    <xf numFmtId="4" fontId="2" fillId="0" borderId="34" xfId="119" applyNumberFormat="1" applyBorder="1" applyAlignment="1">
      <alignment horizontal="left" vertical="center"/>
    </xf>
    <xf numFmtId="4" fontId="48" fillId="0" borderId="34" xfId="119" applyNumberFormat="1" applyFont="1" applyBorder="1" applyAlignment="1">
      <alignment horizontal="left" vertical="center"/>
    </xf>
    <xf numFmtId="165" fontId="2" fillId="2" borderId="31" xfId="119" applyNumberFormat="1" applyFill="1" applyBorder="1" applyAlignment="1">
      <alignment vertical="center"/>
    </xf>
    <xf numFmtId="165" fontId="49" fillId="4" borderId="17" xfId="119" applyNumberFormat="1" applyFont="1" applyFill="1" applyBorder="1" applyAlignment="1">
      <alignment horizontal="right" vertical="center"/>
    </xf>
    <xf numFmtId="4" fontId="38" fillId="2" borderId="36" xfId="119" applyNumberFormat="1" applyFont="1" applyFill="1" applyBorder="1" applyAlignment="1">
      <alignment horizontal="right" vertical="center"/>
    </xf>
    <xf numFmtId="4" fontId="51" fillId="0" borderId="39" xfId="119" applyNumberFormat="1" applyFont="1" applyBorder="1" applyAlignment="1">
      <alignment horizontal="right" vertical="center"/>
    </xf>
    <xf numFmtId="0" fontId="48" fillId="0" borderId="30" xfId="119" applyFont="1" applyBorder="1" applyAlignment="1">
      <alignment horizontal="left" vertical="center"/>
    </xf>
    <xf numFmtId="1" fontId="48" fillId="0" borderId="31" xfId="119" applyNumberFormat="1" applyFont="1" applyBorder="1" applyAlignment="1">
      <alignment vertical="center"/>
    </xf>
    <xf numFmtId="165" fontId="48" fillId="4" borderId="31" xfId="119" applyNumberFormat="1" applyFont="1" applyFill="1" applyBorder="1" applyAlignment="1">
      <alignment horizontal="right" vertical="center"/>
    </xf>
    <xf numFmtId="4" fontId="48" fillId="0" borderId="31" xfId="119" applyNumberFormat="1" applyFont="1" applyBorder="1" applyAlignment="1">
      <alignment horizontal="right" vertical="center"/>
    </xf>
    <xf numFmtId="165" fontId="48" fillId="0" borderId="32" xfId="119" applyNumberFormat="1" applyFont="1" applyBorder="1" applyAlignment="1">
      <alignment horizontal="right" vertical="center"/>
    </xf>
    <xf numFmtId="165" fontId="28" fillId="0" borderId="31" xfId="119" applyNumberFormat="1" applyFont="1" applyBorder="1" applyAlignment="1">
      <alignment vertical="center"/>
    </xf>
    <xf numFmtId="165" fontId="28" fillId="0" borderId="32" xfId="119" applyNumberFormat="1" applyFont="1" applyBorder="1" applyAlignment="1">
      <alignment horizontal="right" vertical="center"/>
    </xf>
    <xf numFmtId="165" fontId="28" fillId="0" borderId="30" xfId="119" applyNumberFormat="1" applyFont="1" applyBorder="1" applyAlignment="1">
      <alignment horizontal="right" vertical="center"/>
    </xf>
    <xf numFmtId="0" fontId="28" fillId="0" borderId="17" xfId="119" applyFont="1" applyBorder="1" applyAlignment="1">
      <alignment vertical="center"/>
    </xf>
    <xf numFmtId="165" fontId="28" fillId="6" borderId="31" xfId="119" applyNumberFormat="1" applyFont="1" applyFill="1" applyBorder="1" applyAlignment="1">
      <alignment vertical="center"/>
    </xf>
    <xf numFmtId="165" fontId="28" fillId="6" borderId="31" xfId="119" applyNumberFormat="1" applyFont="1" applyFill="1" applyBorder="1" applyAlignment="1">
      <alignment horizontal="right" vertical="center"/>
    </xf>
    <xf numFmtId="176" fontId="47" fillId="6" borderId="31" xfId="119" applyNumberFormat="1" applyFont="1" applyFill="1" applyBorder="1" applyAlignment="1">
      <alignment vertical="center"/>
    </xf>
    <xf numFmtId="0" fontId="48" fillId="0" borderId="37" xfId="119" applyFont="1" applyBorder="1" applyAlignment="1">
      <alignment horizontal="left" vertical="center"/>
    </xf>
    <xf numFmtId="1" fontId="48" fillId="0" borderId="38" xfId="119" applyNumberFormat="1" applyFont="1" applyBorder="1" applyAlignment="1">
      <alignment vertical="center"/>
    </xf>
    <xf numFmtId="0" fontId="48" fillId="0" borderId="38" xfId="119" applyFont="1" applyBorder="1" applyAlignment="1">
      <alignment horizontal="center" vertical="center"/>
    </xf>
    <xf numFmtId="0" fontId="48" fillId="0" borderId="38" xfId="119" applyFont="1" applyBorder="1" applyAlignment="1">
      <alignment vertical="center"/>
    </xf>
    <xf numFmtId="165" fontId="48" fillId="4" borderId="38" xfId="119" applyNumberFormat="1" applyFont="1" applyFill="1" applyBorder="1" applyAlignment="1">
      <alignment horizontal="right" vertical="center"/>
    </xf>
    <xf numFmtId="177" fontId="48" fillId="4" borderId="38" xfId="119" applyNumberFormat="1" applyFont="1" applyFill="1" applyBorder="1" applyAlignment="1">
      <alignment horizontal="right" vertical="center"/>
    </xf>
    <xf numFmtId="4" fontId="48" fillId="0" borderId="38" xfId="119" applyNumberFormat="1" applyFont="1" applyBorder="1" applyAlignment="1">
      <alignment horizontal="right" vertical="center"/>
    </xf>
    <xf numFmtId="165" fontId="48" fillId="0" borderId="40" xfId="119" applyNumberFormat="1" applyFont="1" applyBorder="1" applyAlignment="1">
      <alignment horizontal="right" vertical="center"/>
    </xf>
    <xf numFmtId="4" fontId="48" fillId="0" borderId="37" xfId="119" applyNumberFormat="1" applyFont="1" applyBorder="1" applyAlignment="1">
      <alignment horizontal="right" vertical="center"/>
    </xf>
    <xf numFmtId="0" fontId="28" fillId="0" borderId="37" xfId="119" applyFont="1" applyBorder="1" applyAlignment="1">
      <alignment vertical="center"/>
    </xf>
    <xf numFmtId="0" fontId="28" fillId="0" borderId="38" xfId="119" applyFont="1" applyBorder="1" applyAlignment="1">
      <alignment vertical="center"/>
    </xf>
    <xf numFmtId="0" fontId="28" fillId="0" borderId="38" xfId="119" applyFont="1" applyBorder="1" applyAlignment="1">
      <alignment horizontal="center" vertical="center"/>
    </xf>
    <xf numFmtId="165" fontId="28" fillId="0" borderId="38" xfId="119" applyNumberFormat="1" applyFont="1" applyBorder="1" applyAlignment="1">
      <alignment horizontal="center" vertical="center"/>
    </xf>
    <xf numFmtId="165" fontId="28" fillId="0" borderId="38" xfId="119" applyNumberFormat="1" applyFont="1" applyBorder="1" applyAlignment="1">
      <alignment horizontal="right" vertical="center"/>
    </xf>
    <xf numFmtId="165" fontId="28" fillId="0" borderId="40" xfId="119" applyNumberFormat="1" applyFont="1" applyBorder="1" applyAlignment="1">
      <alignment horizontal="right" vertical="center"/>
    </xf>
    <xf numFmtId="165" fontId="28" fillId="0" borderId="37" xfId="119" applyNumberFormat="1" applyFont="1" applyBorder="1" applyAlignment="1">
      <alignment horizontal="right" vertical="center"/>
    </xf>
    <xf numFmtId="0" fontId="28" fillId="0" borderId="31" xfId="119" applyFont="1" applyBorder="1" applyAlignment="1">
      <alignment vertical="center"/>
    </xf>
    <xf numFmtId="165" fontId="28" fillId="0" borderId="31" xfId="119" applyNumberFormat="1" applyFont="1" applyBorder="1" applyAlignment="1">
      <alignment horizontal="center" vertical="center"/>
    </xf>
    <xf numFmtId="165" fontId="28" fillId="0" borderId="31" xfId="119" applyNumberFormat="1" applyFont="1" applyBorder="1" applyAlignment="1">
      <alignment horizontal="right" vertical="center"/>
    </xf>
    <xf numFmtId="0" fontId="47" fillId="0" borderId="31" xfId="119" applyFont="1" applyBorder="1" applyAlignment="1">
      <alignment vertical="center"/>
    </xf>
    <xf numFmtId="165" fontId="47" fillId="0" borderId="31" xfId="119" applyNumberFormat="1" applyFont="1" applyBorder="1" applyAlignment="1">
      <alignment horizontal="right" vertical="center"/>
    </xf>
    <xf numFmtId="165" fontId="47" fillId="0" borderId="32" xfId="119" applyNumberFormat="1" applyFont="1" applyBorder="1" applyAlignment="1">
      <alignment horizontal="right" vertical="center"/>
    </xf>
    <xf numFmtId="165" fontId="47" fillId="0" borderId="30" xfId="119" applyNumberFormat="1" applyFont="1" applyBorder="1" applyAlignment="1">
      <alignment horizontal="right" vertical="center"/>
    </xf>
    <xf numFmtId="0" fontId="48" fillId="0" borderId="0" xfId="119" applyFont="1" applyAlignment="1">
      <alignment horizontal="left" vertical="center"/>
    </xf>
    <xf numFmtId="0" fontId="48" fillId="0" borderId="0" xfId="119" applyFont="1" applyAlignment="1">
      <alignment horizontal="center" vertical="center"/>
    </xf>
    <xf numFmtId="3" fontId="48" fillId="0" borderId="0" xfId="119" applyNumberFormat="1" applyFont="1" applyAlignment="1">
      <alignment horizontal="center" vertical="center"/>
    </xf>
    <xf numFmtId="0" fontId="48" fillId="0" borderId="0" xfId="119" applyFont="1" applyAlignment="1">
      <alignment horizontal="right" vertical="center"/>
    </xf>
    <xf numFmtId="0" fontId="2" fillId="0" borderId="0" xfId="119" applyAlignment="1">
      <alignment horizontal="left" vertical="center"/>
    </xf>
    <xf numFmtId="3" fontId="2" fillId="0" borderId="0" xfId="119" applyNumberFormat="1" applyAlignment="1">
      <alignment horizontal="center" vertical="center"/>
    </xf>
    <xf numFmtId="0" fontId="2" fillId="0" borderId="0" xfId="119" applyAlignment="1">
      <alignment horizontal="right" vertical="center"/>
    </xf>
    <xf numFmtId="4" fontId="2" fillId="0" borderId="0" xfId="119" applyNumberFormat="1" applyAlignment="1">
      <alignment horizontal="right" vertical="center"/>
    </xf>
    <xf numFmtId="0" fontId="2" fillId="7" borderId="0" xfId="119" applyFill="1" applyAlignment="1">
      <alignment horizontal="center" vertical="center"/>
    </xf>
    <xf numFmtId="0" fontId="28" fillId="8" borderId="11" xfId="119" applyFont="1" applyFill="1" applyBorder="1" applyAlignment="1">
      <alignment horizontal="left" vertical="center"/>
    </xf>
    <xf numFmtId="4" fontId="28" fillId="8" borderId="11" xfId="119" applyNumberFormat="1" applyFont="1" applyFill="1" applyBorder="1" applyAlignment="1">
      <alignment horizontal="left" vertical="center" wrapText="1"/>
    </xf>
    <xf numFmtId="0" fontId="28" fillId="8" borderId="11" xfId="119" applyFont="1" applyFill="1" applyBorder="1" applyAlignment="1">
      <alignment horizontal="center" vertical="center"/>
    </xf>
    <xf numFmtId="174" fontId="28" fillId="8" borderId="11" xfId="119" applyNumberFormat="1" applyFont="1" applyFill="1" applyBorder="1" applyAlignment="1">
      <alignment horizontal="center" vertical="center"/>
    </xf>
    <xf numFmtId="0" fontId="28" fillId="8" borderId="11" xfId="119" applyFont="1" applyFill="1" applyBorder="1" applyAlignment="1">
      <alignment horizontal="right" vertical="center"/>
    </xf>
    <xf numFmtId="10" fontId="47" fillId="8" borderId="9" xfId="120" applyNumberFormat="1" applyFont="1" applyFill="1" applyBorder="1" applyAlignment="1">
      <alignment horizontal="center" vertical="center"/>
    </xf>
    <xf numFmtId="0" fontId="28" fillId="8" borderId="4" xfId="119" applyFont="1" applyFill="1" applyBorder="1" applyAlignment="1">
      <alignment horizontal="right" vertical="center"/>
    </xf>
    <xf numFmtId="0" fontId="2" fillId="7" borderId="0" xfId="119" applyFill="1" applyAlignment="1">
      <alignment vertical="center"/>
    </xf>
    <xf numFmtId="0" fontId="48" fillId="7" borderId="0" xfId="119" applyFont="1" applyFill="1" applyAlignment="1">
      <alignment horizontal="center" vertical="center"/>
    </xf>
    <xf numFmtId="0" fontId="47" fillId="8" borderId="11" xfId="119" applyFont="1" applyFill="1" applyBorder="1" applyAlignment="1">
      <alignment horizontal="left" vertical="center"/>
    </xf>
    <xf numFmtId="4" fontId="47" fillId="8" borderId="11" xfId="119" applyNumberFormat="1" applyFont="1" applyFill="1" applyBorder="1" applyAlignment="1">
      <alignment horizontal="left" vertical="center" wrapText="1"/>
    </xf>
    <xf numFmtId="0" fontId="47" fillId="8" borderId="11" xfId="119" applyFont="1" applyFill="1" applyBorder="1" applyAlignment="1">
      <alignment horizontal="center" vertical="center"/>
    </xf>
    <xf numFmtId="174" fontId="47" fillId="8" borderId="11" xfId="119" applyNumberFormat="1" applyFont="1" applyFill="1" applyBorder="1" applyAlignment="1">
      <alignment horizontal="center" vertical="center"/>
    </xf>
    <xf numFmtId="0" fontId="47" fillId="8" borderId="11" xfId="119" applyFont="1" applyFill="1" applyBorder="1" applyAlignment="1">
      <alignment horizontal="right" vertical="center"/>
    </xf>
    <xf numFmtId="0" fontId="47" fillId="8" borderId="4" xfId="119" applyFont="1" applyFill="1" applyBorder="1" applyAlignment="1">
      <alignment horizontal="right" vertical="center"/>
    </xf>
    <xf numFmtId="0" fontId="48" fillId="7" borderId="0" xfId="119" applyFont="1" applyFill="1" applyAlignment="1">
      <alignment vertical="center"/>
    </xf>
    <xf numFmtId="0" fontId="38" fillId="2" borderId="11" xfId="119" applyFont="1" applyFill="1" applyBorder="1" applyAlignment="1">
      <alignment horizontal="left" vertical="center"/>
    </xf>
    <xf numFmtId="0" fontId="28" fillId="2" borderId="11" xfId="119" applyFont="1" applyFill="1" applyBorder="1" applyAlignment="1">
      <alignment vertical="center"/>
    </xf>
    <xf numFmtId="0" fontId="28" fillId="2" borderId="11" xfId="119" applyFont="1" applyFill="1" applyBorder="1" applyAlignment="1">
      <alignment horizontal="center" vertical="center"/>
    </xf>
    <xf numFmtId="0" fontId="2" fillId="2" borderId="11" xfId="119" applyFill="1" applyBorder="1" applyAlignment="1">
      <alignment horizontal="center" vertical="center"/>
    </xf>
    <xf numFmtId="174" fontId="2" fillId="2" borderId="11" xfId="119" applyNumberFormat="1" applyFill="1" applyBorder="1" applyAlignment="1">
      <alignment horizontal="center" vertical="center"/>
    </xf>
    <xf numFmtId="0" fontId="2" fillId="2" borderId="11" xfId="119" applyFill="1" applyBorder="1" applyAlignment="1">
      <alignment horizontal="right" vertical="center"/>
    </xf>
    <xf numFmtId="4" fontId="2" fillId="2" borderId="11" xfId="119" applyNumberFormat="1" applyFill="1" applyBorder="1" applyAlignment="1">
      <alignment horizontal="right" vertical="center"/>
    </xf>
    <xf numFmtId="10" fontId="47" fillId="2" borderId="9" xfId="120" applyNumberFormat="1" applyFont="1" applyFill="1" applyBorder="1" applyAlignment="1">
      <alignment horizontal="center" vertical="center"/>
    </xf>
    <xf numFmtId="4" fontId="2" fillId="2" borderId="4" xfId="119" applyNumberFormat="1" applyFill="1" applyBorder="1" applyAlignment="1">
      <alignment horizontal="right" vertical="center"/>
    </xf>
    <xf numFmtId="0" fontId="47" fillId="2" borderId="11" xfId="119" applyFont="1" applyFill="1" applyBorder="1" applyAlignment="1">
      <alignment horizontal="left" vertical="center"/>
    </xf>
    <xf numFmtId="0" fontId="47" fillId="2" borderId="11" xfId="119" applyFont="1" applyFill="1" applyBorder="1" applyAlignment="1">
      <alignment vertical="center"/>
    </xf>
    <xf numFmtId="0" fontId="47" fillId="2" borderId="11" xfId="119" applyFont="1" applyFill="1" applyBorder="1" applyAlignment="1">
      <alignment horizontal="center" vertical="center"/>
    </xf>
    <xf numFmtId="0" fontId="48" fillId="2" borderId="11" xfId="119" applyFont="1" applyFill="1" applyBorder="1" applyAlignment="1">
      <alignment horizontal="center" vertical="center"/>
    </xf>
    <xf numFmtId="174" fontId="48" fillId="2" borderId="11" xfId="119" applyNumberFormat="1" applyFont="1" applyFill="1" applyBorder="1" applyAlignment="1">
      <alignment horizontal="center" vertical="center"/>
    </xf>
    <xf numFmtId="0" fontId="48" fillId="2" borderId="11" xfId="119" applyFont="1" applyFill="1" applyBorder="1" applyAlignment="1">
      <alignment horizontal="right" vertical="center"/>
    </xf>
    <xf numFmtId="4" fontId="48" fillId="2" borderId="11" xfId="119" applyNumberFormat="1" applyFont="1" applyFill="1" applyBorder="1" applyAlignment="1">
      <alignment horizontal="right" vertical="center"/>
    </xf>
    <xf numFmtId="4" fontId="48" fillId="2" borderId="4" xfId="119" applyNumberFormat="1" applyFont="1" applyFill="1" applyBorder="1" applyAlignment="1">
      <alignment horizontal="right" vertical="center"/>
    </xf>
    <xf numFmtId="0" fontId="2" fillId="0" borderId="11" xfId="119" applyBorder="1" applyAlignment="1">
      <alignment horizontal="left" vertical="center"/>
    </xf>
    <xf numFmtId="0" fontId="2" fillId="3" borderId="11" xfId="119" applyFill="1" applyBorder="1" applyAlignment="1">
      <alignment vertical="center"/>
    </xf>
    <xf numFmtId="0" fontId="2" fillId="0" borderId="11" xfId="119" applyBorder="1" applyAlignment="1">
      <alignment horizontal="center" vertical="center"/>
    </xf>
    <xf numFmtId="2" fontId="2" fillId="4" borderId="11" xfId="119" applyNumberFormat="1" applyFill="1" applyBorder="1" applyAlignment="1">
      <alignment horizontal="right" vertical="center"/>
    </xf>
    <xf numFmtId="4" fontId="2" fillId="0" borderId="11" xfId="119" applyNumberFormat="1" applyBorder="1" applyAlignment="1">
      <alignment horizontal="right" vertical="center"/>
    </xf>
    <xf numFmtId="4" fontId="27" fillId="0" borderId="11" xfId="121" applyNumberFormat="1" applyFont="1" applyFill="1" applyBorder="1" applyAlignment="1">
      <alignment horizontal="right" vertical="center"/>
    </xf>
    <xf numFmtId="10" fontId="47" fillId="0" borderId="9" xfId="120" applyNumberFormat="1" applyFont="1" applyBorder="1" applyAlignment="1">
      <alignment horizontal="center" vertical="center"/>
    </xf>
    <xf numFmtId="4" fontId="2" fillId="0" borderId="4" xfId="119" applyNumberFormat="1" applyBorder="1" applyAlignment="1">
      <alignment horizontal="right" vertical="center"/>
    </xf>
    <xf numFmtId="0" fontId="48" fillId="0" borderId="11" xfId="119" applyFont="1" applyBorder="1" applyAlignment="1">
      <alignment horizontal="left" vertical="center"/>
    </xf>
    <xf numFmtId="0" fontId="48" fillId="3" borderId="11" xfId="119" applyFont="1" applyFill="1" applyBorder="1" applyAlignment="1">
      <alignment vertical="center"/>
    </xf>
    <xf numFmtId="0" fontId="48" fillId="0" borderId="11" xfId="119" applyFont="1" applyBorder="1" applyAlignment="1">
      <alignment horizontal="center" vertical="center"/>
    </xf>
    <xf numFmtId="2" fontId="48" fillId="4" borderId="11" xfId="119" applyNumberFormat="1" applyFont="1" applyFill="1" applyBorder="1" applyAlignment="1">
      <alignment horizontal="right" vertical="center"/>
    </xf>
    <xf numFmtId="4" fontId="48" fillId="0" borderId="11" xfId="119" applyNumberFormat="1" applyFont="1" applyBorder="1" applyAlignment="1">
      <alignment horizontal="right" vertical="center"/>
    </xf>
    <xf numFmtId="4" fontId="48" fillId="0" borderId="11" xfId="121" applyNumberFormat="1" applyFont="1" applyFill="1" applyBorder="1" applyAlignment="1">
      <alignment horizontal="right" vertical="center"/>
    </xf>
    <xf numFmtId="4" fontId="48" fillId="0" borderId="4" xfId="119" applyNumberFormat="1" applyFont="1" applyBorder="1" applyAlignment="1">
      <alignment horizontal="right" vertical="center"/>
    </xf>
    <xf numFmtId="0" fontId="2" fillId="0" borderId="11" xfId="119" applyBorder="1" applyAlignment="1">
      <alignment vertical="center"/>
    </xf>
    <xf numFmtId="0" fontId="48" fillId="0" borderId="11" xfId="119" applyFont="1" applyBorder="1" applyAlignment="1">
      <alignment vertical="center"/>
    </xf>
    <xf numFmtId="2" fontId="2" fillId="2" borderId="11" xfId="119" applyNumberFormat="1" applyFill="1" applyBorder="1" applyAlignment="1">
      <alignment horizontal="right" vertical="center"/>
    </xf>
    <xf numFmtId="0" fontId="2" fillId="2" borderId="0" xfId="119" applyFill="1" applyAlignment="1">
      <alignment vertical="center"/>
    </xf>
    <xf numFmtId="2" fontId="48" fillId="2" borderId="11" xfId="119" applyNumberFormat="1" applyFont="1" applyFill="1" applyBorder="1" applyAlignment="1">
      <alignment horizontal="right" vertical="center"/>
    </xf>
    <xf numFmtId="0" fontId="48" fillId="2" borderId="0" xfId="119" applyFont="1" applyFill="1" applyAlignment="1">
      <alignment vertical="center"/>
    </xf>
    <xf numFmtId="0" fontId="2" fillId="3" borderId="11" xfId="119" applyFill="1" applyBorder="1" applyAlignment="1">
      <alignment horizontal="center" vertical="center"/>
    </xf>
    <xf numFmtId="0" fontId="48" fillId="3" borderId="11" xfId="119" applyFont="1" applyFill="1" applyBorder="1" applyAlignment="1">
      <alignment horizontal="center" vertical="center"/>
    </xf>
    <xf numFmtId="0" fontId="27" fillId="3" borderId="11" xfId="119" applyFont="1" applyFill="1" applyBorder="1" applyAlignment="1">
      <alignment horizontal="center" vertical="center"/>
    </xf>
    <xf numFmtId="0" fontId="28" fillId="2" borderId="11" xfId="119" applyFont="1" applyFill="1" applyBorder="1" applyAlignment="1">
      <alignment vertical="center" wrapText="1"/>
    </xf>
    <xf numFmtId="0" fontId="47" fillId="2" borderId="11" xfId="119" applyFont="1" applyFill="1" applyBorder="1" applyAlignment="1">
      <alignment vertical="center" wrapText="1"/>
    </xf>
    <xf numFmtId="0" fontId="27" fillId="0" borderId="11" xfId="119" applyFont="1" applyBorder="1" applyAlignment="1">
      <alignment vertical="center"/>
    </xf>
    <xf numFmtId="0" fontId="27" fillId="0" borderId="11" xfId="119" applyFont="1" applyBorder="1" applyAlignment="1">
      <alignment horizontal="center" vertical="center"/>
    </xf>
    <xf numFmtId="0" fontId="2" fillId="3" borderId="11" xfId="119" applyFill="1" applyBorder="1" applyAlignment="1">
      <alignment horizontal="left" vertical="center"/>
    </xf>
    <xf numFmtId="0" fontId="48" fillId="3" borderId="11" xfId="119" applyFont="1" applyFill="1" applyBorder="1" applyAlignment="1">
      <alignment horizontal="left" vertical="center"/>
    </xf>
    <xf numFmtId="0" fontId="28" fillId="0" borderId="11" xfId="119" applyFont="1" applyBorder="1" applyAlignment="1">
      <alignment vertical="center"/>
    </xf>
    <xf numFmtId="4" fontId="28" fillId="0" borderId="11" xfId="119" applyNumberFormat="1" applyFont="1" applyBorder="1" applyAlignment="1">
      <alignment horizontal="right" vertical="center"/>
    </xf>
    <xf numFmtId="4" fontId="28" fillId="0" borderId="4" xfId="119" applyNumberFormat="1" applyFont="1" applyBorder="1" applyAlignment="1">
      <alignment horizontal="right" vertical="center"/>
    </xf>
    <xf numFmtId="0" fontId="47" fillId="0" borderId="11" xfId="119" applyFont="1" applyBorder="1" applyAlignment="1">
      <alignment vertical="center"/>
    </xf>
    <xf numFmtId="2" fontId="47" fillId="0" borderId="11" xfId="119" applyNumberFormat="1" applyFont="1" applyBorder="1" applyAlignment="1">
      <alignment horizontal="right" vertical="center"/>
    </xf>
    <xf numFmtId="4" fontId="47" fillId="0" borderId="11" xfId="119" applyNumberFormat="1" applyFont="1" applyBorder="1" applyAlignment="1">
      <alignment horizontal="right" vertical="center"/>
    </xf>
    <xf numFmtId="4" fontId="47" fillId="0" borderId="4" xfId="119" applyNumberFormat="1" applyFont="1" applyBorder="1" applyAlignment="1">
      <alignment horizontal="right" vertical="center"/>
    </xf>
    <xf numFmtId="2" fontId="28" fillId="8" borderId="11" xfId="119" applyNumberFormat="1" applyFont="1" applyFill="1" applyBorder="1" applyAlignment="1">
      <alignment horizontal="center" vertical="center"/>
    </xf>
    <xf numFmtId="2" fontId="47" fillId="8" borderId="11" xfId="119" applyNumberFormat="1" applyFont="1" applyFill="1" applyBorder="1" applyAlignment="1">
      <alignment horizontal="center" vertical="center"/>
    </xf>
    <xf numFmtId="0" fontId="28" fillId="2" borderId="11" xfId="119" applyFont="1" applyFill="1" applyBorder="1" applyAlignment="1">
      <alignment horizontal="left" vertical="center"/>
    </xf>
    <xf numFmtId="165" fontId="27" fillId="0" borderId="11" xfId="121" applyFont="1" applyFill="1" applyBorder="1" applyAlignment="1">
      <alignment horizontal="right" vertical="center"/>
    </xf>
    <xf numFmtId="165" fontId="48" fillId="0" borderId="11" xfId="121" applyFont="1" applyFill="1" applyBorder="1" applyAlignment="1">
      <alignment horizontal="right" vertical="center"/>
    </xf>
    <xf numFmtId="0" fontId="38" fillId="2" borderId="11" xfId="119" applyFont="1" applyFill="1" applyBorder="1" applyAlignment="1">
      <alignment vertical="center" wrapText="1"/>
    </xf>
    <xf numFmtId="0" fontId="38" fillId="2" borderId="11" xfId="119" applyFont="1" applyFill="1" applyBorder="1" applyAlignment="1">
      <alignment horizontal="center" vertical="center"/>
    </xf>
    <xf numFmtId="0" fontId="38" fillId="2" borderId="11" xfId="119" applyFont="1" applyFill="1" applyBorder="1" applyAlignment="1">
      <alignment vertical="center"/>
    </xf>
    <xf numFmtId="0" fontId="27" fillId="0" borderId="11" xfId="119" applyFont="1" applyBorder="1" applyAlignment="1">
      <alignment horizontal="left" vertical="center"/>
    </xf>
    <xf numFmtId="2" fontId="28" fillId="0" borderId="11" xfId="119" applyNumberFormat="1" applyFont="1" applyBorder="1" applyAlignment="1">
      <alignment horizontal="right" vertical="center"/>
    </xf>
    <xf numFmtId="4" fontId="38" fillId="0" borderId="11" xfId="119" applyNumberFormat="1" applyFont="1" applyBorder="1" applyAlignment="1">
      <alignment horizontal="right" vertical="center"/>
    </xf>
    <xf numFmtId="4" fontId="38" fillId="0" borderId="4" xfId="119" applyNumberFormat="1" applyFont="1" applyBorder="1" applyAlignment="1">
      <alignment horizontal="right" vertical="center"/>
    </xf>
    <xf numFmtId="0" fontId="28" fillId="0" borderId="11" xfId="119" applyFont="1" applyBorder="1" applyAlignment="1">
      <alignment horizontal="center" vertical="center"/>
    </xf>
    <xf numFmtId="0" fontId="47" fillId="0" borderId="11" xfId="119" applyFont="1" applyBorder="1" applyAlignment="1">
      <alignment horizontal="center" vertical="center"/>
    </xf>
    <xf numFmtId="1" fontId="27" fillId="0" borderId="11" xfId="119" applyNumberFormat="1" applyFont="1" applyBorder="1" applyAlignment="1">
      <alignment horizontal="center" vertical="center"/>
    </xf>
    <xf numFmtId="1" fontId="48" fillId="0" borderId="11" xfId="119" applyNumberFormat="1" applyFont="1" applyBorder="1" applyAlignment="1">
      <alignment horizontal="center" vertical="center"/>
    </xf>
    <xf numFmtId="0" fontId="2" fillId="0" borderId="11" xfId="119" applyBorder="1" applyAlignment="1">
      <alignment vertical="center" wrapText="1"/>
    </xf>
    <xf numFmtId="0" fontId="48" fillId="0" borderId="11" xfId="119" applyFont="1" applyBorder="1" applyAlignment="1">
      <alignment vertical="center" wrapText="1"/>
    </xf>
    <xf numFmtId="1" fontId="27" fillId="3" borderId="11" xfId="119" applyNumberFormat="1" applyFont="1" applyFill="1" applyBorder="1" applyAlignment="1">
      <alignment horizontal="center" vertical="center"/>
    </xf>
    <xf numFmtId="1" fontId="48" fillId="3" borderId="11" xfId="119" applyNumberFormat="1" applyFont="1" applyFill="1" applyBorder="1" applyAlignment="1">
      <alignment horizontal="center" vertical="center"/>
    </xf>
    <xf numFmtId="4" fontId="2" fillId="4" borderId="11" xfId="119" applyNumberFormat="1" applyFill="1" applyBorder="1" applyAlignment="1">
      <alignment horizontal="right" vertical="center"/>
    </xf>
    <xf numFmtId="4" fontId="48" fillId="4" borderId="11" xfId="119" applyNumberFormat="1" applyFont="1" applyFill="1" applyBorder="1" applyAlignment="1">
      <alignment horizontal="right" vertical="center"/>
    </xf>
    <xf numFmtId="0" fontId="26" fillId="0" borderId="0" xfId="119" applyFont="1" applyAlignment="1">
      <alignment horizontal="left" vertical="center" indent="2"/>
    </xf>
    <xf numFmtId="0" fontId="26" fillId="0" borderId="0" xfId="119" applyFont="1" applyAlignment="1">
      <alignment vertical="center" wrapText="1"/>
    </xf>
    <xf numFmtId="0" fontId="26" fillId="0" borderId="0" xfId="119" applyFont="1" applyAlignment="1">
      <alignment horizontal="center" vertical="center"/>
    </xf>
    <xf numFmtId="178" fontId="26" fillId="0" borderId="0" xfId="119" applyNumberFormat="1" applyFont="1" applyAlignment="1">
      <alignment horizontal="center" vertical="center"/>
    </xf>
    <xf numFmtId="0" fontId="26" fillId="0" borderId="0" xfId="119" applyFont="1" applyAlignment="1">
      <alignment horizontal="right" vertical="center"/>
    </xf>
    <xf numFmtId="10" fontId="55" fillId="0" borderId="0" xfId="120" applyNumberFormat="1" applyFont="1" applyBorder="1" applyAlignment="1">
      <alignment horizontal="center" vertical="center"/>
    </xf>
    <xf numFmtId="0" fontId="26" fillId="0" borderId="4" xfId="119" applyFont="1" applyBorder="1" applyAlignment="1">
      <alignment horizontal="right" vertical="center"/>
    </xf>
    <xf numFmtId="0" fontId="26" fillId="0" borderId="0" xfId="119" applyFont="1" applyAlignment="1">
      <alignment vertical="center"/>
    </xf>
    <xf numFmtId="0" fontId="50" fillId="0" borderId="0" xfId="119" applyFont="1" applyAlignment="1">
      <alignment horizontal="left" vertical="center" indent="2"/>
    </xf>
    <xf numFmtId="0" fontId="50" fillId="0" borderId="0" xfId="119" applyFont="1" applyAlignment="1">
      <alignment vertical="center" wrapText="1"/>
    </xf>
    <xf numFmtId="0" fontId="50" fillId="0" borderId="0" xfId="119" applyFont="1" applyAlignment="1">
      <alignment horizontal="center" vertical="center"/>
    </xf>
    <xf numFmtId="178" fontId="2" fillId="0" borderId="0" xfId="119" applyNumberFormat="1" applyAlignment="1">
      <alignment horizontal="center" vertical="center"/>
    </xf>
    <xf numFmtId="0" fontId="50" fillId="0" borderId="0" xfId="119" applyFont="1" applyAlignment="1">
      <alignment horizontal="right" vertical="center"/>
    </xf>
    <xf numFmtId="10" fontId="55" fillId="0" borderId="0" xfId="120" applyNumberFormat="1" applyFont="1" applyAlignment="1">
      <alignment horizontal="center" vertical="center"/>
    </xf>
    <xf numFmtId="0" fontId="50" fillId="0" borderId="4" xfId="119" applyFont="1" applyBorder="1" applyAlignment="1">
      <alignment horizontal="right" vertical="center"/>
    </xf>
    <xf numFmtId="0" fontId="50" fillId="0" borderId="0" xfId="119" applyFont="1" applyAlignment="1">
      <alignment vertical="center"/>
    </xf>
    <xf numFmtId="0" fontId="2" fillId="0" borderId="0" xfId="119" applyAlignment="1">
      <alignment horizontal="left" vertical="center" indent="2"/>
    </xf>
    <xf numFmtId="0" fontId="2" fillId="0" borderId="0" xfId="119" applyAlignment="1">
      <alignment vertical="center" wrapText="1"/>
    </xf>
    <xf numFmtId="4" fontId="56" fillId="0" borderId="11" xfId="119" applyNumberFormat="1" applyFont="1" applyBorder="1" applyAlignment="1">
      <alignment horizontal="right" vertical="center"/>
    </xf>
    <xf numFmtId="4" fontId="56" fillId="0" borderId="4" xfId="119" applyNumberFormat="1" applyFont="1" applyBorder="1" applyAlignment="1">
      <alignment horizontal="right" vertical="center"/>
    </xf>
    <xf numFmtId="0" fontId="2" fillId="0" borderId="4" xfId="119" applyBorder="1" applyAlignment="1">
      <alignment horizontal="right" vertical="center"/>
    </xf>
    <xf numFmtId="10" fontId="47" fillId="4" borderId="0" xfId="120" applyNumberFormat="1" applyFont="1" applyFill="1" applyAlignment="1">
      <alignment horizontal="center" vertical="center"/>
    </xf>
    <xf numFmtId="4" fontId="2" fillId="0" borderId="0" xfId="119" applyNumberFormat="1" applyAlignment="1">
      <alignment vertical="center"/>
    </xf>
    <xf numFmtId="4" fontId="2" fillId="0" borderId="0" xfId="119" applyNumberFormat="1" applyAlignment="1">
      <alignment horizontal="center" vertical="center"/>
    </xf>
    <xf numFmtId="3" fontId="28" fillId="4" borderId="33" xfId="119" applyNumberFormat="1" applyFont="1" applyFill="1" applyBorder="1" applyAlignment="1">
      <alignment horizontal="center" vertical="center"/>
    </xf>
    <xf numFmtId="0" fontId="28" fillId="4" borderId="0" xfId="119" applyFont="1" applyFill="1" applyAlignment="1">
      <alignment horizontal="center" vertical="center" wrapText="1"/>
    </xf>
    <xf numFmtId="0" fontId="28" fillId="4" borderId="0" xfId="119" applyFont="1" applyFill="1" applyAlignment="1">
      <alignment horizontal="center" vertical="center"/>
    </xf>
    <xf numFmtId="3" fontId="28" fillId="4" borderId="0" xfId="119" applyNumberFormat="1" applyFont="1" applyFill="1" applyAlignment="1">
      <alignment horizontal="center" vertical="center" wrapText="1"/>
    </xf>
    <xf numFmtId="10" fontId="47" fillId="4" borderId="0" xfId="120" applyNumberFormat="1" applyFont="1" applyFill="1" applyBorder="1" applyAlignment="1">
      <alignment horizontal="center" vertical="center"/>
    </xf>
    <xf numFmtId="0" fontId="2" fillId="0" borderId="0" xfId="119" applyAlignment="1">
      <alignment horizontal="center" vertical="top"/>
    </xf>
    <xf numFmtId="0" fontId="28" fillId="8" borderId="11" xfId="119" applyFont="1" applyFill="1" applyBorder="1" applyAlignment="1">
      <alignment horizontal="left" vertical="top"/>
    </xf>
    <xf numFmtId="4" fontId="28" fillId="8" borderId="11" xfId="119" applyNumberFormat="1" applyFont="1" applyFill="1" applyBorder="1" applyAlignment="1">
      <alignment horizontal="left" vertical="top" wrapText="1"/>
    </xf>
    <xf numFmtId="0" fontId="28" fillId="8" borderId="11" xfId="119" applyFont="1" applyFill="1" applyBorder="1" applyAlignment="1">
      <alignment horizontal="center" vertical="top"/>
    </xf>
    <xf numFmtId="0" fontId="2" fillId="8" borderId="11" xfId="119" applyFill="1" applyBorder="1" applyAlignment="1">
      <alignment horizontal="center" vertical="top"/>
    </xf>
    <xf numFmtId="0" fontId="2" fillId="8" borderId="11" xfId="119" applyFill="1" applyBorder="1" applyAlignment="1">
      <alignment horizontal="right" vertical="top"/>
    </xf>
    <xf numFmtId="0" fontId="2" fillId="8" borderId="11" xfId="119" applyFill="1" applyBorder="1" applyAlignment="1">
      <alignment vertical="top"/>
    </xf>
    <xf numFmtId="10" fontId="47" fillId="8" borderId="9" xfId="120" applyNumberFormat="1" applyFont="1" applyFill="1" applyBorder="1" applyAlignment="1">
      <alignment horizontal="center" vertical="top"/>
    </xf>
    <xf numFmtId="0" fontId="2" fillId="7" borderId="0" xfId="119" applyFill="1" applyAlignment="1">
      <alignment vertical="top"/>
    </xf>
    <xf numFmtId="0" fontId="48" fillId="0" borderId="0" xfId="119" applyFont="1" applyAlignment="1">
      <alignment horizontal="center" vertical="top"/>
    </xf>
    <xf numFmtId="0" fontId="47" fillId="8" borderId="11" xfId="119" applyFont="1" applyFill="1" applyBorder="1" applyAlignment="1">
      <alignment horizontal="left" vertical="top"/>
    </xf>
    <xf numFmtId="4" fontId="47" fillId="8" borderId="11" xfId="119" applyNumberFormat="1" applyFont="1" applyFill="1" applyBorder="1" applyAlignment="1">
      <alignment horizontal="left" vertical="top" wrapText="1"/>
    </xf>
    <xf numFmtId="0" fontId="47" fillId="8" borderId="11" xfId="119" applyFont="1" applyFill="1" applyBorder="1" applyAlignment="1">
      <alignment horizontal="center" vertical="top"/>
    </xf>
    <xf numFmtId="0" fontId="48" fillId="8" borderId="11" xfId="119" applyFont="1" applyFill="1" applyBorder="1" applyAlignment="1">
      <alignment horizontal="center" vertical="top"/>
    </xf>
    <xf numFmtId="49" fontId="48" fillId="8" borderId="11" xfId="119" applyNumberFormat="1" applyFont="1" applyFill="1" applyBorder="1" applyAlignment="1">
      <alignment horizontal="center" vertical="top"/>
    </xf>
    <xf numFmtId="0" fontId="48" fillId="7" borderId="0" xfId="119" applyFont="1" applyFill="1" applyAlignment="1">
      <alignment vertical="top"/>
    </xf>
    <xf numFmtId="0" fontId="28" fillId="2" borderId="11" xfId="119" applyFont="1" applyFill="1" applyBorder="1" applyAlignment="1">
      <alignment horizontal="left" vertical="top"/>
    </xf>
    <xf numFmtId="4" fontId="28" fillId="2" borderId="11" xfId="119" applyNumberFormat="1" applyFont="1" applyFill="1" applyBorder="1" applyAlignment="1">
      <alignment horizontal="left" vertical="top" wrapText="1"/>
    </xf>
    <xf numFmtId="0" fontId="28" fillId="2" borderId="11" xfId="119" applyFont="1" applyFill="1" applyBorder="1" applyAlignment="1">
      <alignment horizontal="center" vertical="top"/>
    </xf>
    <xf numFmtId="0" fontId="2" fillId="2" borderId="11" xfId="119" applyFill="1" applyBorder="1" applyAlignment="1">
      <alignment horizontal="center" vertical="top"/>
    </xf>
    <xf numFmtId="4" fontId="2" fillId="2" borderId="11" xfId="119" applyNumberFormat="1" applyFill="1" applyBorder="1" applyAlignment="1">
      <alignment horizontal="right" vertical="top"/>
    </xf>
    <xf numFmtId="4" fontId="28" fillId="2" borderId="11" xfId="119" applyNumberFormat="1" applyFont="1" applyFill="1" applyBorder="1" applyAlignment="1">
      <alignment horizontal="right" vertical="top"/>
    </xf>
    <xf numFmtId="10" fontId="47" fillId="2" borderId="9" xfId="120" applyNumberFormat="1" applyFont="1" applyFill="1" applyBorder="1" applyAlignment="1">
      <alignment horizontal="center" vertical="top"/>
    </xf>
    <xf numFmtId="0" fontId="2" fillId="2" borderId="0" xfId="119" applyFill="1" applyAlignment="1">
      <alignment vertical="top"/>
    </xf>
    <xf numFmtId="0" fontId="47" fillId="2" borderId="11" xfId="119" applyFont="1" applyFill="1" applyBorder="1" applyAlignment="1">
      <alignment horizontal="left" vertical="top"/>
    </xf>
    <xf numFmtId="4" fontId="47" fillId="2" borderId="11" xfId="119" applyNumberFormat="1" applyFont="1" applyFill="1" applyBorder="1" applyAlignment="1">
      <alignment horizontal="left" vertical="top" wrapText="1"/>
    </xf>
    <xf numFmtId="0" fontId="47" fillId="2" borderId="11" xfId="119" applyFont="1" applyFill="1" applyBorder="1" applyAlignment="1">
      <alignment horizontal="center" vertical="top"/>
    </xf>
    <xf numFmtId="0" fontId="48" fillId="2" borderId="11" xfId="119" applyFont="1" applyFill="1" applyBorder="1" applyAlignment="1">
      <alignment horizontal="center" vertical="top"/>
    </xf>
    <xf numFmtId="4" fontId="48" fillId="2" borderId="11" xfId="119" applyNumberFormat="1" applyFont="1" applyFill="1" applyBorder="1" applyAlignment="1">
      <alignment horizontal="right" vertical="top"/>
    </xf>
    <xf numFmtId="0" fontId="48" fillId="2" borderId="11" xfId="119" applyFont="1" applyFill="1" applyBorder="1" applyAlignment="1">
      <alignment horizontal="right" vertical="top"/>
    </xf>
    <xf numFmtId="4" fontId="47" fillId="2" borderId="11" xfId="119" applyNumberFormat="1" applyFont="1" applyFill="1" applyBorder="1" applyAlignment="1">
      <alignment vertical="top"/>
    </xf>
    <xf numFmtId="0" fontId="48" fillId="2" borderId="0" xfId="119" applyFont="1" applyFill="1" applyAlignment="1">
      <alignment vertical="top"/>
    </xf>
    <xf numFmtId="0" fontId="2" fillId="0" borderId="11" xfId="119" applyBorder="1" applyAlignment="1">
      <alignment horizontal="left" vertical="top"/>
    </xf>
    <xf numFmtId="0" fontId="2" fillId="0" borderId="11" xfId="119" applyBorder="1" applyAlignment="1">
      <alignment vertical="top" wrapText="1"/>
    </xf>
    <xf numFmtId="0" fontId="2" fillId="0" borderId="11" xfId="119" applyBorder="1" applyAlignment="1">
      <alignment horizontal="center" vertical="top"/>
    </xf>
    <xf numFmtId="4" fontId="2" fillId="0" borderId="11" xfId="119" applyNumberFormat="1" applyBorder="1" applyAlignment="1">
      <alignment horizontal="right" vertical="top"/>
    </xf>
    <xf numFmtId="4" fontId="2" fillId="3" borderId="11" xfId="119" applyNumberFormat="1" applyFill="1" applyBorder="1" applyAlignment="1">
      <alignment horizontal="right" vertical="top"/>
    </xf>
    <xf numFmtId="10" fontId="47" fillId="3" borderId="9" xfId="120" applyNumberFormat="1" applyFont="1" applyFill="1" applyBorder="1" applyAlignment="1">
      <alignment horizontal="center" vertical="top"/>
    </xf>
    <xf numFmtId="0" fontId="2" fillId="0" borderId="0" xfId="119" applyAlignment="1">
      <alignment vertical="top"/>
    </xf>
    <xf numFmtId="0" fontId="48" fillId="0" borderId="11" xfId="119" applyFont="1" applyBorder="1" applyAlignment="1">
      <alignment horizontal="left" vertical="top"/>
    </xf>
    <xf numFmtId="0" fontId="48" fillId="0" borderId="11" xfId="119" applyFont="1" applyBorder="1" applyAlignment="1">
      <alignment vertical="top" wrapText="1"/>
    </xf>
    <xf numFmtId="179" fontId="48" fillId="0" borderId="11" xfId="119" applyNumberFormat="1" applyFont="1" applyBorder="1" applyAlignment="1">
      <alignment horizontal="center" vertical="top"/>
    </xf>
    <xf numFmtId="0" fontId="48" fillId="0" borderId="11" xfId="119" applyFont="1" applyBorder="1" applyAlignment="1">
      <alignment horizontal="center" vertical="top"/>
    </xf>
    <xf numFmtId="4" fontId="48" fillId="0" borderId="11" xfId="119" applyNumberFormat="1" applyFont="1" applyBorder="1" applyAlignment="1">
      <alignment horizontal="right" vertical="top"/>
    </xf>
    <xf numFmtId="4" fontId="48" fillId="3" borderId="11" xfId="119" applyNumberFormat="1" applyFont="1" applyFill="1" applyBorder="1" applyAlignment="1">
      <alignment horizontal="right" vertical="top"/>
    </xf>
    <xf numFmtId="0" fontId="48" fillId="0" borderId="0" xfId="119" applyFont="1" applyAlignment="1">
      <alignment vertical="top"/>
    </xf>
    <xf numFmtId="0" fontId="2" fillId="2" borderId="11" xfId="119" applyFill="1" applyBorder="1" applyAlignment="1">
      <alignment horizontal="right" vertical="top"/>
    </xf>
    <xf numFmtId="179" fontId="47" fillId="2" borderId="11" xfId="119" applyNumberFormat="1" applyFont="1" applyFill="1" applyBorder="1" applyAlignment="1">
      <alignment horizontal="center" vertical="top"/>
    </xf>
    <xf numFmtId="4" fontId="2" fillId="0" borderId="11" xfId="119" applyNumberFormat="1" applyBorder="1" applyAlignment="1">
      <alignment vertical="top"/>
    </xf>
    <xf numFmtId="10" fontId="47" fillId="0" borderId="9" xfId="120" applyNumberFormat="1" applyFont="1" applyBorder="1" applyAlignment="1">
      <alignment horizontal="center" vertical="top"/>
    </xf>
    <xf numFmtId="4" fontId="48" fillId="0" borderId="11" xfId="119" applyNumberFormat="1" applyFont="1" applyBorder="1" applyAlignment="1">
      <alignment vertical="top"/>
    </xf>
    <xf numFmtId="0" fontId="2" fillId="0" borderId="11" xfId="119" applyBorder="1" applyAlignment="1">
      <alignment vertical="top"/>
    </xf>
    <xf numFmtId="0" fontId="48" fillId="0" borderId="11" xfId="119" applyFont="1" applyBorder="1" applyAlignment="1">
      <alignment vertical="top"/>
    </xf>
    <xf numFmtId="0" fontId="48" fillId="0" borderId="11" xfId="119" applyFont="1" applyBorder="1" applyAlignment="1">
      <alignment horizontal="center" vertical="top" wrapText="1"/>
    </xf>
    <xf numFmtId="0" fontId="2" fillId="0" borderId="11" xfId="119" applyBorder="1" applyAlignment="1">
      <alignment horizontal="center" vertical="top" wrapText="1"/>
    </xf>
    <xf numFmtId="0" fontId="28" fillId="6" borderId="11" xfId="119" applyFont="1" applyFill="1" applyBorder="1" applyAlignment="1">
      <alignment horizontal="left" vertical="top"/>
    </xf>
    <xf numFmtId="0" fontId="28" fillId="6" borderId="11" xfId="119" applyFont="1" applyFill="1" applyBorder="1" applyAlignment="1">
      <alignment vertical="top" wrapText="1"/>
    </xf>
    <xf numFmtId="0" fontId="28" fillId="6" borderId="11" xfId="119" applyFont="1" applyFill="1" applyBorder="1" applyAlignment="1">
      <alignment horizontal="center" vertical="top"/>
    </xf>
    <xf numFmtId="0" fontId="2" fillId="6" borderId="11" xfId="119" applyFill="1" applyBorder="1" applyAlignment="1">
      <alignment horizontal="center" vertical="top"/>
    </xf>
    <xf numFmtId="4" fontId="2" fillId="6" borderId="11" xfId="119" applyNumberFormat="1" applyFill="1" applyBorder="1" applyAlignment="1">
      <alignment horizontal="right" vertical="top"/>
    </xf>
    <xf numFmtId="4" fontId="2" fillId="6" borderId="11" xfId="119" applyNumberFormat="1" applyFill="1" applyBorder="1" applyAlignment="1">
      <alignment vertical="top"/>
    </xf>
    <xf numFmtId="10" fontId="47" fillId="6" borderId="9" xfId="120" applyNumberFormat="1" applyFont="1" applyFill="1" applyBorder="1" applyAlignment="1">
      <alignment horizontal="center" vertical="top"/>
    </xf>
    <xf numFmtId="0" fontId="47" fillId="6" borderId="11" xfId="119" applyFont="1" applyFill="1" applyBorder="1" applyAlignment="1">
      <alignment horizontal="left" vertical="top"/>
    </xf>
    <xf numFmtId="0" fontId="47" fillId="6" borderId="11" xfId="119" applyFont="1" applyFill="1" applyBorder="1" applyAlignment="1">
      <alignment vertical="top" wrapText="1"/>
    </xf>
    <xf numFmtId="179" fontId="47" fillId="6" borderId="11" xfId="119" applyNumberFormat="1" applyFont="1" applyFill="1" applyBorder="1" applyAlignment="1">
      <alignment horizontal="center" vertical="top"/>
    </xf>
    <xf numFmtId="0" fontId="48" fillId="6" borderId="11" xfId="119" applyFont="1" applyFill="1" applyBorder="1" applyAlignment="1">
      <alignment horizontal="center" vertical="top"/>
    </xf>
    <xf numFmtId="4" fontId="48" fillId="6" borderId="11" xfId="119" applyNumberFormat="1" applyFont="1" applyFill="1" applyBorder="1" applyAlignment="1">
      <alignment horizontal="right" vertical="top"/>
    </xf>
    <xf numFmtId="4" fontId="48" fillId="6" borderId="11" xfId="119" applyNumberFormat="1" applyFont="1" applyFill="1" applyBorder="1" applyAlignment="1">
      <alignment vertical="top"/>
    </xf>
    <xf numFmtId="4" fontId="28" fillId="6" borderId="11" xfId="119" applyNumberFormat="1" applyFont="1" applyFill="1" applyBorder="1" applyAlignment="1">
      <alignment horizontal="right" vertical="top"/>
    </xf>
    <xf numFmtId="4" fontId="47" fillId="6" borderId="11" xfId="119" applyNumberFormat="1" applyFont="1" applyFill="1" applyBorder="1" applyAlignment="1">
      <alignment horizontal="right" vertical="top"/>
    </xf>
    <xf numFmtId="0" fontId="2" fillId="3" borderId="11" xfId="119" applyFill="1" applyBorder="1" applyAlignment="1">
      <alignment vertical="top" wrapText="1"/>
    </xf>
    <xf numFmtId="0" fontId="2" fillId="3" borderId="11" xfId="119" applyFill="1" applyBorder="1" applyAlignment="1">
      <alignment horizontal="center" vertical="top"/>
    </xf>
    <xf numFmtId="4" fontId="2" fillId="3" borderId="11" xfId="119" applyNumberFormat="1" applyFill="1" applyBorder="1" applyAlignment="1">
      <alignment vertical="top"/>
    </xf>
    <xf numFmtId="0" fontId="48" fillId="3" borderId="11" xfId="119" applyFont="1" applyFill="1" applyBorder="1" applyAlignment="1">
      <alignment vertical="top" wrapText="1"/>
    </xf>
    <xf numFmtId="0" fontId="48" fillId="3" borderId="11" xfId="119" applyFont="1" applyFill="1" applyBorder="1" applyAlignment="1">
      <alignment horizontal="center" vertical="top"/>
    </xf>
    <xf numFmtId="4" fontId="48" fillId="3" borderId="11" xfId="119" applyNumberFormat="1" applyFont="1" applyFill="1" applyBorder="1" applyAlignment="1">
      <alignment vertical="top"/>
    </xf>
    <xf numFmtId="0" fontId="28" fillId="6" borderId="17" xfId="119" applyFont="1" applyFill="1" applyBorder="1" applyAlignment="1">
      <alignment vertical="top" wrapText="1"/>
    </xf>
    <xf numFmtId="0" fontId="47" fillId="6" borderId="17" xfId="119" applyFont="1" applyFill="1" applyBorder="1" applyAlignment="1">
      <alignment vertical="top" wrapText="1"/>
    </xf>
    <xf numFmtId="0" fontId="28" fillId="0" borderId="11" xfId="119" applyFont="1" applyBorder="1" applyAlignment="1">
      <alignment horizontal="left" vertical="top"/>
    </xf>
    <xf numFmtId="0" fontId="28" fillId="0" borderId="11" xfId="119" applyFont="1" applyBorder="1" applyAlignment="1">
      <alignment vertical="top"/>
    </xf>
    <xf numFmtId="0" fontId="28" fillId="0" borderId="11" xfId="119" applyFont="1" applyBorder="1" applyAlignment="1">
      <alignment horizontal="center" vertical="top"/>
    </xf>
    <xf numFmtId="0" fontId="28" fillId="0" borderId="9" xfId="119" applyFont="1" applyBorder="1" applyAlignment="1">
      <alignment horizontal="center" vertical="top"/>
    </xf>
    <xf numFmtId="4" fontId="2" fillId="0" borderId="10" xfId="119" applyNumberFormat="1" applyBorder="1" applyAlignment="1">
      <alignment horizontal="right" vertical="top"/>
    </xf>
    <xf numFmtId="4" fontId="2" fillId="0" borderId="10" xfId="119" applyNumberFormat="1" applyBorder="1" applyAlignment="1">
      <alignment vertical="top"/>
    </xf>
    <xf numFmtId="4" fontId="2" fillId="0" borderId="8" xfId="119" applyNumberFormat="1" applyBorder="1" applyAlignment="1">
      <alignment horizontal="right" vertical="top"/>
    </xf>
    <xf numFmtId="4" fontId="28" fillId="0" borderId="11" xfId="119" applyNumberFormat="1" applyFont="1" applyBorder="1" applyAlignment="1">
      <alignment horizontal="right" vertical="top"/>
    </xf>
    <xf numFmtId="0" fontId="47" fillId="0" borderId="11" xfId="119" applyFont="1" applyBorder="1" applyAlignment="1">
      <alignment horizontal="left" vertical="top"/>
    </xf>
    <xf numFmtId="0" fontId="47" fillId="0" borderId="11" xfId="119" applyFont="1" applyBorder="1" applyAlignment="1">
      <alignment vertical="top"/>
    </xf>
    <xf numFmtId="179" fontId="47" fillId="0" borderId="11" xfId="119" applyNumberFormat="1" applyFont="1" applyBorder="1" applyAlignment="1">
      <alignment horizontal="center" vertical="top"/>
    </xf>
    <xf numFmtId="0" fontId="47" fillId="0" borderId="9" xfId="119" applyFont="1" applyBorder="1" applyAlignment="1">
      <alignment horizontal="center" vertical="top"/>
    </xf>
    <xf numFmtId="4" fontId="48" fillId="0" borderId="10" xfId="119" applyNumberFormat="1" applyFont="1" applyBorder="1" applyAlignment="1">
      <alignment horizontal="right" vertical="top"/>
    </xf>
    <xf numFmtId="4" fontId="48" fillId="0" borderId="10" xfId="119" applyNumberFormat="1" applyFont="1" applyBorder="1" applyAlignment="1">
      <alignment vertical="top"/>
    </xf>
    <xf numFmtId="4" fontId="48" fillId="0" borderId="8" xfId="119" applyNumberFormat="1" applyFont="1" applyBorder="1" applyAlignment="1">
      <alignment horizontal="right" vertical="top"/>
    </xf>
    <xf numFmtId="4" fontId="47" fillId="0" borderId="11" xfId="119" applyNumberFormat="1" applyFont="1" applyBorder="1" applyAlignment="1">
      <alignment horizontal="right" vertical="top"/>
    </xf>
    <xf numFmtId="179" fontId="47" fillId="8" borderId="11" xfId="119" applyNumberFormat="1" applyFont="1" applyFill="1" applyBorder="1" applyAlignment="1">
      <alignment horizontal="center" vertical="top"/>
    </xf>
    <xf numFmtId="0" fontId="48" fillId="8" borderId="11" xfId="119" applyFont="1" applyFill="1" applyBorder="1" applyAlignment="1">
      <alignment horizontal="right" vertical="top"/>
    </xf>
    <xf numFmtId="0" fontId="48" fillId="8" borderId="11" xfId="119" applyFont="1" applyFill="1" applyBorder="1" applyAlignment="1">
      <alignment vertical="top"/>
    </xf>
    <xf numFmtId="4" fontId="28" fillId="2" borderId="11" xfId="119" applyNumberFormat="1" applyFont="1" applyFill="1" applyBorder="1" applyAlignment="1">
      <alignment vertical="top"/>
    </xf>
    <xf numFmtId="4" fontId="28" fillId="2" borderId="11" xfId="119" applyNumberFormat="1" applyFont="1" applyFill="1" applyBorder="1" applyAlignment="1">
      <alignment vertical="top" wrapText="1"/>
    </xf>
    <xf numFmtId="4" fontId="47" fillId="2" borderId="11" xfId="119" applyNumberFormat="1" applyFont="1" applyFill="1" applyBorder="1" applyAlignment="1">
      <alignment vertical="top" wrapText="1"/>
    </xf>
    <xf numFmtId="0" fontId="2" fillId="3" borderId="11" xfId="119" applyFill="1" applyBorder="1" applyAlignment="1">
      <alignment horizontal="left" vertical="top"/>
    </xf>
    <xf numFmtId="0" fontId="48" fillId="3" borderId="11" xfId="119" applyFont="1" applyFill="1" applyBorder="1" applyAlignment="1">
      <alignment horizontal="left" vertical="top"/>
    </xf>
    <xf numFmtId="179" fontId="48" fillId="3" borderId="11" xfId="119" applyNumberFormat="1" applyFont="1" applyFill="1" applyBorder="1" applyAlignment="1">
      <alignment horizontal="center" vertical="top"/>
    </xf>
    <xf numFmtId="0" fontId="2" fillId="0" borderId="6" xfId="119" applyBorder="1" applyAlignment="1">
      <alignment horizontal="left" vertical="top"/>
    </xf>
    <xf numFmtId="0" fontId="2" fillId="0" borderId="6" xfId="119" applyBorder="1" applyAlignment="1">
      <alignment horizontal="center" vertical="top"/>
    </xf>
    <xf numFmtId="0" fontId="48" fillId="0" borderId="6" xfId="119" applyFont="1" applyBorder="1" applyAlignment="1">
      <alignment horizontal="left" vertical="top"/>
    </xf>
    <xf numFmtId="179" fontId="48" fillId="0" borderId="6" xfId="119" applyNumberFormat="1" applyFont="1" applyBorder="1" applyAlignment="1">
      <alignment horizontal="center" vertical="top"/>
    </xf>
    <xf numFmtId="0" fontId="28" fillId="2" borderId="11" xfId="119" applyFont="1" applyFill="1" applyBorder="1" applyAlignment="1">
      <alignment vertical="top" wrapText="1"/>
    </xf>
    <xf numFmtId="0" fontId="47" fillId="2" borderId="11" xfId="119" applyFont="1" applyFill="1" applyBorder="1" applyAlignment="1">
      <alignment vertical="top" wrapText="1"/>
    </xf>
    <xf numFmtId="0" fontId="28" fillId="2" borderId="30" xfId="119" applyFont="1" applyFill="1" applyBorder="1" applyAlignment="1">
      <alignment vertical="top" wrapText="1"/>
    </xf>
    <xf numFmtId="0" fontId="47" fillId="2" borderId="30" xfId="119" applyFont="1" applyFill="1" applyBorder="1" applyAlignment="1">
      <alignment vertical="top" wrapText="1"/>
    </xf>
    <xf numFmtId="4" fontId="49" fillId="0" borderId="11" xfId="119" applyNumberFormat="1" applyFont="1" applyBorder="1" applyAlignment="1">
      <alignment vertical="top"/>
    </xf>
    <xf numFmtId="0" fontId="28" fillId="0" borderId="11" xfId="119" applyFont="1" applyBorder="1" applyAlignment="1">
      <alignment horizontal="left" vertical="center"/>
    </xf>
    <xf numFmtId="0" fontId="47" fillId="0" borderId="11" xfId="119" applyFont="1" applyBorder="1" applyAlignment="1">
      <alignment horizontal="left" vertical="center"/>
    </xf>
    <xf numFmtId="4" fontId="48" fillId="0" borderId="0" xfId="119" applyNumberFormat="1" applyFont="1" applyAlignment="1">
      <alignment vertical="center"/>
    </xf>
    <xf numFmtId="4" fontId="28" fillId="0" borderId="0" xfId="119" applyNumberFormat="1" applyFont="1" applyAlignment="1">
      <alignment horizontal="right" vertical="center"/>
    </xf>
    <xf numFmtId="0" fontId="2" fillId="0" borderId="0" xfId="119" applyAlignment="1">
      <alignment horizontal="center" vertical="center" wrapText="1"/>
    </xf>
    <xf numFmtId="3" fontId="2" fillId="0" borderId="0" xfId="119" applyNumberFormat="1" applyAlignment="1">
      <alignment horizontal="right" vertical="center"/>
    </xf>
    <xf numFmtId="4" fontId="28" fillId="2" borderId="11" xfId="119" applyNumberFormat="1" applyFont="1" applyFill="1" applyBorder="1" applyAlignment="1">
      <alignment vertical="center"/>
    </xf>
    <xf numFmtId="4" fontId="47" fillId="0" borderId="0" xfId="119" applyNumberFormat="1" applyFont="1" applyAlignment="1">
      <alignment vertical="center"/>
    </xf>
    <xf numFmtId="4" fontId="47" fillId="0" borderId="17" xfId="0" applyNumberFormat="1" applyFont="1" applyBorder="1" applyAlignment="1">
      <alignment horizontal="right" vertical="center"/>
    </xf>
    <xf numFmtId="4" fontId="2" fillId="8" borderId="11" xfId="119" applyNumberFormat="1" applyFill="1" applyBorder="1" applyAlignment="1">
      <alignment vertical="top"/>
    </xf>
    <xf numFmtId="49" fontId="48" fillId="8" borderId="11" xfId="119" applyNumberFormat="1" applyFont="1" applyFill="1" applyBorder="1" applyAlignment="1">
      <alignment vertical="top"/>
    </xf>
    <xf numFmtId="4" fontId="2" fillId="2" borderId="11" xfId="119" applyNumberFormat="1" applyFill="1" applyBorder="1" applyAlignment="1">
      <alignment vertical="top"/>
    </xf>
    <xf numFmtId="4" fontId="48" fillId="2" borderId="11" xfId="119" applyNumberFormat="1" applyFont="1" applyFill="1" applyBorder="1" applyAlignment="1">
      <alignment vertical="top"/>
    </xf>
    <xf numFmtId="4" fontId="48" fillId="8" borderId="11" xfId="119" applyNumberFormat="1" applyFont="1" applyFill="1" applyBorder="1" applyAlignment="1">
      <alignment vertical="top"/>
    </xf>
    <xf numFmtId="180" fontId="48" fillId="2" borderId="11" xfId="119" applyNumberFormat="1" applyFont="1" applyFill="1" applyBorder="1" applyAlignment="1">
      <alignment vertical="top"/>
    </xf>
    <xf numFmtId="4" fontId="2" fillId="0" borderId="11" xfId="119" applyNumberFormat="1" applyBorder="1" applyAlignment="1">
      <alignment vertical="center"/>
    </xf>
    <xf numFmtId="4" fontId="48" fillId="0" borderId="11" xfId="119" applyNumberFormat="1" applyFont="1" applyBorder="1" applyAlignment="1">
      <alignment vertical="center"/>
    </xf>
    <xf numFmtId="4" fontId="57" fillId="0" borderId="0" xfId="119" applyNumberFormat="1" applyFont="1" applyAlignment="1">
      <alignment vertical="center"/>
    </xf>
    <xf numFmtId="4" fontId="28" fillId="0" borderId="0" xfId="119" applyNumberFormat="1" applyFont="1" applyAlignment="1">
      <alignment vertical="center"/>
    </xf>
    <xf numFmtId="0" fontId="58" fillId="0" borderId="0" xfId="119" applyFont="1" applyAlignment="1">
      <alignment vertical="center"/>
    </xf>
    <xf numFmtId="10" fontId="59" fillId="0" borderId="0" xfId="120" applyNumberFormat="1" applyFont="1" applyAlignment="1">
      <alignment horizontal="center" vertical="center"/>
    </xf>
    <xf numFmtId="0" fontId="58" fillId="0" borderId="0" xfId="119" applyFont="1" applyAlignment="1">
      <alignment horizontal="left" vertical="center"/>
    </xf>
    <xf numFmtId="4" fontId="60" fillId="0" borderId="11" xfId="119" applyNumberFormat="1" applyFont="1" applyBorder="1" applyAlignment="1">
      <alignment horizontal="right" vertical="top"/>
    </xf>
    <xf numFmtId="3" fontId="28" fillId="4" borderId="0" xfId="119" applyNumberFormat="1" applyFont="1" applyFill="1" applyAlignment="1">
      <alignment horizontal="center" vertical="center"/>
    </xf>
    <xf numFmtId="165" fontId="55" fillId="0" borderId="31" xfId="119" applyNumberFormat="1" applyFont="1" applyBorder="1" applyAlignment="1">
      <alignment horizontal="center" vertical="center"/>
    </xf>
    <xf numFmtId="181" fontId="47" fillId="2" borderId="36" xfId="119" applyNumberFormat="1" applyFont="1" applyFill="1" applyBorder="1" applyAlignment="1">
      <alignment horizontal="center" vertical="center"/>
    </xf>
    <xf numFmtId="165" fontId="60" fillId="0" borderId="17" xfId="119" applyNumberFormat="1" applyFont="1" applyBorder="1" applyAlignment="1">
      <alignment horizontal="right" vertical="center"/>
    </xf>
    <xf numFmtId="4" fontId="60" fillId="0" borderId="11" xfId="119" applyNumberFormat="1" applyFont="1" applyBorder="1" applyAlignment="1">
      <alignment horizontal="right" vertical="center"/>
    </xf>
    <xf numFmtId="43" fontId="25" fillId="0" borderId="0" xfId="2" applyFont="1" applyAlignment="1">
      <alignment vertical="top"/>
    </xf>
    <xf numFmtId="0" fontId="2" fillId="0" borderId="11" xfId="119" applyBorder="1" applyAlignment="1">
      <alignment horizontal="right" vertical="top"/>
    </xf>
    <xf numFmtId="0" fontId="48" fillId="0" borderId="11" xfId="119" applyFont="1" applyBorder="1" applyAlignment="1">
      <alignment horizontal="right" vertical="top"/>
    </xf>
    <xf numFmtId="1" fontId="2" fillId="0" borderId="30" xfId="119" applyNumberFormat="1" applyBorder="1" applyAlignment="1">
      <alignment horizontal="center" vertical="center"/>
    </xf>
    <xf numFmtId="1" fontId="48" fillId="0" borderId="30" xfId="119" applyNumberFormat="1" applyFont="1" applyBorder="1" applyAlignment="1">
      <alignment horizontal="center" vertical="center"/>
    </xf>
    <xf numFmtId="1" fontId="2" fillId="0" borderId="30" xfId="119" applyNumberFormat="1" applyBorder="1" applyAlignment="1">
      <alignment horizontal="left" vertical="center"/>
    </xf>
    <xf numFmtId="1" fontId="48" fillId="0" borderId="30" xfId="119" applyNumberFormat="1" applyFont="1" applyBorder="1" applyAlignment="1">
      <alignment horizontal="left" vertical="center"/>
    </xf>
    <xf numFmtId="1" fontId="48" fillId="0" borderId="31" xfId="119" applyNumberFormat="1" applyFont="1" applyBorder="1" applyAlignment="1">
      <alignment horizontal="center" vertical="center"/>
    </xf>
    <xf numFmtId="4" fontId="60" fillId="0" borderId="0" xfId="119" applyNumberFormat="1" applyFont="1" applyAlignment="1">
      <alignment horizontal="right" vertical="center"/>
    </xf>
    <xf numFmtId="10" fontId="56" fillId="0" borderId="17" xfId="120" applyNumberFormat="1" applyFont="1" applyBorder="1" applyAlignment="1">
      <alignment horizontal="center" vertical="center"/>
    </xf>
    <xf numFmtId="10" fontId="56" fillId="2" borderId="17" xfId="120" applyNumberFormat="1" applyFont="1" applyFill="1" applyBorder="1" applyAlignment="1">
      <alignment horizontal="center" vertical="center"/>
    </xf>
    <xf numFmtId="176" fontId="48" fillId="2" borderId="11" xfId="119" applyNumberFormat="1" applyFont="1" applyFill="1" applyBorder="1" applyAlignment="1">
      <alignment vertical="top"/>
    </xf>
    <xf numFmtId="4" fontId="65" fillId="0" borderId="16" xfId="0" applyNumberFormat="1" applyFont="1" applyBorder="1" applyAlignment="1">
      <alignment vertical="center"/>
    </xf>
    <xf numFmtId="4" fontId="67" fillId="0" borderId="15" xfId="0" applyNumberFormat="1" applyFont="1" applyBorder="1" applyAlignment="1">
      <alignment vertical="center"/>
    </xf>
    <xf numFmtId="4" fontId="67" fillId="0" borderId="21" xfId="0" applyNumberFormat="1" applyFont="1" applyBorder="1" applyAlignment="1">
      <alignment vertical="center"/>
    </xf>
    <xf numFmtId="0" fontId="25" fillId="0" borderId="0" xfId="0" applyFont="1" applyAlignment="1">
      <alignment horizontal="center" vertical="top"/>
    </xf>
    <xf numFmtId="165" fontId="25" fillId="0" borderId="0" xfId="0" applyNumberFormat="1" applyFont="1">
      <alignment vertical="top"/>
    </xf>
    <xf numFmtId="0" fontId="61" fillId="0" borderId="0" xfId="0" applyFont="1" applyAlignment="1">
      <alignment vertical="center"/>
    </xf>
    <xf numFmtId="0" fontId="25" fillId="0" borderId="0" xfId="0" applyFont="1" applyAlignment="1">
      <alignment horizontal="center" vertical="center"/>
    </xf>
    <xf numFmtId="0" fontId="62" fillId="0" borderId="2" xfId="0" applyFont="1" applyBorder="1" applyAlignment="1">
      <alignment horizontal="center" vertical="center"/>
    </xf>
    <xf numFmtId="0" fontId="63" fillId="5" borderId="11" xfId="0" applyFont="1" applyFill="1" applyBorder="1" applyAlignment="1">
      <alignment horizontal="center" vertical="center"/>
    </xf>
    <xf numFmtId="0" fontId="25" fillId="5" borderId="11" xfId="0" applyFont="1" applyFill="1" applyBorder="1" applyAlignment="1">
      <alignment vertical="center"/>
    </xf>
    <xf numFmtId="17" fontId="63" fillId="5" borderId="11" xfId="0" applyNumberFormat="1" applyFont="1" applyFill="1" applyBorder="1" applyAlignment="1">
      <alignment horizontal="center" vertical="center"/>
    </xf>
    <xf numFmtId="0" fontId="25" fillId="0" borderId="5" xfId="0" applyFont="1" applyBorder="1" applyAlignment="1">
      <alignment horizontal="center" vertical="top"/>
    </xf>
    <xf numFmtId="0" fontId="64" fillId="0" borderId="16" xfId="0" applyFont="1" applyBorder="1" applyAlignment="1">
      <alignment horizontal="center" vertical="center"/>
    </xf>
    <xf numFmtId="0" fontId="63" fillId="0" borderId="11" xfId="0" applyFont="1" applyBorder="1" applyAlignment="1">
      <alignment horizontal="center" vertical="center"/>
    </xf>
    <xf numFmtId="4" fontId="65" fillId="0" borderId="1" xfId="0" applyNumberFormat="1" applyFont="1" applyBorder="1" applyAlignment="1">
      <alignment vertical="center"/>
    </xf>
    <xf numFmtId="4" fontId="65" fillId="0" borderId="16" xfId="0" applyNumberFormat="1" applyFont="1" applyBorder="1" applyAlignment="1">
      <alignment horizontal="center" vertical="center"/>
    </xf>
    <xf numFmtId="0" fontId="66" fillId="0" borderId="15" xfId="0" applyFont="1" applyBorder="1" applyAlignment="1">
      <alignment horizontal="center" vertical="center"/>
    </xf>
    <xf numFmtId="0" fontId="66" fillId="0" borderId="11" xfId="0" applyFont="1" applyBorder="1" applyAlignment="1">
      <alignment horizontal="center" vertical="center"/>
    </xf>
    <xf numFmtId="4" fontId="68" fillId="0" borderId="15" xfId="0" applyNumberFormat="1" applyFont="1" applyFill="1" applyBorder="1" applyAlignment="1">
      <alignment vertical="center"/>
    </xf>
    <xf numFmtId="4" fontId="68" fillId="0" borderId="15" xfId="0" applyNumberFormat="1" applyFont="1" applyBorder="1" applyAlignment="1">
      <alignment vertical="center"/>
    </xf>
    <xf numFmtId="0" fontId="64" fillId="0" borderId="11" xfId="0" applyFont="1" applyBorder="1" applyAlignment="1">
      <alignment horizontal="center" vertical="center"/>
    </xf>
    <xf numFmtId="0" fontId="66" fillId="0" borderId="21" xfId="0" applyFont="1" applyBorder="1" applyAlignment="1">
      <alignment horizontal="center" vertical="center"/>
    </xf>
    <xf numFmtId="0" fontId="66" fillId="0" borderId="6" xfId="0" applyFont="1" applyBorder="1" applyAlignment="1">
      <alignment horizontal="center" vertical="center"/>
    </xf>
    <xf numFmtId="4" fontId="68" fillId="0" borderId="21" xfId="0" applyNumberFormat="1" applyFont="1" applyFill="1" applyBorder="1" applyAlignment="1">
      <alignment vertical="center"/>
    </xf>
    <xf numFmtId="0" fontId="64" fillId="0" borderId="23" xfId="0" applyFont="1" applyBorder="1" applyAlignment="1">
      <alignment horizontal="center" vertical="center"/>
    </xf>
    <xf numFmtId="0" fontId="64" fillId="0" borderId="24" xfId="0" applyFont="1" applyBorder="1" applyAlignment="1">
      <alignment horizontal="center" vertical="center"/>
    </xf>
    <xf numFmtId="4" fontId="65" fillId="0" borderId="25" xfId="0" applyNumberFormat="1" applyFont="1" applyBorder="1" applyAlignment="1">
      <alignment vertical="center"/>
    </xf>
    <xf numFmtId="0" fontId="66" fillId="0" borderId="27" xfId="0" applyFont="1" applyBorder="1" applyAlignment="1">
      <alignment horizontal="center" vertical="center"/>
    </xf>
    <xf numFmtId="0" fontId="66" fillId="0" borderId="28" xfId="0" applyFont="1" applyBorder="1" applyAlignment="1">
      <alignment horizontal="center" vertical="center"/>
    </xf>
    <xf numFmtId="4" fontId="67" fillId="0" borderId="29" xfId="0" applyNumberFormat="1" applyFont="1" applyBorder="1" applyAlignment="1">
      <alignment vertical="center"/>
    </xf>
    <xf numFmtId="0" fontId="64" fillId="0" borderId="19" xfId="0" applyFont="1" applyBorder="1" applyAlignment="1">
      <alignment horizontal="center" vertical="center"/>
    </xf>
    <xf numFmtId="0" fontId="64" fillId="0" borderId="7" xfId="0" applyFont="1" applyBorder="1" applyAlignment="1">
      <alignment horizontal="center" vertical="center"/>
    </xf>
    <xf numFmtId="4" fontId="65" fillId="0" borderId="20" xfId="0" applyNumberFormat="1" applyFont="1" applyBorder="1" applyAlignment="1">
      <alignment vertical="center"/>
    </xf>
    <xf numFmtId="4" fontId="67" fillId="0" borderId="3" xfId="0" applyNumberFormat="1" applyFont="1" applyBorder="1" applyAlignment="1">
      <alignment vertical="center"/>
    </xf>
    <xf numFmtId="4" fontId="25" fillId="0" borderId="0" xfId="0" applyNumberFormat="1" applyFont="1">
      <alignment vertical="top"/>
    </xf>
    <xf numFmtId="0" fontId="70" fillId="0" borderId="0" xfId="1" applyFont="1">
      <alignment vertical="top"/>
    </xf>
    <xf numFmtId="0" fontId="25" fillId="0" borderId="0" xfId="0" applyFont="1" applyAlignment="1">
      <alignment vertical="top"/>
    </xf>
    <xf numFmtId="0" fontId="25" fillId="0" borderId="12" xfId="0" applyFont="1" applyBorder="1">
      <alignment vertical="top"/>
    </xf>
    <xf numFmtId="178" fontId="2" fillId="0" borderId="11" xfId="119" applyNumberFormat="1" applyBorder="1" applyAlignment="1">
      <alignment horizontal="right" vertical="top"/>
    </xf>
    <xf numFmtId="178" fontId="48" fillId="0" borderId="11" xfId="119" applyNumberFormat="1" applyFont="1" applyBorder="1" applyAlignment="1">
      <alignment horizontal="right" vertical="top"/>
    </xf>
    <xf numFmtId="181" fontId="2" fillId="0" borderId="11" xfId="119" applyNumberFormat="1" applyBorder="1" applyAlignment="1">
      <alignment horizontal="right" vertical="top"/>
    </xf>
    <xf numFmtId="181" fontId="48" fillId="0" borderId="11" xfId="119" applyNumberFormat="1" applyFont="1" applyBorder="1" applyAlignment="1">
      <alignment horizontal="right" vertical="top"/>
    </xf>
    <xf numFmtId="165" fontId="48" fillId="0" borderId="0" xfId="123" applyFont="1" applyAlignment="1">
      <alignment vertical="center"/>
    </xf>
    <xf numFmtId="165" fontId="2" fillId="0" borderId="0" xfId="119" applyNumberFormat="1" applyAlignment="1">
      <alignment vertical="center"/>
    </xf>
    <xf numFmtId="165" fontId="48" fillId="0" borderId="0" xfId="119" applyNumberFormat="1" applyFont="1" applyAlignment="1">
      <alignment horizontal="right" vertical="center"/>
    </xf>
    <xf numFmtId="4" fontId="60" fillId="0" borderId="30" xfId="119" applyNumberFormat="1" applyFont="1" applyBorder="1" applyAlignment="1">
      <alignment horizontal="right" vertical="center"/>
    </xf>
    <xf numFmtId="2" fontId="2" fillId="0" borderId="0" xfId="119" applyNumberFormat="1" applyAlignment="1">
      <alignment horizontal="center" vertical="center"/>
    </xf>
    <xf numFmtId="2" fontId="60" fillId="0" borderId="0" xfId="119" applyNumberFormat="1" applyFont="1" applyAlignment="1">
      <alignment horizontal="center" vertical="center"/>
    </xf>
    <xf numFmtId="179" fontId="60" fillId="0" borderId="11" xfId="119" applyNumberFormat="1" applyFont="1" applyBorder="1" applyAlignment="1">
      <alignment horizontal="center" vertical="top"/>
    </xf>
    <xf numFmtId="0" fontId="60" fillId="0" borderId="11" xfId="119" applyFont="1" applyBorder="1" applyAlignment="1">
      <alignment horizontal="center" vertical="top"/>
    </xf>
    <xf numFmtId="0" fontId="59" fillId="0" borderId="0" xfId="119" applyFont="1" applyAlignment="1">
      <alignment horizontal="center" vertical="center"/>
    </xf>
    <xf numFmtId="10" fontId="47" fillId="0" borderId="17" xfId="122" applyNumberFormat="1" applyFont="1" applyBorder="1" applyAlignment="1">
      <alignment horizontal="center" vertical="center"/>
    </xf>
    <xf numFmtId="0" fontId="25" fillId="0" borderId="4" xfId="0" applyFont="1" applyBorder="1">
      <alignment vertical="top"/>
    </xf>
    <xf numFmtId="0" fontId="25" fillId="0" borderId="0" xfId="0" applyFont="1" applyBorder="1">
      <alignment vertical="top"/>
    </xf>
    <xf numFmtId="0" fontId="25" fillId="0" borderId="5" xfId="0" applyFont="1" applyBorder="1">
      <alignment vertical="top"/>
    </xf>
    <xf numFmtId="0" fontId="25" fillId="0" borderId="44" xfId="0" applyFont="1" applyBorder="1">
      <alignment vertical="top"/>
    </xf>
    <xf numFmtId="0" fontId="25" fillId="0" borderId="2" xfId="0" applyFont="1" applyBorder="1">
      <alignment vertical="top"/>
    </xf>
    <xf numFmtId="0" fontId="25" fillId="0" borderId="45" xfId="0" applyFont="1" applyBorder="1">
      <alignment vertical="top"/>
    </xf>
    <xf numFmtId="183" fontId="48" fillId="4" borderId="17" xfId="119" applyNumberFormat="1" applyFont="1" applyFill="1" applyBorder="1" applyAlignment="1">
      <alignment horizontal="right" vertical="center"/>
    </xf>
    <xf numFmtId="180" fontId="47" fillId="2" borderId="31" xfId="119" applyNumberFormat="1" applyFont="1" applyFill="1" applyBorder="1" applyAlignment="1">
      <alignment horizontal="center" vertical="center"/>
    </xf>
    <xf numFmtId="180" fontId="47" fillId="2" borderId="32" xfId="119" applyNumberFormat="1" applyFont="1" applyFill="1" applyBorder="1" applyAlignment="1">
      <alignment horizontal="center" vertical="center"/>
    </xf>
    <xf numFmtId="10" fontId="47" fillId="6" borderId="34" xfId="120" applyNumberFormat="1" applyFont="1" applyFill="1" applyBorder="1" applyAlignment="1">
      <alignment horizontal="center" vertical="center"/>
    </xf>
    <xf numFmtId="1" fontId="56" fillId="4" borderId="46" xfId="119" applyNumberFormat="1" applyFont="1" applyFill="1" applyBorder="1" applyAlignment="1">
      <alignment horizontal="center" vertical="center" wrapText="1"/>
    </xf>
    <xf numFmtId="0" fontId="2" fillId="4" borderId="46" xfId="119" applyFill="1" applyBorder="1" applyAlignment="1">
      <alignment vertical="center"/>
    </xf>
    <xf numFmtId="4" fontId="2" fillId="4" borderId="46" xfId="119" applyNumberFormat="1" applyFill="1" applyBorder="1" applyAlignment="1">
      <alignment vertical="center"/>
    </xf>
    <xf numFmtId="3" fontId="28" fillId="4" borderId="46" xfId="119" applyNumberFormat="1" applyFont="1" applyFill="1" applyBorder="1" applyAlignment="1">
      <alignment horizontal="right" vertical="center"/>
    </xf>
    <xf numFmtId="9" fontId="48" fillId="0" borderId="0" xfId="122" applyFont="1" applyAlignment="1">
      <alignment vertical="center"/>
    </xf>
    <xf numFmtId="4" fontId="28" fillId="4" borderId="47" xfId="119" applyNumberFormat="1" applyFont="1" applyFill="1" applyBorder="1" applyAlignment="1">
      <alignment horizontal="center" vertical="center"/>
    </xf>
    <xf numFmtId="4" fontId="28" fillId="4" borderId="48" xfId="119" applyNumberFormat="1" applyFont="1" applyFill="1" applyBorder="1" applyAlignment="1">
      <alignment horizontal="center" vertical="center"/>
    </xf>
    <xf numFmtId="0" fontId="63" fillId="0" borderId="0" xfId="0" applyFont="1" applyBorder="1" applyAlignment="1">
      <alignment horizontal="center"/>
    </xf>
    <xf numFmtId="0" fontId="63" fillId="0" borderId="0" xfId="0" applyFont="1" applyBorder="1" applyAlignment="1">
      <alignment horizontal="center" vertical="top"/>
    </xf>
    <xf numFmtId="9" fontId="58" fillId="0" borderId="0" xfId="122" applyFont="1" applyFill="1" applyAlignment="1">
      <alignment vertical="center"/>
    </xf>
    <xf numFmtId="180" fontId="48" fillId="0" borderId="17" xfId="119" applyNumberFormat="1" applyFont="1" applyBorder="1" applyAlignment="1">
      <alignment horizontal="right" vertical="center"/>
    </xf>
    <xf numFmtId="0" fontId="28" fillId="6" borderId="17" xfId="119" applyFont="1" applyFill="1" applyBorder="1" applyAlignment="1">
      <alignment horizontal="center" vertical="center"/>
    </xf>
    <xf numFmtId="0" fontId="47" fillId="6" borderId="17" xfId="119" applyFont="1" applyFill="1" applyBorder="1" applyAlignment="1">
      <alignment horizontal="center" vertical="center"/>
    </xf>
    <xf numFmtId="3" fontId="28" fillId="6" borderId="17" xfId="119" applyNumberFormat="1" applyFont="1" applyFill="1" applyBorder="1" applyAlignment="1">
      <alignment horizontal="center" vertical="center"/>
    </xf>
    <xf numFmtId="4" fontId="28" fillId="0" borderId="0" xfId="119" applyNumberFormat="1" applyFont="1" applyAlignment="1">
      <alignment horizontal="center" vertical="center"/>
    </xf>
    <xf numFmtId="3" fontId="28" fillId="0" borderId="0" xfId="119" applyNumberFormat="1" applyFont="1" applyAlignment="1">
      <alignment horizontal="center" vertical="center"/>
    </xf>
    <xf numFmtId="3" fontId="28" fillId="0" borderId="0" xfId="119" applyNumberFormat="1" applyFont="1" applyAlignment="1">
      <alignment horizontal="right" vertical="center"/>
    </xf>
    <xf numFmtId="10" fontId="47" fillId="0" borderId="0" xfId="120" applyNumberFormat="1" applyFont="1" applyFill="1" applyAlignment="1">
      <alignment horizontal="center" vertical="center"/>
    </xf>
    <xf numFmtId="165" fontId="47" fillId="0" borderId="0" xfId="120" applyNumberFormat="1" applyFont="1" applyFill="1" applyAlignment="1">
      <alignment horizontal="center" vertical="center"/>
    </xf>
    <xf numFmtId="0" fontId="2" fillId="0" borderId="17" xfId="119" applyBorder="1" applyAlignment="1">
      <alignment horizontal="left"/>
    </xf>
    <xf numFmtId="0" fontId="48" fillId="0" borderId="17" xfId="119" applyFont="1" applyBorder="1" applyAlignment="1">
      <alignment horizontal="left"/>
    </xf>
    <xf numFmtId="17" fontId="28" fillId="6" borderId="31" xfId="119" applyNumberFormat="1" applyFont="1" applyFill="1" applyBorder="1" applyAlignment="1">
      <alignment horizontal="center" vertical="center"/>
    </xf>
    <xf numFmtId="4" fontId="56" fillId="6" borderId="35" xfId="120" applyNumberFormat="1" applyFont="1" applyFill="1" applyBorder="1" applyAlignment="1">
      <alignment horizontal="right" vertical="center"/>
    </xf>
    <xf numFmtId="4" fontId="56" fillId="6" borderId="30" xfId="120" applyNumberFormat="1" applyFont="1" applyFill="1" applyBorder="1" applyAlignment="1">
      <alignment horizontal="right" vertical="center"/>
    </xf>
    <xf numFmtId="4" fontId="56" fillId="2" borderId="30" xfId="120" applyNumberFormat="1" applyFont="1" applyFill="1" applyBorder="1" applyAlignment="1">
      <alignment horizontal="right" vertical="center"/>
    </xf>
    <xf numFmtId="1" fontId="27" fillId="0" borderId="0" xfId="119" applyNumberFormat="1" applyFont="1" applyAlignment="1">
      <alignment vertical="center"/>
    </xf>
    <xf numFmtId="0" fontId="38" fillId="0" borderId="0" xfId="119" applyFont="1" applyAlignment="1">
      <alignment vertical="center"/>
    </xf>
    <xf numFmtId="4" fontId="27" fillId="0" borderId="0" xfId="119" applyNumberFormat="1" applyFont="1" applyAlignment="1">
      <alignment horizontal="left" vertical="center"/>
    </xf>
    <xf numFmtId="0" fontId="27" fillId="0" borderId="0" xfId="119" applyFont="1" applyAlignment="1">
      <alignment vertical="center"/>
    </xf>
    <xf numFmtId="0" fontId="27" fillId="0" borderId="0" xfId="119" applyFont="1" applyAlignment="1">
      <alignment horizontal="center" vertical="center"/>
    </xf>
    <xf numFmtId="9" fontId="27" fillId="0" borderId="0" xfId="122" applyFont="1" applyFill="1" applyBorder="1" applyAlignment="1">
      <alignment vertical="center"/>
    </xf>
    <xf numFmtId="1" fontId="28" fillId="0" borderId="0" xfId="119" applyNumberFormat="1" applyFont="1" applyAlignment="1">
      <alignment horizontal="center" vertical="center"/>
    </xf>
    <xf numFmtId="165" fontId="28" fillId="4" borderId="17" xfId="123" applyFont="1" applyFill="1" applyBorder="1" applyAlignment="1">
      <alignment horizontal="right" vertical="center"/>
    </xf>
    <xf numFmtId="9" fontId="28" fillId="0" borderId="0" xfId="122" applyFont="1" applyAlignment="1">
      <alignment vertical="center"/>
    </xf>
    <xf numFmtId="1" fontId="47" fillId="0" borderId="0" xfId="119" applyNumberFormat="1" applyFont="1" applyAlignment="1">
      <alignment horizontal="center" vertical="center"/>
    </xf>
    <xf numFmtId="165" fontId="47" fillId="4" borderId="17" xfId="119" applyNumberFormat="1" applyFont="1" applyFill="1" applyBorder="1" applyAlignment="1">
      <alignment horizontal="right" vertical="center"/>
    </xf>
    <xf numFmtId="0" fontId="47" fillId="0" borderId="0" xfId="119" applyFont="1" applyAlignment="1">
      <alignment horizontal="right" vertical="center"/>
    </xf>
    <xf numFmtId="9" fontId="47" fillId="0" borderId="0" xfId="122" applyFont="1" applyAlignment="1">
      <alignment vertical="center"/>
    </xf>
    <xf numFmtId="10" fontId="56" fillId="0" borderId="17" xfId="119" applyNumberFormat="1" applyFont="1" applyBorder="1" applyAlignment="1">
      <alignment horizontal="center" vertical="center"/>
    </xf>
    <xf numFmtId="10" fontId="56" fillId="0" borderId="17" xfId="119" quotePrefix="1" applyNumberFormat="1" applyFont="1" applyBorder="1" applyAlignment="1">
      <alignment horizontal="center" vertical="center"/>
    </xf>
    <xf numFmtId="180" fontId="48" fillId="0" borderId="0" xfId="119" applyNumberFormat="1" applyFont="1" applyAlignment="1">
      <alignment horizontal="right" vertical="center"/>
    </xf>
    <xf numFmtId="4" fontId="56" fillId="0" borderId="30" xfId="120" quotePrefix="1" applyNumberFormat="1" applyFont="1" applyBorder="1" applyAlignment="1">
      <alignment horizontal="right" vertical="center"/>
    </xf>
    <xf numFmtId="4" fontId="56" fillId="0" borderId="30" xfId="120" applyNumberFormat="1" applyFont="1" applyBorder="1" applyAlignment="1">
      <alignment horizontal="right" vertical="center"/>
    </xf>
    <xf numFmtId="4" fontId="56" fillId="0" borderId="30" xfId="119" applyNumberFormat="1" applyFont="1" applyBorder="1" applyAlignment="1">
      <alignment horizontal="right" vertical="center"/>
    </xf>
    <xf numFmtId="4" fontId="56" fillId="6" borderId="46" xfId="120" applyNumberFormat="1" applyFont="1" applyFill="1" applyBorder="1" applyAlignment="1">
      <alignment horizontal="right" vertical="center"/>
    </xf>
    <xf numFmtId="0" fontId="2" fillId="0" borderId="46" xfId="119" applyBorder="1" applyAlignment="1">
      <alignment vertical="center"/>
    </xf>
    <xf numFmtId="4" fontId="2" fillId="0" borderId="46" xfId="119" applyNumberFormat="1" applyBorder="1" applyAlignment="1">
      <alignment vertical="center"/>
    </xf>
    <xf numFmtId="165" fontId="48" fillId="0" borderId="46" xfId="123" applyFont="1" applyBorder="1" applyAlignment="1">
      <alignment vertical="center"/>
    </xf>
    <xf numFmtId="4" fontId="48" fillId="0" borderId="46" xfId="119" applyNumberFormat="1" applyFont="1" applyBorder="1" applyAlignment="1">
      <alignment vertical="center"/>
    </xf>
    <xf numFmtId="165" fontId="60" fillId="0" borderId="46" xfId="123" applyFont="1" applyBorder="1" applyAlignment="1">
      <alignment vertical="center"/>
    </xf>
    <xf numFmtId="0" fontId="60" fillId="0" borderId="46" xfId="119" applyFont="1" applyBorder="1" applyAlignment="1">
      <alignment vertical="center"/>
    </xf>
    <xf numFmtId="165" fontId="48" fillId="0" borderId="46" xfId="119" applyNumberFormat="1" applyFont="1" applyBorder="1" applyAlignment="1">
      <alignment vertical="center"/>
    </xf>
    <xf numFmtId="0" fontId="28" fillId="0" borderId="46" xfId="119" applyFont="1" applyBorder="1" applyAlignment="1">
      <alignment vertical="center"/>
    </xf>
    <xf numFmtId="4" fontId="28" fillId="0" borderId="46" xfId="119" applyNumberFormat="1" applyFont="1" applyBorder="1" applyAlignment="1">
      <alignment vertical="center"/>
    </xf>
    <xf numFmtId="4" fontId="56" fillId="0" borderId="46" xfId="120" applyNumberFormat="1" applyFont="1" applyBorder="1" applyAlignment="1">
      <alignment horizontal="right" vertical="center"/>
    </xf>
    <xf numFmtId="4" fontId="56" fillId="0" borderId="46" xfId="119" applyNumberFormat="1" applyFont="1" applyBorder="1" applyAlignment="1">
      <alignment vertical="center"/>
    </xf>
    <xf numFmtId="0" fontId="47" fillId="0" borderId="46" xfId="119" applyFont="1" applyBorder="1" applyAlignment="1">
      <alignment vertical="center"/>
    </xf>
    <xf numFmtId="4" fontId="47" fillId="0" borderId="46" xfId="119" applyNumberFormat="1" applyFont="1" applyBorder="1" applyAlignment="1">
      <alignment vertical="center"/>
    </xf>
    <xf numFmtId="4" fontId="56" fillId="2" borderId="46" xfId="120" applyNumberFormat="1" applyFont="1" applyFill="1" applyBorder="1" applyAlignment="1">
      <alignment horizontal="right" vertical="center"/>
    </xf>
    <xf numFmtId="0" fontId="48" fillId="0" borderId="46" xfId="119" applyFont="1" applyBorder="1" applyAlignment="1">
      <alignment vertical="center"/>
    </xf>
    <xf numFmtId="178" fontId="48" fillId="0" borderId="46" xfId="119" applyNumberFormat="1" applyFont="1" applyBorder="1" applyAlignment="1">
      <alignment vertical="center"/>
    </xf>
    <xf numFmtId="178" fontId="2" fillId="0" borderId="46" xfId="119" applyNumberFormat="1" applyBorder="1" applyAlignment="1">
      <alignment vertical="center"/>
    </xf>
    <xf numFmtId="184" fontId="56" fillId="6" borderId="46" xfId="120" applyNumberFormat="1" applyFont="1" applyFill="1" applyBorder="1" applyAlignment="1">
      <alignment horizontal="right" vertical="center"/>
    </xf>
    <xf numFmtId="4" fontId="56" fillId="2" borderId="46" xfId="119" applyNumberFormat="1" applyFont="1" applyFill="1" applyBorder="1" applyAlignment="1">
      <alignment horizontal="right" vertical="center"/>
    </xf>
    <xf numFmtId="184" fontId="48" fillId="0" borderId="46" xfId="119" applyNumberFormat="1" applyFont="1" applyBorder="1" applyAlignment="1">
      <alignment vertical="center"/>
    </xf>
    <xf numFmtId="179" fontId="47" fillId="0" borderId="9" xfId="119" applyNumberFormat="1" applyFont="1" applyBorder="1" applyAlignment="1">
      <alignment horizontal="center" vertical="top"/>
    </xf>
    <xf numFmtId="0" fontId="2" fillId="0" borderId="11" xfId="119" applyBorder="1" applyAlignment="1">
      <alignment horizontal="left" vertical="top" wrapText="1"/>
    </xf>
    <xf numFmtId="0" fontId="25" fillId="0" borderId="0" xfId="0" applyFont="1" applyFill="1" applyBorder="1">
      <alignment vertical="top"/>
    </xf>
    <xf numFmtId="0" fontId="63" fillId="0" borderId="0" xfId="0" applyFont="1" applyFill="1" applyBorder="1" applyAlignment="1">
      <alignment horizontal="center"/>
    </xf>
    <xf numFmtId="0" fontId="63" fillId="0" borderId="0" xfId="0" applyFont="1" applyFill="1" applyBorder="1" applyAlignment="1">
      <alignment horizontal="center" vertical="top"/>
    </xf>
    <xf numFmtId="0" fontId="2" fillId="11" borderId="0" xfId="119" applyFill="1" applyAlignment="1">
      <alignment vertical="center"/>
    </xf>
    <xf numFmtId="0" fontId="2" fillId="11" borderId="0" xfId="119" applyFill="1" applyAlignment="1">
      <alignment horizontal="center" vertical="center"/>
    </xf>
    <xf numFmtId="3" fontId="2" fillId="11" borderId="0" xfId="119" applyNumberFormat="1" applyFill="1" applyAlignment="1">
      <alignment horizontal="center" vertical="center"/>
    </xf>
    <xf numFmtId="0" fontId="48" fillId="11" borderId="0" xfId="119" applyFont="1" applyFill="1" applyAlignment="1">
      <alignment vertical="center"/>
    </xf>
    <xf numFmtId="0" fontId="48" fillId="11" borderId="0" xfId="119" applyFont="1" applyFill="1" applyAlignment="1">
      <alignment horizontal="center" vertical="center"/>
    </xf>
    <xf numFmtId="3" fontId="48" fillId="11" borderId="0" xfId="119" applyNumberFormat="1" applyFont="1" applyFill="1" applyAlignment="1">
      <alignment horizontal="center" vertical="center"/>
    </xf>
    <xf numFmtId="4" fontId="48" fillId="0" borderId="4" xfId="119" applyNumberFormat="1" applyFont="1" applyBorder="1" applyAlignment="1">
      <alignment vertical="center"/>
    </xf>
    <xf numFmtId="182" fontId="2" fillId="0" borderId="0" xfId="119" applyNumberFormat="1" applyAlignment="1">
      <alignment vertical="center"/>
    </xf>
    <xf numFmtId="182" fontId="2" fillId="0" borderId="0" xfId="119" applyNumberFormat="1" applyAlignment="1">
      <alignment horizontal="center" vertical="center"/>
    </xf>
    <xf numFmtId="0" fontId="2" fillId="0" borderId="4" xfId="119" applyBorder="1" applyAlignment="1">
      <alignment vertical="top"/>
    </xf>
    <xf numFmtId="4" fontId="2" fillId="0" borderId="0" xfId="119" applyNumberFormat="1" applyAlignment="1">
      <alignment vertical="top"/>
    </xf>
    <xf numFmtId="49" fontId="48" fillId="0" borderId="4" xfId="119" applyNumberFormat="1" applyFont="1" applyBorder="1" applyAlignment="1">
      <alignment horizontal="center" vertical="top"/>
    </xf>
    <xf numFmtId="4" fontId="48" fillId="0" borderId="0" xfId="119" applyNumberFormat="1" applyFont="1" applyAlignment="1">
      <alignment vertical="top"/>
    </xf>
    <xf numFmtId="4" fontId="28" fillId="0" borderId="4" xfId="119" applyNumberFormat="1" applyFont="1" applyBorder="1" applyAlignment="1">
      <alignment horizontal="right" vertical="top"/>
    </xf>
    <xf numFmtId="4" fontId="47" fillId="0" borderId="4" xfId="119" applyNumberFormat="1" applyFont="1" applyBorder="1" applyAlignment="1">
      <alignment vertical="top"/>
    </xf>
    <xf numFmtId="4" fontId="48" fillId="0" borderId="4" xfId="119" applyNumberFormat="1" applyFont="1" applyBorder="1" applyAlignment="1">
      <alignment horizontal="right" vertical="top"/>
    </xf>
    <xf numFmtId="182" fontId="2" fillId="0" borderId="0" xfId="119" applyNumberFormat="1" applyAlignment="1">
      <alignment vertical="top"/>
    </xf>
    <xf numFmtId="182" fontId="48" fillId="0" borderId="0" xfId="119" applyNumberFormat="1" applyFont="1" applyAlignment="1">
      <alignment vertical="top"/>
    </xf>
    <xf numFmtId="4" fontId="2" fillId="0" borderId="4" xfId="119" applyNumberFormat="1" applyBorder="1" applyAlignment="1">
      <alignment horizontal="right" vertical="top"/>
    </xf>
    <xf numFmtId="4" fontId="47" fillId="0" borderId="4" xfId="119" applyNumberFormat="1" applyFont="1" applyBorder="1" applyAlignment="1">
      <alignment horizontal="right" vertical="top"/>
    </xf>
    <xf numFmtId="0" fontId="48" fillId="0" borderId="4" xfId="119" applyFont="1" applyBorder="1" applyAlignment="1">
      <alignment vertical="top"/>
    </xf>
    <xf numFmtId="4" fontId="28" fillId="0" borderId="4" xfId="119" applyNumberFormat="1" applyFont="1" applyBorder="1" applyAlignment="1">
      <alignment vertical="top"/>
    </xf>
    <xf numFmtId="180" fontId="2" fillId="0" borderId="4" xfId="119" applyNumberFormat="1" applyBorder="1" applyAlignment="1">
      <alignment horizontal="right" vertical="top"/>
    </xf>
    <xf numFmtId="181" fontId="48" fillId="0" borderId="4" xfId="119" applyNumberFormat="1" applyFont="1" applyBorder="1" applyAlignment="1">
      <alignment horizontal="right" vertical="top"/>
    </xf>
    <xf numFmtId="4" fontId="28" fillId="0" borderId="4" xfId="119" applyNumberFormat="1" applyFont="1" applyBorder="1" applyAlignment="1">
      <alignment vertical="center"/>
    </xf>
    <xf numFmtId="4" fontId="47" fillId="0" borderId="4" xfId="119" applyNumberFormat="1" applyFont="1" applyBorder="1" applyAlignment="1">
      <alignment vertical="center"/>
    </xf>
    <xf numFmtId="0" fontId="48" fillId="0" borderId="4" xfId="119" applyFont="1" applyBorder="1" applyAlignment="1">
      <alignment vertical="center"/>
    </xf>
    <xf numFmtId="10" fontId="73" fillId="11" borderId="0" xfId="119" applyNumberFormat="1" applyFont="1" applyFill="1" applyAlignment="1">
      <alignment horizontal="center" vertical="center"/>
    </xf>
    <xf numFmtId="0" fontId="59" fillId="11" borderId="11" xfId="119" applyFont="1" applyFill="1" applyBorder="1" applyAlignment="1">
      <alignment horizontal="center" vertical="center"/>
    </xf>
    <xf numFmtId="0" fontId="58" fillId="11" borderId="11" xfId="119" applyFont="1" applyFill="1" applyBorder="1" applyAlignment="1">
      <alignment horizontal="left" vertical="center"/>
    </xf>
    <xf numFmtId="0" fontId="58" fillId="11" borderId="11" xfId="119" applyFont="1" applyFill="1" applyBorder="1" applyAlignment="1">
      <alignment vertical="center"/>
    </xf>
    <xf numFmtId="4" fontId="59" fillId="11" borderId="11" xfId="120" applyNumberFormat="1" applyFont="1" applyFill="1" applyBorder="1" applyAlignment="1">
      <alignment horizontal="center" vertical="center"/>
    </xf>
    <xf numFmtId="0" fontId="58" fillId="11" borderId="11" xfId="119" applyFont="1" applyFill="1" applyBorder="1" applyAlignment="1">
      <alignment horizontal="center" vertical="center"/>
    </xf>
    <xf numFmtId="10" fontId="59" fillId="11" borderId="11" xfId="122" applyNumberFormat="1" applyFont="1" applyFill="1" applyBorder="1" applyAlignment="1">
      <alignment vertical="center"/>
    </xf>
    <xf numFmtId="4" fontId="59" fillId="11" borderId="11" xfId="122" applyNumberFormat="1" applyFont="1" applyFill="1" applyBorder="1" applyAlignment="1">
      <alignment vertical="center"/>
    </xf>
    <xf numFmtId="0" fontId="59" fillId="10" borderId="11" xfId="119" applyFont="1" applyFill="1" applyBorder="1" applyAlignment="1">
      <alignment horizontal="center" vertical="center"/>
    </xf>
    <xf numFmtId="10" fontId="59" fillId="10" borderId="11" xfId="120" applyNumberFormat="1" applyFont="1" applyFill="1" applyBorder="1" applyAlignment="1">
      <alignment horizontal="center" vertical="center"/>
    </xf>
    <xf numFmtId="3" fontId="28" fillId="6" borderId="59" xfId="119" applyNumberFormat="1" applyFont="1" applyFill="1" applyBorder="1" applyAlignment="1">
      <alignment horizontal="center" vertical="center"/>
    </xf>
    <xf numFmtId="17" fontId="28" fillId="6" borderId="61" xfId="119" applyNumberFormat="1" applyFont="1" applyFill="1" applyBorder="1" applyAlignment="1">
      <alignment horizontal="center" vertical="center"/>
    </xf>
    <xf numFmtId="0" fontId="28" fillId="4" borderId="62" xfId="119" applyFont="1" applyFill="1" applyBorder="1" applyAlignment="1">
      <alignment vertical="center"/>
    </xf>
    <xf numFmtId="165" fontId="28" fillId="4" borderId="59" xfId="123" applyFont="1" applyFill="1" applyBorder="1" applyAlignment="1">
      <alignment horizontal="right" vertical="center"/>
    </xf>
    <xf numFmtId="0" fontId="47" fillId="4" borderId="62" xfId="119" applyFont="1" applyFill="1" applyBorder="1" applyAlignment="1">
      <alignment vertical="center"/>
    </xf>
    <xf numFmtId="165" fontId="47" fillId="4" borderId="59" xfId="119" applyNumberFormat="1" applyFont="1" applyFill="1" applyBorder="1" applyAlignment="1">
      <alignment horizontal="right" vertical="center"/>
    </xf>
    <xf numFmtId="0" fontId="2" fillId="11" borderId="4" xfId="119" applyFill="1" applyBorder="1" applyAlignment="1">
      <alignment horizontal="left" vertical="center"/>
    </xf>
    <xf numFmtId="3" fontId="2" fillId="11" borderId="5" xfId="119" applyNumberFormat="1" applyFill="1" applyBorder="1" applyAlignment="1">
      <alignment horizontal="center" vertical="center"/>
    </xf>
    <xf numFmtId="0" fontId="48" fillId="11" borderId="4" xfId="119" applyFont="1" applyFill="1" applyBorder="1" applyAlignment="1">
      <alignment horizontal="left" vertical="center"/>
    </xf>
    <xf numFmtId="3" fontId="48" fillId="11" borderId="5" xfId="119" applyNumberFormat="1" applyFont="1" applyFill="1" applyBorder="1" applyAlignment="1">
      <alignment horizontal="center" vertical="center"/>
    </xf>
    <xf numFmtId="0" fontId="48" fillId="11" borderId="44" xfId="119" applyFont="1" applyFill="1" applyBorder="1" applyAlignment="1">
      <alignment horizontal="left" vertical="center"/>
    </xf>
    <xf numFmtId="0" fontId="48" fillId="11" borderId="2" xfId="119" applyFont="1" applyFill="1" applyBorder="1" applyAlignment="1">
      <alignment vertical="center"/>
    </xf>
    <xf numFmtId="0" fontId="48" fillId="11" borderId="2" xfId="119" applyFont="1" applyFill="1" applyBorder="1" applyAlignment="1">
      <alignment horizontal="center" vertical="center"/>
    </xf>
    <xf numFmtId="3" fontId="48" fillId="11" borderId="2" xfId="119" applyNumberFormat="1" applyFont="1" applyFill="1" applyBorder="1" applyAlignment="1">
      <alignment horizontal="center" vertical="center"/>
    </xf>
    <xf numFmtId="3" fontId="48" fillId="11" borderId="45" xfId="119" applyNumberFormat="1" applyFont="1" applyFill="1" applyBorder="1" applyAlignment="1">
      <alignment horizontal="center" vertical="center"/>
    </xf>
    <xf numFmtId="10" fontId="56" fillId="3" borderId="9" xfId="120" applyNumberFormat="1" applyFont="1" applyFill="1" applyBorder="1" applyAlignment="1">
      <alignment horizontal="center" vertical="top"/>
    </xf>
    <xf numFmtId="0" fontId="56" fillId="2" borderId="11" xfId="119" applyFont="1" applyFill="1" applyBorder="1" applyAlignment="1">
      <alignment horizontal="center" vertical="top"/>
    </xf>
    <xf numFmtId="0" fontId="60" fillId="0" borderId="11" xfId="119" quotePrefix="1" applyFont="1" applyBorder="1" applyAlignment="1">
      <alignment horizontal="left" vertical="top"/>
    </xf>
    <xf numFmtId="179" fontId="56" fillId="2" borderId="11" xfId="119" applyNumberFormat="1" applyFont="1" applyFill="1" applyBorder="1" applyAlignment="1">
      <alignment horizontal="center" vertical="top"/>
    </xf>
    <xf numFmtId="0" fontId="56" fillId="6" borderId="11" xfId="119" applyFont="1" applyFill="1" applyBorder="1" applyAlignment="1">
      <alignment horizontal="center" vertical="top"/>
    </xf>
    <xf numFmtId="179" fontId="56" fillId="6" borderId="11" xfId="119" applyNumberFormat="1" applyFont="1" applyFill="1" applyBorder="1" applyAlignment="1">
      <alignment horizontal="center" vertical="top"/>
    </xf>
    <xf numFmtId="0" fontId="56" fillId="0" borderId="9" xfId="119" applyFont="1" applyBorder="1" applyAlignment="1">
      <alignment horizontal="center" vertical="top"/>
    </xf>
    <xf numFmtId="179" fontId="56" fillId="0" borderId="9" xfId="119" applyNumberFormat="1" applyFont="1" applyBorder="1" applyAlignment="1">
      <alignment horizontal="center" vertical="top"/>
    </xf>
    <xf numFmtId="0" fontId="56" fillId="8" borderId="11" xfId="119" applyFont="1" applyFill="1" applyBorder="1" applyAlignment="1">
      <alignment horizontal="center" vertical="top"/>
    </xf>
    <xf numFmtId="179" fontId="56" fillId="8" borderId="11" xfId="119" applyNumberFormat="1" applyFont="1" applyFill="1" applyBorder="1" applyAlignment="1">
      <alignment horizontal="center" vertical="top"/>
    </xf>
    <xf numFmtId="0" fontId="56" fillId="0" borderId="11" xfId="119" applyFont="1" applyBorder="1" applyAlignment="1">
      <alignment vertical="center"/>
    </xf>
    <xf numFmtId="0" fontId="56" fillId="0" borderId="11" xfId="119" applyFont="1" applyBorder="1" applyAlignment="1">
      <alignment horizontal="center" vertical="center"/>
    </xf>
    <xf numFmtId="0" fontId="56" fillId="0" borderId="0" xfId="119" applyFont="1" applyAlignment="1">
      <alignment horizontal="center" vertical="center"/>
    </xf>
    <xf numFmtId="0" fontId="60" fillId="0" borderId="0" xfId="119" applyFont="1" applyAlignment="1">
      <alignment horizontal="center" vertical="center" wrapText="1"/>
    </xf>
    <xf numFmtId="0" fontId="48" fillId="9" borderId="11" xfId="119" applyFont="1" applyFill="1" applyBorder="1" applyAlignment="1">
      <alignment vertical="center"/>
    </xf>
    <xf numFmtId="165" fontId="47" fillId="0" borderId="0" xfId="123" applyFont="1" applyAlignment="1">
      <alignment horizontal="center" vertical="center"/>
    </xf>
    <xf numFmtId="4" fontId="59" fillId="0" borderId="0" xfId="120" applyNumberFormat="1" applyFont="1" applyAlignment="1">
      <alignment horizontal="center" vertical="center"/>
    </xf>
    <xf numFmtId="10" fontId="58" fillId="0" borderId="0" xfId="122" applyNumberFormat="1" applyFont="1" applyFill="1" applyAlignment="1">
      <alignment vertical="center"/>
    </xf>
    <xf numFmtId="10" fontId="59" fillId="0" borderId="0" xfId="122" applyNumberFormat="1" applyFont="1" applyFill="1" applyAlignment="1">
      <alignment vertical="center"/>
    </xf>
    <xf numFmtId="185" fontId="28" fillId="4" borderId="51" xfId="119" applyNumberFormat="1" applyFont="1" applyFill="1" applyBorder="1" applyAlignment="1">
      <alignment horizontal="center" vertical="center"/>
    </xf>
    <xf numFmtId="185" fontId="28" fillId="4" borderId="52" xfId="119" applyNumberFormat="1" applyFont="1" applyFill="1" applyBorder="1" applyAlignment="1">
      <alignment horizontal="center" vertical="center"/>
    </xf>
    <xf numFmtId="185" fontId="56" fillId="6" borderId="46" xfId="120" applyNumberFormat="1" applyFont="1" applyFill="1" applyBorder="1" applyAlignment="1">
      <alignment horizontal="right" vertical="center"/>
    </xf>
    <xf numFmtId="185" fontId="56" fillId="6" borderId="46" xfId="122" applyNumberFormat="1" applyFont="1" applyFill="1" applyBorder="1" applyAlignment="1">
      <alignment horizontal="right" vertical="center"/>
    </xf>
    <xf numFmtId="185" fontId="48" fillId="0" borderId="46" xfId="122" applyNumberFormat="1" applyFont="1" applyBorder="1" applyAlignment="1">
      <alignment vertical="center"/>
    </xf>
    <xf numFmtId="185" fontId="56" fillId="0" borderId="46" xfId="122" applyNumberFormat="1" applyFont="1" applyBorder="1" applyAlignment="1">
      <alignment vertical="center"/>
    </xf>
    <xf numFmtId="185" fontId="56" fillId="2" borderId="46" xfId="120" applyNumberFormat="1" applyFont="1" applyFill="1" applyBorder="1" applyAlignment="1">
      <alignment horizontal="right" vertical="center"/>
    </xf>
    <xf numFmtId="185" fontId="56" fillId="2" borderId="46" xfId="122" applyNumberFormat="1" applyFont="1" applyFill="1" applyBorder="1" applyAlignment="1">
      <alignment horizontal="right" vertical="center"/>
    </xf>
    <xf numFmtId="185" fontId="2" fillId="0" borderId="0" xfId="122" applyNumberFormat="1" applyFont="1" applyAlignment="1">
      <alignment vertical="center"/>
    </xf>
    <xf numFmtId="185" fontId="48" fillId="0" borderId="0" xfId="122" applyNumberFormat="1" applyFont="1" applyAlignment="1">
      <alignment vertical="center"/>
    </xf>
    <xf numFmtId="185" fontId="48" fillId="0" borderId="0" xfId="119" applyNumberFormat="1" applyFont="1" applyAlignment="1">
      <alignment vertical="center"/>
    </xf>
    <xf numFmtId="185" fontId="2" fillId="0" borderId="0" xfId="119" applyNumberFormat="1" applyAlignment="1">
      <alignment vertical="center"/>
    </xf>
    <xf numFmtId="185" fontId="28" fillId="0" borderId="0" xfId="119" applyNumberFormat="1" applyFont="1" applyAlignment="1">
      <alignment vertical="center"/>
    </xf>
    <xf numFmtId="185" fontId="47" fillId="0" borderId="0" xfId="119" applyNumberFormat="1" applyFont="1" applyAlignment="1">
      <alignment vertical="center"/>
    </xf>
    <xf numFmtId="0" fontId="25" fillId="0" borderId="0" xfId="0" applyFont="1" applyAlignment="1">
      <alignment vertical="center"/>
    </xf>
    <xf numFmtId="43" fontId="25" fillId="0" borderId="0" xfId="107" applyFont="1" applyAlignment="1">
      <alignment vertical="center"/>
    </xf>
    <xf numFmtId="43" fontId="25" fillId="0" borderId="0" xfId="107" applyFont="1" applyAlignment="1">
      <alignment horizontal="center" vertical="center"/>
    </xf>
    <xf numFmtId="4" fontId="25" fillId="0" borderId="0" xfId="0" applyNumberFormat="1" applyFont="1" applyAlignment="1">
      <alignment vertical="center"/>
    </xf>
    <xf numFmtId="165" fontId="25" fillId="0" borderId="0" xfId="0" applyNumberFormat="1" applyFont="1" applyAlignment="1">
      <alignment vertical="center"/>
    </xf>
    <xf numFmtId="4" fontId="65" fillId="0" borderId="23" xfId="0" applyNumberFormat="1" applyFont="1" applyBorder="1" applyAlignment="1">
      <alignment vertical="center"/>
    </xf>
    <xf numFmtId="4" fontId="67" fillId="0" borderId="27" xfId="0" applyNumberFormat="1" applyFont="1" applyBorder="1" applyAlignment="1">
      <alignment vertical="center"/>
    </xf>
    <xf numFmtId="4" fontId="68" fillId="0" borderId="27" xfId="0" applyNumberFormat="1" applyFont="1" applyBorder="1" applyAlignment="1">
      <alignment vertical="center"/>
    </xf>
    <xf numFmtId="4" fontId="65" fillId="0" borderId="19" xfId="0" applyNumberFormat="1" applyFont="1" applyBorder="1" applyAlignment="1">
      <alignment vertical="center"/>
    </xf>
    <xf numFmtId="0" fontId="28" fillId="0" borderId="30" xfId="119" applyFont="1" applyBorder="1" applyAlignment="1">
      <alignment horizontal="center" vertical="center" wrapText="1"/>
    </xf>
    <xf numFmtId="0" fontId="1" fillId="0" borderId="17" xfId="119" applyFont="1" applyBorder="1" applyAlignment="1">
      <alignment horizontal="left" vertical="center"/>
    </xf>
    <xf numFmtId="165" fontId="27" fillId="0" borderId="17" xfId="119" applyNumberFormat="1" applyFont="1" applyBorder="1" applyAlignment="1">
      <alignment horizontal="right" vertical="center"/>
    </xf>
    <xf numFmtId="4" fontId="27" fillId="0" borderId="17" xfId="119" applyNumberFormat="1" applyFont="1" applyBorder="1" applyAlignment="1">
      <alignment horizontal="right" vertical="center"/>
    </xf>
    <xf numFmtId="1" fontId="60" fillId="0" borderId="17" xfId="119" applyNumberFormat="1" applyFont="1" applyBorder="1" applyAlignment="1">
      <alignment vertical="center"/>
    </xf>
    <xf numFmtId="4" fontId="60" fillId="0" borderId="17" xfId="119" applyNumberFormat="1" applyFont="1" applyBorder="1" applyAlignment="1">
      <alignment horizontal="left" vertical="center"/>
    </xf>
    <xf numFmtId="185" fontId="1" fillId="4" borderId="50" xfId="122" applyNumberFormat="1" applyFont="1" applyFill="1" applyBorder="1" applyAlignment="1">
      <alignment vertical="center"/>
    </xf>
    <xf numFmtId="185" fontId="1" fillId="0" borderId="46" xfId="122" applyNumberFormat="1" applyFont="1" applyBorder="1" applyAlignment="1">
      <alignment vertical="center"/>
    </xf>
    <xf numFmtId="10" fontId="1" fillId="4" borderId="17" xfId="122" applyNumberFormat="1" applyFont="1" applyFill="1" applyBorder="1" applyAlignment="1">
      <alignment horizontal="right" vertical="center"/>
    </xf>
    <xf numFmtId="185" fontId="1" fillId="0" borderId="0" xfId="122" applyNumberFormat="1" applyFont="1" applyAlignment="1">
      <alignment vertical="center"/>
    </xf>
    <xf numFmtId="9" fontId="1" fillId="0" borderId="0" xfId="122" applyFont="1" applyAlignment="1">
      <alignment vertical="center"/>
    </xf>
    <xf numFmtId="9" fontId="1" fillId="0" borderId="0" xfId="122" applyFont="1" applyFill="1" applyBorder="1" applyAlignment="1">
      <alignment vertical="center"/>
    </xf>
    <xf numFmtId="0" fontId="1" fillId="0" borderId="11" xfId="119" applyFont="1" applyBorder="1" applyAlignment="1">
      <alignment vertical="top" wrapText="1"/>
    </xf>
    <xf numFmtId="0" fontId="1" fillId="0" borderId="11" xfId="119" applyFont="1" applyBorder="1" applyAlignment="1">
      <alignment horizontal="left" vertical="top"/>
    </xf>
    <xf numFmtId="0" fontId="1" fillId="0" borderId="11" xfId="119" applyFont="1" applyBorder="1" applyAlignment="1">
      <alignment horizontal="center" vertical="top"/>
    </xf>
    <xf numFmtId="4" fontId="1" fillId="0" borderId="0" xfId="119" applyNumberFormat="1" applyFont="1" applyAlignment="1">
      <alignment vertical="center"/>
    </xf>
    <xf numFmtId="0" fontId="1" fillId="0" borderId="0" xfId="119" applyFont="1" applyAlignment="1">
      <alignment horizontal="center" vertical="center"/>
    </xf>
    <xf numFmtId="0" fontId="28" fillId="0" borderId="0" xfId="119" applyFont="1" applyAlignment="1">
      <alignment horizontal="center" vertical="center"/>
    </xf>
    <xf numFmtId="0" fontId="28" fillId="4" borderId="33" xfId="119" applyFont="1" applyFill="1" applyBorder="1" applyAlignment="1">
      <alignment horizontal="center" vertical="center" wrapText="1"/>
    </xf>
    <xf numFmtId="0" fontId="28" fillId="0" borderId="31" xfId="119" applyFont="1" applyBorder="1" applyAlignment="1">
      <alignment horizontal="center" vertical="center"/>
    </xf>
    <xf numFmtId="0" fontId="47" fillId="0" borderId="31" xfId="119" applyFont="1" applyBorder="1" applyAlignment="1">
      <alignment horizontal="center" vertical="center"/>
    </xf>
    <xf numFmtId="0" fontId="28" fillId="0" borderId="0" xfId="119" applyFont="1" applyAlignment="1">
      <alignment horizontal="right" vertical="center"/>
    </xf>
    <xf numFmtId="10" fontId="47" fillId="4" borderId="46" xfId="120" applyNumberFormat="1" applyFont="1" applyFill="1" applyBorder="1" applyAlignment="1">
      <alignment horizontal="center" vertical="center"/>
    </xf>
    <xf numFmtId="0" fontId="47" fillId="0" borderId="30" xfId="119" applyFont="1" applyBorder="1" applyAlignment="1">
      <alignment horizontal="center" vertical="center" wrapText="1"/>
    </xf>
    <xf numFmtId="0" fontId="28" fillId="4" borderId="33" xfId="119" applyFont="1" applyFill="1" applyBorder="1" applyAlignment="1">
      <alignment horizontal="center" vertical="center"/>
    </xf>
    <xf numFmtId="0" fontId="28" fillId="4" borderId="34" xfId="119" applyFont="1" applyFill="1" applyBorder="1" applyAlignment="1">
      <alignment horizontal="center" vertical="center"/>
    </xf>
    <xf numFmtId="3" fontId="28" fillId="4" borderId="31" xfId="119" applyNumberFormat="1" applyFont="1" applyFill="1" applyBorder="1" applyAlignment="1">
      <alignment horizontal="center" vertical="center"/>
    </xf>
    <xf numFmtId="0" fontId="47" fillId="0" borderId="4" xfId="119" applyFont="1" applyBorder="1" applyAlignment="1">
      <alignment horizontal="center" vertical="center"/>
    </xf>
    <xf numFmtId="0" fontId="28" fillId="4" borderId="17" xfId="119" applyFont="1" applyFill="1" applyBorder="1" applyAlignment="1">
      <alignment horizontal="center" vertical="center" wrapText="1"/>
    </xf>
    <xf numFmtId="10" fontId="47" fillId="4" borderId="9" xfId="120" applyNumberFormat="1" applyFont="1" applyFill="1" applyBorder="1" applyAlignment="1">
      <alignment horizontal="center" vertical="center"/>
    </xf>
    <xf numFmtId="0" fontId="28" fillId="4" borderId="4" xfId="119" applyFont="1" applyFill="1" applyBorder="1" applyAlignment="1">
      <alignment horizontal="center" vertical="center"/>
    </xf>
    <xf numFmtId="0" fontId="28" fillId="4" borderId="11" xfId="119" applyFont="1" applyFill="1" applyBorder="1" applyAlignment="1">
      <alignment horizontal="center" vertical="center"/>
    </xf>
    <xf numFmtId="0" fontId="28" fillId="4" borderId="11" xfId="119" applyFont="1" applyFill="1" applyBorder="1" applyAlignment="1">
      <alignment horizontal="center" vertical="center" wrapText="1"/>
    </xf>
    <xf numFmtId="0" fontId="72" fillId="0" borderId="41" xfId="0" applyFont="1" applyBorder="1" applyAlignment="1">
      <alignment horizontal="center" vertical="center"/>
    </xf>
    <xf numFmtId="0" fontId="72" fillId="0" borderId="42" xfId="0" applyFont="1" applyBorder="1" applyAlignment="1">
      <alignment horizontal="center" vertical="center"/>
    </xf>
    <xf numFmtId="0" fontId="72" fillId="0" borderId="43" xfId="0" applyFont="1" applyBorder="1" applyAlignment="1">
      <alignment horizontal="center" vertical="center"/>
    </xf>
    <xf numFmtId="0" fontId="72" fillId="0" borderId="4" xfId="0" applyFont="1" applyBorder="1" applyAlignment="1">
      <alignment horizontal="center" vertical="center"/>
    </xf>
    <xf numFmtId="0" fontId="72" fillId="0" borderId="0" xfId="0" applyFont="1" applyBorder="1" applyAlignment="1">
      <alignment horizontal="center" vertical="center"/>
    </xf>
    <xf numFmtId="0" fontId="72" fillId="0" borderId="5" xfId="0" applyFont="1" applyBorder="1" applyAlignment="1">
      <alignment horizontal="center" vertical="center"/>
    </xf>
    <xf numFmtId="0" fontId="63" fillId="5" borderId="18" xfId="0" applyFont="1" applyFill="1" applyBorder="1" applyAlignment="1">
      <alignment horizontal="center" vertical="center" wrapText="1"/>
    </xf>
    <xf numFmtId="0" fontId="63" fillId="5" borderId="7" xfId="0" applyFont="1" applyFill="1" applyBorder="1" applyAlignment="1">
      <alignment horizontal="center" vertical="center" wrapText="1"/>
    </xf>
    <xf numFmtId="0" fontId="61" fillId="0" borderId="0" xfId="0" applyFont="1" applyAlignment="1">
      <alignment horizontal="center" vertical="center"/>
    </xf>
    <xf numFmtId="0" fontId="62" fillId="0" borderId="0" xfId="0" applyFont="1" applyBorder="1" applyAlignment="1">
      <alignment horizontal="center" vertical="center"/>
    </xf>
    <xf numFmtId="0" fontId="63" fillId="5" borderId="6" xfId="0" applyFont="1" applyFill="1" applyBorder="1" applyAlignment="1">
      <alignment horizontal="center" vertical="center" wrapText="1"/>
    </xf>
    <xf numFmtId="0" fontId="63" fillId="5" borderId="22" xfId="0" applyFont="1" applyFill="1" applyBorder="1" applyAlignment="1">
      <alignment horizontal="center" vertical="center" wrapText="1"/>
    </xf>
    <xf numFmtId="0" fontId="63" fillId="5" borderId="26" xfId="0" applyFont="1" applyFill="1" applyBorder="1" applyAlignment="1">
      <alignment horizontal="center" vertical="center" wrapText="1"/>
    </xf>
    <xf numFmtId="0" fontId="28" fillId="0" borderId="30" xfId="119" applyFont="1" applyBorder="1" applyAlignment="1">
      <alignment horizontal="center" vertical="center"/>
    </xf>
    <xf numFmtId="0" fontId="28" fillId="0" borderId="31" xfId="119" applyFont="1" applyBorder="1" applyAlignment="1">
      <alignment horizontal="center" vertical="center"/>
    </xf>
    <xf numFmtId="0" fontId="28" fillId="4" borderId="30" xfId="119" applyFont="1" applyFill="1" applyBorder="1" applyAlignment="1">
      <alignment horizontal="center" vertical="center" wrapText="1"/>
    </xf>
    <xf numFmtId="0" fontId="28" fillId="4" borderId="31" xfId="119" applyFont="1" applyFill="1" applyBorder="1" applyAlignment="1">
      <alignment horizontal="center" vertical="center" wrapText="1"/>
    </xf>
    <xf numFmtId="0" fontId="28" fillId="4" borderId="33" xfId="119" applyFont="1" applyFill="1" applyBorder="1" applyAlignment="1">
      <alignment horizontal="center" vertical="center"/>
    </xf>
    <xf numFmtId="0" fontId="28" fillId="4" borderId="34" xfId="119" applyFont="1" applyFill="1" applyBorder="1" applyAlignment="1">
      <alignment horizontal="center" vertical="center"/>
    </xf>
    <xf numFmtId="0" fontId="56" fillId="4" borderId="33" xfId="119" applyFont="1" applyFill="1" applyBorder="1" applyAlignment="1">
      <alignment horizontal="center" vertical="center"/>
    </xf>
    <xf numFmtId="0" fontId="56" fillId="4" borderId="34" xfId="119" applyFont="1" applyFill="1" applyBorder="1" applyAlignment="1">
      <alignment horizontal="center" vertical="center"/>
    </xf>
    <xf numFmtId="3" fontId="28" fillId="4" borderId="30" xfId="119" applyNumberFormat="1" applyFont="1" applyFill="1" applyBorder="1" applyAlignment="1">
      <alignment horizontal="center" vertical="center"/>
    </xf>
    <xf numFmtId="3" fontId="28" fillId="4" borderId="31" xfId="119" applyNumberFormat="1" applyFont="1" applyFill="1" applyBorder="1" applyAlignment="1">
      <alignment horizontal="center" vertical="center"/>
    </xf>
    <xf numFmtId="3" fontId="28" fillId="4" borderId="32" xfId="119" applyNumberFormat="1" applyFont="1" applyFill="1" applyBorder="1" applyAlignment="1">
      <alignment horizontal="center" vertical="center"/>
    </xf>
    <xf numFmtId="0" fontId="28" fillId="4" borderId="37" xfId="119" applyFont="1" applyFill="1" applyBorder="1" applyAlignment="1">
      <alignment horizontal="right" vertical="center"/>
    </xf>
    <xf numFmtId="0" fontId="28" fillId="4" borderId="35" xfId="119" applyFont="1" applyFill="1" applyBorder="1" applyAlignment="1">
      <alignment horizontal="right" vertical="center"/>
    </xf>
    <xf numFmtId="10" fontId="47" fillId="4" borderId="46" xfId="120" applyNumberFormat="1" applyFont="1" applyFill="1" applyBorder="1" applyAlignment="1">
      <alignment horizontal="center" vertical="center" wrapText="1"/>
    </xf>
    <xf numFmtId="10" fontId="47" fillId="4" borderId="46" xfId="120" applyNumberFormat="1" applyFont="1" applyFill="1" applyBorder="1" applyAlignment="1">
      <alignment horizontal="center" vertical="center"/>
    </xf>
    <xf numFmtId="165" fontId="69" fillId="4" borderId="46" xfId="120" applyNumberFormat="1" applyFont="1" applyFill="1" applyBorder="1" applyAlignment="1">
      <alignment horizontal="center" vertical="center"/>
    </xf>
    <xf numFmtId="0" fontId="28" fillId="4" borderId="47" xfId="119" applyFont="1" applyFill="1" applyBorder="1" applyAlignment="1">
      <alignment horizontal="center" vertical="center"/>
    </xf>
    <xf numFmtId="0" fontId="28" fillId="4" borderId="48" xfId="119" applyFont="1" applyFill="1" applyBorder="1" applyAlignment="1">
      <alignment horizontal="center" vertical="center"/>
    </xf>
    <xf numFmtId="0" fontId="28" fillId="0" borderId="17" xfId="119" applyFont="1" applyBorder="1" applyAlignment="1">
      <alignment horizontal="center" vertical="center" wrapText="1"/>
    </xf>
    <xf numFmtId="0" fontId="28" fillId="0" borderId="17" xfId="119" applyFont="1" applyBorder="1" applyAlignment="1">
      <alignment horizontal="center" vertical="center"/>
    </xf>
    <xf numFmtId="0" fontId="47" fillId="0" borderId="30" xfId="119" applyFont="1" applyBorder="1" applyAlignment="1">
      <alignment horizontal="center" vertical="center" wrapText="1"/>
    </xf>
    <xf numFmtId="0" fontId="47" fillId="0" borderId="31" xfId="119" applyFont="1" applyBorder="1" applyAlignment="1">
      <alignment horizontal="center" vertical="center" wrapText="1"/>
    </xf>
    <xf numFmtId="0" fontId="47" fillId="0" borderId="32" xfId="119" applyFont="1" applyBorder="1" applyAlignment="1">
      <alignment horizontal="center" vertical="center" wrapText="1"/>
    </xf>
    <xf numFmtId="165" fontId="69" fillId="0" borderId="0" xfId="120" applyNumberFormat="1" applyFont="1" applyFill="1" applyBorder="1" applyAlignment="1">
      <alignment horizontal="center" vertical="center"/>
    </xf>
    <xf numFmtId="0" fontId="28" fillId="0" borderId="0" xfId="119" applyFont="1" applyAlignment="1">
      <alignment horizontal="center" vertical="center"/>
    </xf>
    <xf numFmtId="0" fontId="28" fillId="4" borderId="33" xfId="119" applyFont="1" applyFill="1" applyBorder="1" applyAlignment="1">
      <alignment horizontal="center" vertical="center" wrapText="1"/>
    </xf>
    <xf numFmtId="0" fontId="28" fillId="4" borderId="34" xfId="119" applyFont="1" applyFill="1" applyBorder="1" applyAlignment="1">
      <alignment horizontal="center" vertical="center" wrapText="1"/>
    </xf>
    <xf numFmtId="0" fontId="47" fillId="0" borderId="30" xfId="119" applyFont="1" applyBorder="1" applyAlignment="1">
      <alignment horizontal="center" vertical="center"/>
    </xf>
    <xf numFmtId="0" fontId="47" fillId="0" borderId="31" xfId="119" applyFont="1" applyBorder="1" applyAlignment="1">
      <alignment horizontal="center" vertical="center"/>
    </xf>
    <xf numFmtId="3" fontId="28" fillId="6" borderId="55" xfId="119" applyNumberFormat="1" applyFont="1" applyFill="1" applyBorder="1" applyAlignment="1">
      <alignment horizontal="center" vertical="center"/>
    </xf>
    <xf numFmtId="3" fontId="28" fillId="6" borderId="56" xfId="119" applyNumberFormat="1" applyFont="1" applyFill="1" applyBorder="1" applyAlignment="1">
      <alignment horizontal="center" vertical="center"/>
    </xf>
    <xf numFmtId="3" fontId="28" fillId="6" borderId="57" xfId="119" applyNumberFormat="1" applyFont="1" applyFill="1" applyBorder="1" applyAlignment="1">
      <alignment horizontal="center" vertical="center"/>
    </xf>
    <xf numFmtId="0" fontId="28" fillId="6" borderId="53" xfId="119" applyFont="1" applyFill="1" applyBorder="1" applyAlignment="1">
      <alignment horizontal="center" vertical="center"/>
    </xf>
    <xf numFmtId="0" fontId="28" fillId="6" borderId="58" xfId="119" applyFont="1" applyFill="1" applyBorder="1" applyAlignment="1">
      <alignment horizontal="center" vertical="center"/>
    </xf>
    <xf numFmtId="0" fontId="28" fillId="6" borderId="60" xfId="119" applyFont="1" applyFill="1" applyBorder="1" applyAlignment="1">
      <alignment horizontal="center" vertical="center"/>
    </xf>
    <xf numFmtId="0" fontId="28" fillId="6" borderId="54" xfId="119" applyFont="1" applyFill="1" applyBorder="1" applyAlignment="1">
      <alignment horizontal="center" vertical="center"/>
    </xf>
    <xf numFmtId="0" fontId="28" fillId="6" borderId="49" xfId="119" applyFont="1" applyFill="1" applyBorder="1" applyAlignment="1">
      <alignment horizontal="center" vertical="center"/>
    </xf>
    <xf numFmtId="0" fontId="28" fillId="6" borderId="35" xfId="119" applyFont="1" applyFill="1" applyBorder="1" applyAlignment="1">
      <alignment horizontal="center" vertical="center"/>
    </xf>
    <xf numFmtId="0" fontId="28" fillId="0" borderId="0" xfId="119" applyFont="1" applyAlignment="1">
      <alignment horizontal="right" vertical="center"/>
    </xf>
    <xf numFmtId="10" fontId="47" fillId="0" borderId="0" xfId="120" applyNumberFormat="1" applyFont="1" applyFill="1" applyBorder="1" applyAlignment="1">
      <alignment horizontal="center" vertical="center" wrapText="1"/>
    </xf>
    <xf numFmtId="10" fontId="47" fillId="0" borderId="0" xfId="120" applyNumberFormat="1" applyFont="1" applyFill="1" applyBorder="1" applyAlignment="1">
      <alignment horizontal="center" vertical="center"/>
    </xf>
    <xf numFmtId="0" fontId="47" fillId="0" borderId="4" xfId="119" applyFont="1" applyBorder="1" applyAlignment="1">
      <alignment horizontal="center" vertical="center"/>
    </xf>
    <xf numFmtId="0" fontId="52" fillId="4" borderId="17" xfId="119" applyFont="1" applyFill="1" applyBorder="1" applyAlignment="1">
      <alignment horizontal="center" vertical="center" wrapText="1"/>
    </xf>
    <xf numFmtId="0" fontId="52" fillId="4" borderId="17" xfId="119" applyFont="1" applyFill="1" applyBorder="1" applyAlignment="1">
      <alignment vertical="center" wrapText="1"/>
    </xf>
    <xf numFmtId="0" fontId="28" fillId="4" borderId="17" xfId="119" applyFont="1" applyFill="1" applyBorder="1" applyAlignment="1">
      <alignment horizontal="center" vertical="center"/>
    </xf>
    <xf numFmtId="4" fontId="28" fillId="4" borderId="17" xfId="119" applyNumberFormat="1" applyFont="1" applyFill="1" applyBorder="1" applyAlignment="1">
      <alignment horizontal="center" vertical="center"/>
    </xf>
    <xf numFmtId="4" fontId="28" fillId="4" borderId="33" xfId="119" applyNumberFormat="1" applyFont="1" applyFill="1" applyBorder="1" applyAlignment="1">
      <alignment horizontal="center" vertical="center"/>
    </xf>
    <xf numFmtId="3" fontId="28" fillId="4" borderId="32" xfId="119" applyNumberFormat="1" applyFont="1" applyFill="1" applyBorder="1" applyAlignment="1">
      <alignment horizontal="center" vertical="center" wrapText="1"/>
    </xf>
    <xf numFmtId="3" fontId="28" fillId="4" borderId="40" xfId="119" applyNumberFormat="1" applyFont="1" applyFill="1" applyBorder="1" applyAlignment="1">
      <alignment horizontal="center" vertical="center" wrapText="1"/>
    </xf>
    <xf numFmtId="0" fontId="28" fillId="4" borderId="17" xfId="119" applyFont="1" applyFill="1" applyBorder="1" applyAlignment="1">
      <alignment horizontal="center" vertical="center" wrapText="1"/>
    </xf>
    <xf numFmtId="10" fontId="47" fillId="4" borderId="30" xfId="120" applyNumberFormat="1" applyFont="1" applyFill="1" applyBorder="1" applyAlignment="1">
      <alignment horizontal="center" vertical="center" wrapText="1"/>
    </xf>
    <xf numFmtId="10" fontId="47" fillId="4" borderId="37" xfId="120" applyNumberFormat="1" applyFont="1" applyFill="1" applyBorder="1" applyAlignment="1">
      <alignment horizontal="center" vertical="center"/>
    </xf>
    <xf numFmtId="10" fontId="47" fillId="4" borderId="9" xfId="120" applyNumberFormat="1" applyFont="1" applyFill="1" applyBorder="1" applyAlignment="1">
      <alignment horizontal="center" vertical="center" wrapText="1"/>
    </xf>
    <xf numFmtId="10" fontId="47" fillId="4" borderId="9" xfId="120" applyNumberFormat="1" applyFont="1" applyFill="1" applyBorder="1" applyAlignment="1">
      <alignment horizontal="center" vertical="center"/>
    </xf>
    <xf numFmtId="0" fontId="28" fillId="4" borderId="4" xfId="119" applyFont="1" applyFill="1" applyBorder="1" applyAlignment="1">
      <alignment horizontal="center" vertical="center"/>
    </xf>
    <xf numFmtId="0" fontId="52" fillId="4" borderId="37" xfId="119" applyFont="1" applyFill="1" applyBorder="1" applyAlignment="1">
      <alignment horizontal="center" vertical="center" wrapText="1"/>
    </xf>
    <xf numFmtId="0" fontId="52" fillId="4" borderId="38" xfId="119" applyFont="1" applyFill="1" applyBorder="1" applyAlignment="1">
      <alignment horizontal="center" vertical="center" wrapText="1"/>
    </xf>
    <xf numFmtId="0" fontId="52" fillId="4" borderId="40" xfId="119" applyFont="1" applyFill="1" applyBorder="1" applyAlignment="1">
      <alignment horizontal="center" vertical="center" wrapText="1"/>
    </xf>
    <xf numFmtId="0" fontId="28" fillId="4" borderId="11" xfId="119" applyFont="1" applyFill="1" applyBorder="1" applyAlignment="1">
      <alignment horizontal="center" vertical="center"/>
    </xf>
    <xf numFmtId="0" fontId="28" fillId="4" borderId="11" xfId="119" applyFont="1" applyFill="1" applyBorder="1" applyAlignment="1">
      <alignment horizontal="center" vertical="center" wrapText="1"/>
    </xf>
  </cellXfs>
  <cellStyles count="124">
    <cellStyle name="Comma" xfId="123" builtinId="3"/>
    <cellStyle name="Euro" xfId="5" xr:uid="{00000000-0005-0000-0000-000000000000}"/>
    <cellStyle name="Euro 2" xfId="6" xr:uid="{00000000-0005-0000-0000-000001000000}"/>
    <cellStyle name="Excel Built-in Normal" xfId="7" xr:uid="{00000000-0005-0000-0000-000002000000}"/>
    <cellStyle name="Excel Built-in Normal 2" xfId="8" xr:uid="{00000000-0005-0000-0000-000003000000}"/>
    <cellStyle name="Excel Built-in Normal 2 2" xfId="9" xr:uid="{00000000-0005-0000-0000-000004000000}"/>
    <cellStyle name="Excel Built-in Normal 3" xfId="10" xr:uid="{00000000-0005-0000-0000-000005000000}"/>
    <cellStyle name="Millares_Salario_SMARIA" xfId="11" xr:uid="{00000000-0005-0000-0000-000006000000}"/>
    <cellStyle name="Milliers_Água-nov" xfId="12" xr:uid="{00000000-0005-0000-0000-000007000000}"/>
    <cellStyle name="Moeda 2" xfId="13" xr:uid="{00000000-0005-0000-0000-000009000000}"/>
    <cellStyle name="Moeda 2 2" xfId="14" xr:uid="{00000000-0005-0000-0000-00000A000000}"/>
    <cellStyle name="Moeda 2 3" xfId="15" xr:uid="{00000000-0005-0000-0000-00000B000000}"/>
    <cellStyle name="Moeda 3" xfId="16" xr:uid="{00000000-0005-0000-0000-00000C000000}"/>
    <cellStyle name="Moeda 3 2" xfId="17" xr:uid="{00000000-0005-0000-0000-00000D000000}"/>
    <cellStyle name="Moeda 4" xfId="18" xr:uid="{00000000-0005-0000-0000-00000E000000}"/>
    <cellStyle name="Moeda 4 2" xfId="19" xr:uid="{00000000-0005-0000-0000-00000F000000}"/>
    <cellStyle name="Moeda 5" xfId="20" xr:uid="{00000000-0005-0000-0000-000010000000}"/>
    <cellStyle name="Moeda 5 2" xfId="21" xr:uid="{00000000-0005-0000-0000-000011000000}"/>
    <cellStyle name="Moeda 6" xfId="118" xr:uid="{5F9ABEA3-1A2C-4A79-AAE1-F3D585F08AB0}"/>
    <cellStyle name="Normal" xfId="0" builtinId="0"/>
    <cellStyle name="Normal 10" xfId="82" xr:uid="{00000000-0005-0000-0000-000013000000}"/>
    <cellStyle name="Normal 11" xfId="83" xr:uid="{00000000-0005-0000-0000-000014000000}"/>
    <cellStyle name="Normal 11 2" xfId="92" xr:uid="{00000000-0005-0000-0000-000015000000}"/>
    <cellStyle name="Normal 12" xfId="84" xr:uid="{00000000-0005-0000-0000-000016000000}"/>
    <cellStyle name="Normal 13" xfId="91" xr:uid="{00000000-0005-0000-0000-000017000000}"/>
    <cellStyle name="Normal 14" xfId="93" xr:uid="{00000000-0005-0000-0000-000018000000}"/>
    <cellStyle name="Normal 15" xfId="94" xr:uid="{00000000-0005-0000-0000-000019000000}"/>
    <cellStyle name="Normal 15 2" xfId="97" xr:uid="{00000000-0005-0000-0000-00001A000000}"/>
    <cellStyle name="Normal 15 2 2" xfId="98" xr:uid="{00000000-0005-0000-0000-00001B000000}"/>
    <cellStyle name="Normal 15 2 2 2" xfId="104" xr:uid="{00000000-0005-0000-0000-00001C000000}"/>
    <cellStyle name="Normal 15 2 2 3" xfId="105" xr:uid="{00000000-0005-0000-0000-00001D000000}"/>
    <cellStyle name="Normal 15 2 2 4" xfId="108" xr:uid="{00000000-0005-0000-0000-00001E000000}"/>
    <cellStyle name="Normal 15 2 2 5" xfId="110" xr:uid="{00000000-0005-0000-0000-00001F000000}"/>
    <cellStyle name="Normal 15 2 2 5 2" xfId="111" xr:uid="{00000000-0005-0000-0000-000020000000}"/>
    <cellStyle name="Normal 15 2 2 5 2 2" xfId="112" xr:uid="{00000000-0005-0000-0000-000021000000}"/>
    <cellStyle name="Normal 15 2 2 5 2 2 2" xfId="113" xr:uid="{00000000-0005-0000-0000-000022000000}"/>
    <cellStyle name="Normal 15 2 2 5 2 2 2 2" xfId="114" xr:uid="{00000000-0005-0000-0000-000023000000}"/>
    <cellStyle name="Normal 15 2 2 5 2 2 2 2 2" xfId="115" xr:uid="{00000000-0005-0000-0000-000024000000}"/>
    <cellStyle name="Normal 15 2 3" xfId="109" xr:uid="{00000000-0005-0000-0000-000025000000}"/>
    <cellStyle name="Normal 16" xfId="22" xr:uid="{00000000-0005-0000-0000-000026000000}"/>
    <cellStyle name="Normal 17" xfId="99" xr:uid="{00000000-0005-0000-0000-000027000000}"/>
    <cellStyle name="Normal 18" xfId="106" xr:uid="{00000000-0005-0000-0000-000028000000}"/>
    <cellStyle name="Normal 19" xfId="116" xr:uid="{3B9370FD-2F8B-4876-AB30-77D5A2896F50}"/>
    <cellStyle name="Normal 2" xfId="1" xr:uid="{00000000-0005-0000-0000-000029000000}"/>
    <cellStyle name="Normal 2 2" xfId="24" xr:uid="{00000000-0005-0000-0000-00002A000000}"/>
    <cellStyle name="Normal 2 2 2" xfId="25" xr:uid="{00000000-0005-0000-0000-00002B000000}"/>
    <cellStyle name="Normal 2 3" xfId="26" xr:uid="{00000000-0005-0000-0000-00002C000000}"/>
    <cellStyle name="Normal 2 3 2" xfId="27" xr:uid="{00000000-0005-0000-0000-00002D000000}"/>
    <cellStyle name="Normal 2 4" xfId="28" xr:uid="{00000000-0005-0000-0000-00002E000000}"/>
    <cellStyle name="Normal 2 5" xfId="23" xr:uid="{00000000-0005-0000-0000-00002F000000}"/>
    <cellStyle name="Normal 2 6" xfId="85" xr:uid="{00000000-0005-0000-0000-000030000000}"/>
    <cellStyle name="Normal 20" xfId="119" xr:uid="{690B2B15-779D-454F-B0CD-A022DD24B492}"/>
    <cellStyle name="Normal 3" xfId="29" xr:uid="{00000000-0005-0000-0000-000031000000}"/>
    <cellStyle name="Normal 3 2" xfId="30" xr:uid="{00000000-0005-0000-0000-000032000000}"/>
    <cellStyle name="Normal 3 3" xfId="103" xr:uid="{00000000-0005-0000-0000-000033000000}"/>
    <cellStyle name="Normal 4" xfId="31" xr:uid="{00000000-0005-0000-0000-000034000000}"/>
    <cellStyle name="Normal 4 2" xfId="32" xr:uid="{00000000-0005-0000-0000-000035000000}"/>
    <cellStyle name="Normal 4 2 2" xfId="88" xr:uid="{00000000-0005-0000-0000-000036000000}"/>
    <cellStyle name="Normal 4 2 2 2" xfId="95" xr:uid="{00000000-0005-0000-0000-000037000000}"/>
    <cellStyle name="Normal 4 2 2 3" xfId="101" xr:uid="{00000000-0005-0000-0000-000038000000}"/>
    <cellStyle name="Normal 4 2 3" xfId="87" xr:uid="{00000000-0005-0000-0000-000039000000}"/>
    <cellStyle name="Normal 4 2 3 2" xfId="96" xr:uid="{00000000-0005-0000-0000-00003A000000}"/>
    <cellStyle name="Normal 4 2 3 3" xfId="102" xr:uid="{00000000-0005-0000-0000-00003B000000}"/>
    <cellStyle name="Normal 5" xfId="33" xr:uid="{00000000-0005-0000-0000-00003C000000}"/>
    <cellStyle name="Normal 6" xfId="34" xr:uid="{00000000-0005-0000-0000-00003D000000}"/>
    <cellStyle name="Normal 7" xfId="4" xr:uid="{00000000-0005-0000-0000-00003E000000}"/>
    <cellStyle name="Normal 7 2" xfId="90" xr:uid="{00000000-0005-0000-0000-00003F000000}"/>
    <cellStyle name="Normal 8" xfId="78" xr:uid="{00000000-0005-0000-0000-000040000000}"/>
    <cellStyle name="Normal 9" xfId="80" xr:uid="{00000000-0005-0000-0000-000041000000}"/>
    <cellStyle name="Percent" xfId="122" builtinId="5"/>
    <cellStyle name="Porcentagem 10" xfId="120" xr:uid="{12EA8EC7-DE17-4377-865D-EB975D71BED8}"/>
    <cellStyle name="Porcentagem 2" xfId="3" xr:uid="{00000000-0005-0000-0000-000042000000}"/>
    <cellStyle name="Porcentagem 2 2" xfId="36" xr:uid="{00000000-0005-0000-0000-000043000000}"/>
    <cellStyle name="Porcentagem 3" xfId="37" xr:uid="{00000000-0005-0000-0000-000044000000}"/>
    <cellStyle name="Porcentagem 3 2" xfId="38" xr:uid="{00000000-0005-0000-0000-000045000000}"/>
    <cellStyle name="Porcentagem 4" xfId="39" xr:uid="{00000000-0005-0000-0000-000046000000}"/>
    <cellStyle name="Porcentagem 5" xfId="40" xr:uid="{00000000-0005-0000-0000-000047000000}"/>
    <cellStyle name="Porcentagem 6" xfId="41" xr:uid="{00000000-0005-0000-0000-000048000000}"/>
    <cellStyle name="Porcentagem 7" xfId="42" xr:uid="{00000000-0005-0000-0000-000049000000}"/>
    <cellStyle name="Porcentagem 8" xfId="35" xr:uid="{00000000-0005-0000-0000-00004A000000}"/>
    <cellStyle name="Porcentagem 9" xfId="117" xr:uid="{7602A97B-B6AA-4DB7-85FA-5DC9FCC26C50}"/>
    <cellStyle name="Separador de milhares [0] 2" xfId="43" xr:uid="{00000000-0005-0000-0000-00004B000000}"/>
    <cellStyle name="Separador de milhares [0] 2 2" xfId="44" xr:uid="{00000000-0005-0000-0000-00004C000000}"/>
    <cellStyle name="Separador de milhares 17" xfId="45" xr:uid="{00000000-0005-0000-0000-00004D000000}"/>
    <cellStyle name="Separador de milhares 2" xfId="46" xr:uid="{00000000-0005-0000-0000-00004E000000}"/>
    <cellStyle name="Separador de milhares 2 2" xfId="47" xr:uid="{00000000-0005-0000-0000-00004F000000}"/>
    <cellStyle name="Separador de milhares 2 2 2" xfId="48" xr:uid="{00000000-0005-0000-0000-000050000000}"/>
    <cellStyle name="Separador de milhares 2 3" xfId="86" xr:uid="{00000000-0005-0000-0000-000051000000}"/>
    <cellStyle name="Separador de milhares 2 3 2" xfId="100" xr:uid="{00000000-0005-0000-0000-000052000000}"/>
    <cellStyle name="Separador de milhares 3" xfId="49" xr:uid="{00000000-0005-0000-0000-000053000000}"/>
    <cellStyle name="Separador de milhares 3 2" xfId="50" xr:uid="{00000000-0005-0000-0000-000054000000}"/>
    <cellStyle name="Separador de milhares 4" xfId="51" xr:uid="{00000000-0005-0000-0000-000055000000}"/>
    <cellStyle name="Separador de milhares 4 2" xfId="52" xr:uid="{00000000-0005-0000-0000-000056000000}"/>
    <cellStyle name="Separador de milhares 5" xfId="53" xr:uid="{00000000-0005-0000-0000-000057000000}"/>
    <cellStyle name="Separador de milhares 5 2" xfId="54" xr:uid="{00000000-0005-0000-0000-000058000000}"/>
    <cellStyle name="Separador de milhares 6" xfId="107" xr:uid="{00000000-0005-0000-0000-000059000000}"/>
    <cellStyle name="TableStyleLight1" xfId="55" xr:uid="{00000000-0005-0000-0000-00005A000000}"/>
    <cellStyle name="Título 1 1" xfId="56" xr:uid="{00000000-0005-0000-0000-00005B000000}"/>
    <cellStyle name="Título 1 1 1" xfId="57" xr:uid="{00000000-0005-0000-0000-00005C000000}"/>
    <cellStyle name="Título 1 1 1 1" xfId="58" xr:uid="{00000000-0005-0000-0000-00005D000000}"/>
    <cellStyle name="Título 1 1 1_Preços de Referência PIMA_ PMAB_Edital_08_auto_cotada_30_10" xfId="59" xr:uid="{00000000-0005-0000-0000-00005E000000}"/>
    <cellStyle name="Título 1 1_-Anexo corrigido 11 04VERSÃO P IMPRESSÃO 05_11_08" xfId="60" xr:uid="{00000000-0005-0000-0000-00005F000000}"/>
    <cellStyle name="Vírgula 10" xfId="62" xr:uid="{00000000-0005-0000-0000-000061000000}"/>
    <cellStyle name="Vírgula 11" xfId="63" xr:uid="{00000000-0005-0000-0000-000062000000}"/>
    <cellStyle name="Vírgula 12" xfId="61" xr:uid="{00000000-0005-0000-0000-000063000000}"/>
    <cellStyle name="Vírgula 13" xfId="79" xr:uid="{00000000-0005-0000-0000-000064000000}"/>
    <cellStyle name="Vírgula 14" xfId="81" xr:uid="{00000000-0005-0000-0000-000065000000}"/>
    <cellStyle name="Vírgula 15" xfId="121" xr:uid="{DD442067-2D5B-439B-8946-EC2B4B0FC5F7}"/>
    <cellStyle name="Vírgula 2" xfId="2" xr:uid="{00000000-0005-0000-0000-000066000000}"/>
    <cellStyle name="Vírgula 2 2" xfId="64" xr:uid="{00000000-0005-0000-0000-000067000000}"/>
    <cellStyle name="Vírgula 2 3" xfId="65" xr:uid="{00000000-0005-0000-0000-000068000000}"/>
    <cellStyle name="Vírgula 2 4" xfId="89" xr:uid="{00000000-0005-0000-0000-000069000000}"/>
    <cellStyle name="Vírgula 3" xfId="66" xr:uid="{00000000-0005-0000-0000-00006A000000}"/>
    <cellStyle name="Vírgula 3 2" xfId="67" xr:uid="{00000000-0005-0000-0000-00006B000000}"/>
    <cellStyle name="Vírgula 4" xfId="68" xr:uid="{00000000-0005-0000-0000-00006C000000}"/>
    <cellStyle name="Vírgula 5" xfId="69" xr:uid="{00000000-0005-0000-0000-00006D000000}"/>
    <cellStyle name="Vírgula 6" xfId="70" xr:uid="{00000000-0005-0000-0000-00006E000000}"/>
    <cellStyle name="Vírgula 6 2" xfId="71" xr:uid="{00000000-0005-0000-0000-00006F000000}"/>
    <cellStyle name="Vírgula 7" xfId="72" xr:uid="{00000000-0005-0000-0000-000070000000}"/>
    <cellStyle name="Vírgula 7 2" xfId="73" xr:uid="{00000000-0005-0000-0000-000071000000}"/>
    <cellStyle name="Vírgula 8" xfId="74" xr:uid="{00000000-0005-0000-0000-000072000000}"/>
    <cellStyle name="Vírgula 8 2" xfId="75" xr:uid="{00000000-0005-0000-0000-000073000000}"/>
    <cellStyle name="Vírgula 9" xfId="76" xr:uid="{00000000-0005-0000-0000-000074000000}"/>
    <cellStyle name="Vírgula 9 2" xfId="77" xr:uid="{00000000-0005-0000-0000-000075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600"/>
      </font>
      <fill>
        <patternFill>
          <bgColor rgb="FFCCFF99"/>
        </patternFill>
      </fill>
    </dxf>
    <dxf>
      <font>
        <color rgb="FF9C0006"/>
      </font>
      <fill>
        <patternFill>
          <bgColor rgb="FFFFC7CE"/>
        </patternFill>
      </fill>
    </dxf>
    <dxf>
      <font>
        <color rgb="FF006600"/>
      </font>
      <fill>
        <patternFill>
          <bgColor rgb="FFCCFF99"/>
        </patternFill>
      </fill>
    </dxf>
    <dxf>
      <font>
        <color rgb="FF9C0006"/>
      </font>
      <fill>
        <patternFill>
          <bgColor rgb="FFFFC7CE"/>
        </patternFill>
      </fill>
    </dxf>
    <dxf>
      <font>
        <color rgb="FF006600"/>
      </font>
      <fill>
        <patternFill>
          <bgColor rgb="FFCCFF99"/>
        </patternFill>
      </fill>
    </dxf>
    <dxf>
      <font>
        <color rgb="FF9C0006"/>
      </font>
      <fill>
        <patternFill>
          <bgColor rgb="FFFFC7CE"/>
        </patternFill>
      </fill>
    </dxf>
    <dxf>
      <font>
        <color rgb="FFFF0000"/>
      </font>
      <fill>
        <patternFill patternType="none">
          <bgColor auto="1"/>
        </patternFill>
      </fill>
    </dxf>
  </dxfs>
  <tableStyles count="0" defaultTableStyle="TableStyleMedium9" defaultPivotStyle="PivotStyleLight16"/>
  <colors>
    <mruColors>
      <color rgb="FF0066CC"/>
      <color rgb="FFCB3D3A"/>
      <color rgb="FF006600"/>
      <color rgb="FFCCFF99"/>
      <color rgb="FF66FF33"/>
      <color rgb="FFCC3300"/>
      <color rgb="FFCE3B37"/>
      <color rgb="FF9B2D2A"/>
      <color rgb="FF3A7CCB"/>
      <color rgb="FF3A7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5.9206400678391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ACM'!$D$13:$D$15</c:f>
              <c:strCache>
                <c:ptCount val="3"/>
                <c:pt idx="0">
                  <c:v>DESPESAS REEMBOLSÁVEIS</c:v>
                </c:pt>
                <c:pt idx="1">
                  <c:v>VIAGENS</c:v>
                </c:pt>
                <c:pt idx="2">
                  <c:v>SOBRESSALENTES - ELÉTRICA</c:v>
                </c:pt>
              </c:strCache>
            </c:strRef>
          </c:cat>
          <c:val>
            <c:numRef>
              <c:f>'RESUMO-CURVA ACM'!$E$13:$E$15</c:f>
              <c:numCache>
                <c:formatCode>#,##0.00</c:formatCode>
                <c:ptCount val="3"/>
                <c:pt idx="0">
                  <c:v>337157.91</c:v>
                </c:pt>
                <c:pt idx="1">
                  <c:v>382021.68000000005</c:v>
                </c:pt>
                <c:pt idx="2">
                  <c:v>426502.24999999994</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0.11331244560806591"/>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1.112491836573101E-7"/>
                  <c:y val="-0.19822590856307079"/>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0.25714091848530074"/>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ACM'!$D$13:$D$15</c:f>
              <c:strCache>
                <c:ptCount val="3"/>
                <c:pt idx="0">
                  <c:v>DESPESAS REEMBOLSÁVEIS</c:v>
                </c:pt>
                <c:pt idx="1">
                  <c:v>VIAGENS</c:v>
                </c:pt>
                <c:pt idx="2">
                  <c:v>SOBRESSALENTES - ELÉTRICA</c:v>
                </c:pt>
              </c:strCache>
            </c:strRef>
          </c:cat>
          <c:val>
            <c:numRef>
              <c:f>'RESUMO-CURVA ACM'!$F$13:$F$15</c:f>
              <c:numCache>
                <c:formatCode>#,##0.00</c:formatCode>
                <c:ptCount val="3"/>
                <c:pt idx="0">
                  <c:v>169515.73</c:v>
                </c:pt>
                <c:pt idx="1">
                  <c:v>94516.989999999991</c:v>
                </c:pt>
                <c:pt idx="2">
                  <c:v>77900.749999999985</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1.0452023922192482E-16"/>
                  <c:y val="-1.3289054621888059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47F-4781-82D4-0225A88D5B6D}"/>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ACM'!$D$13:$D$15</c:f>
              <c:strCache>
                <c:ptCount val="3"/>
                <c:pt idx="0">
                  <c:v>DESPESAS REEMBOLSÁVEIS</c:v>
                </c:pt>
                <c:pt idx="1">
                  <c:v>VIAGENS</c:v>
                </c:pt>
                <c:pt idx="2">
                  <c:v>SOBRESSALENTES - ELÉTRICA</c:v>
                </c:pt>
              </c:strCache>
            </c:strRef>
          </c:cat>
          <c:val>
            <c:numRef>
              <c:f>'RESUMO-CURVA ACM'!$H$13:$H$15</c:f>
              <c:numCache>
                <c:formatCode>0.00%</c:formatCode>
                <c:ptCount val="3"/>
                <c:pt idx="0">
                  <c:v>0.50277844586235576</c:v>
                </c:pt>
                <c:pt idx="1">
                  <c:v>0.24741263375418898</c:v>
                </c:pt>
                <c:pt idx="2">
                  <c:v>0.1826502673784253</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8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'RESUMO-CURVA ACM'!$D$4:$D$23</c15:sqref>
                  </c15:fullRef>
                </c:ext>
              </c:extLst>
              <c:f>'RESUMO-CURVA ACM'!$D$16:$D$19</c:f>
              <c:strCache>
                <c:ptCount val="4"/>
                <c:pt idx="0">
                  <c:v>SOBRESSALENTES - LINHA DE TRANSMISSÃO</c:v>
                </c:pt>
                <c:pt idx="1">
                  <c:v>ESCRITÓRIO</c:v>
                </c:pt>
                <c:pt idx="2">
                  <c:v>SISTEMA DE RÁDIO COMUNICAÇÃO</c:v>
                </c:pt>
                <c:pt idx="3">
                  <c:v>INSTALAÇÃO DA EQUIPE</c:v>
                </c:pt>
              </c:strCache>
            </c:strRef>
          </c:cat>
          <c:val>
            <c:numRef>
              <c:extLst>
                <c:ext xmlns:c15="http://schemas.microsoft.com/office/drawing/2012/chart" uri="{02D57815-91ED-43cb-92C2-25804820EDAC}">
                  <c15:fullRef>
                    <c15:sqref>'RESUMO-CURVA ACM'!$E$4:$E$23</c15:sqref>
                  </c15:fullRef>
                </c:ext>
              </c:extLst>
              <c:f>'RESUMO-CURVA ACM'!$E$16:$E$19</c:f>
              <c:numCache>
                <c:formatCode>#,##0.00</c:formatCode>
                <c:ptCount val="4"/>
                <c:pt idx="0">
                  <c:v>469086.46</c:v>
                </c:pt>
                <c:pt idx="1">
                  <c:v>518209.67999999993</c:v>
                </c:pt>
                <c:pt idx="2">
                  <c:v>528013.08000000007</c:v>
                </c:pt>
                <c:pt idx="3">
                  <c:v>685214.99640000006</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2.0296100894406921E-3"/>
                  <c:y val="-0.310414930471591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42-4214-A738-4B5033332918}"/>
                </c:ext>
              </c:extLst>
            </c:dLbl>
            <c:dLbl>
              <c:idx val="1"/>
              <c:layout>
                <c:manualLayout>
                  <c:x val="0"/>
                  <c:y val="0.1061178381157712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42-4214-A738-4B5033332918}"/>
                </c:ext>
              </c:extLst>
            </c:dLbl>
            <c:dLbl>
              <c:idx val="2"/>
              <c:layout>
                <c:manualLayout>
                  <c:x val="0"/>
                  <c:y val="3.97617477937490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42-4214-A738-4B5033332918}"/>
                </c:ext>
              </c:extLst>
            </c:dLbl>
            <c:dLbl>
              <c:idx val="3"/>
              <c:layout>
                <c:manualLayout>
                  <c:x val="0"/>
                  <c:y val="5.69919640788981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42-4214-A738-4B5033332918}"/>
                </c:ext>
              </c:extLst>
            </c:dLbl>
            <c:spPr>
              <a:solidFill>
                <a:srgbClr val="1F497D">
                  <a:lumMod val="20000"/>
                  <a:lumOff val="80000"/>
                </a:srgbClr>
              </a:solidFill>
              <a:ln>
                <a:noFill/>
              </a:ln>
              <a:effectLst>
                <a:softEdge rad="25400"/>
              </a:effectLst>
            </c:spPr>
            <c:txPr>
              <a:bodyPr wrap="none" lIns="38100" tIns="19050" rIns="38100" bIns="1905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ACM'!$D$4:$D$23</c15:sqref>
                  </c15:fullRef>
                </c:ext>
              </c:extLst>
              <c:f>'RESUMO-CURVA ACM'!$D$16:$D$19</c:f>
              <c:strCache>
                <c:ptCount val="4"/>
                <c:pt idx="0">
                  <c:v>SOBRESSALENTES - LINHA DE TRANSMISSÃO</c:v>
                </c:pt>
                <c:pt idx="1">
                  <c:v>ESCRITÓRIO</c:v>
                </c:pt>
                <c:pt idx="2">
                  <c:v>SISTEMA DE RÁDIO COMUNICAÇÃO</c:v>
                </c:pt>
                <c:pt idx="3">
                  <c:v>INSTALAÇÃO DA EQUIPE</c:v>
                </c:pt>
              </c:strCache>
            </c:strRef>
          </c:cat>
          <c:val>
            <c:numRef>
              <c:extLst>
                <c:ext xmlns:c15="http://schemas.microsoft.com/office/drawing/2012/chart" uri="{02D57815-91ED-43cb-92C2-25804820EDAC}">
                  <c15:fullRef>
                    <c15:sqref>'RESUMO-CURVA ACM'!$F$4:$F$23</c15:sqref>
                  </c15:fullRef>
                </c:ext>
              </c:extLst>
              <c:f>'RESUMO-CURVA ACM'!$F$16:$F$19</c:f>
              <c:numCache>
                <c:formatCode>#,##0.00</c:formatCode>
                <c:ptCount val="4"/>
                <c:pt idx="0">
                  <c:v>3220.1303333333326</c:v>
                </c:pt>
                <c:pt idx="1">
                  <c:v>293425.62399999995</c:v>
                </c:pt>
                <c:pt idx="2">
                  <c:v>278959.32400000002</c:v>
                </c:pt>
                <c:pt idx="3">
                  <c:v>388288.49796000001</c:v>
                </c:pt>
              </c:numCache>
            </c:numRef>
          </c:val>
          <c:extLst>
            <c:ext xmlns:c15="http://schemas.microsoft.com/office/drawing/2012/chart" uri="{02D57815-91ED-43cb-92C2-25804820EDAC}">
              <c15:categoryFilterExceptions>
                <c15:categoryFilterException>
                  <c15:sqref>'RESUMO-CURVA ACM'!$F$4</c15:sqref>
                  <c15:dLbl>
                    <c:idx val="-1"/>
                    <c:spPr>
                      <a:solidFill>
                        <a:srgbClr val="1F497D">
                          <a:lumMod val="20000"/>
                          <a:lumOff val="80000"/>
                        </a:srgbClr>
                      </a:solidFill>
                      <a:ln>
                        <a:noFill/>
                      </a:ln>
                      <a:effectLst>
                        <a:softEdge rad="254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0-293D-4FA7-9ACE-8D98DD6AB6FB}"/>
                      </c:ext>
                    </c:extLst>
                  </c15:dLbl>
                </c15:categoryFilterException>
                <c15:categoryFilterException>
                  <c15:sqref>'RESUMO-CURVA ACM'!$F$5</c15:sqref>
                  <c15:dLbl>
                    <c:idx val="-1"/>
                    <c:spPr>
                      <a:solidFill>
                        <a:srgbClr val="1F497D">
                          <a:lumMod val="20000"/>
                          <a:lumOff val="80000"/>
                        </a:srgbClr>
                      </a:solidFill>
                      <a:ln>
                        <a:noFill/>
                      </a:ln>
                      <a:effectLst>
                        <a:softEdge rad="254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1-293D-4FA7-9ACE-8D98DD6AB6FB}"/>
                      </c:ext>
                    </c:extLst>
                  </c15:dLbl>
                </c15:categoryFilterException>
              </c15:categoryFilterExceptions>
            </c:ex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solidFill>
                <a:srgbClr val="1F497D">
                  <a:lumMod val="20000"/>
                  <a:lumOff val="80000"/>
                </a:srgbClr>
              </a:solidFill>
              <a:ln>
                <a:noFill/>
              </a:ln>
              <a:effectLst>
                <a:softEdge rad="38100"/>
              </a:effectLst>
            </c:spPr>
            <c:txPr>
              <a:bodyPr wrap="none" lIns="216000" tIns="36000" rIns="216000" bIns="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extLst>
                <c:ext xmlns:c15="http://schemas.microsoft.com/office/drawing/2012/chart" uri="{02D57815-91ED-43cb-92C2-25804820EDAC}">
                  <c15:fullRef>
                    <c15:sqref>'RESUMO-CURVA ACM'!$D$4:$D$23</c15:sqref>
                  </c15:fullRef>
                </c:ext>
              </c:extLst>
              <c:f>'RESUMO-CURVA ACM'!$D$16:$D$19</c:f>
              <c:strCache>
                <c:ptCount val="4"/>
                <c:pt idx="0">
                  <c:v>SOBRESSALENTES - LINHA DE TRANSMISSÃO</c:v>
                </c:pt>
                <c:pt idx="1">
                  <c:v>ESCRITÓRIO</c:v>
                </c:pt>
                <c:pt idx="2">
                  <c:v>SISTEMA DE RÁDIO COMUNICAÇÃO</c:v>
                </c:pt>
                <c:pt idx="3">
                  <c:v>INSTALAÇÃO DA EQUIPE</c:v>
                </c:pt>
              </c:strCache>
            </c:strRef>
          </c:cat>
          <c:val>
            <c:numRef>
              <c:extLst>
                <c:ext xmlns:c15="http://schemas.microsoft.com/office/drawing/2012/chart" uri="{02D57815-91ED-43cb-92C2-25804820EDAC}">
                  <c15:fullRef>
                    <c15:sqref>'RESUMO-CURVA ACM'!$H$4:$H$23</c15:sqref>
                  </c15:fullRef>
                </c:ext>
              </c:extLst>
              <c:f>'RESUMO-CURVA ACM'!$H$16:$H$19</c:f>
              <c:numCache>
                <c:formatCode>0.00%</c:formatCode>
                <c:ptCount val="4"/>
                <c:pt idx="0">
                  <c:v>6.8646840357177068E-3</c:v>
                </c:pt>
                <c:pt idx="1">
                  <c:v>0.56622953087252248</c:v>
                </c:pt>
                <c:pt idx="2">
                  <c:v>0.52831896512866683</c:v>
                </c:pt>
                <c:pt idx="3">
                  <c:v>0.56666666666666665</c:v>
                </c:pt>
              </c:numCache>
            </c:numRef>
          </c:val>
          <c:extLst>
            <c:ext xmlns:c15="http://schemas.microsoft.com/office/drawing/2012/chart" uri="{02D57815-91ED-43cb-92C2-25804820EDAC}">
              <c15:categoryFilterExceptions>
                <c15:categoryFilterException>
                  <c15:sqref>'RESUMO-CURVA ACM'!$H$4</c15:sqref>
                  <c15:dLbl>
                    <c:idx val="-1"/>
                    <c:tx>
                      <c:rich>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r>
                            <a:rPr lang="pt-BR"/>
                            <a:t>Adicionar texto</a:t>
                          </a:r>
                        </a:p>
                      </c:rich>
                    </c:tx>
                    <c:spPr>
                      <a:solidFill>
                        <a:srgbClr val="1F497D">
                          <a:lumMod val="20000"/>
                          <a:lumOff val="80000"/>
                        </a:srgbClr>
                      </a:solidFill>
                      <a:ln>
                        <a:noFill/>
                      </a:ln>
                      <a:effectLst>
                        <a:softEdge rad="38100"/>
                      </a:effectLst>
                    </c:sp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15:showDataLabelsRange val="0"/>
                      </c:ext>
                      <c:ext xmlns:c16="http://schemas.microsoft.com/office/drawing/2014/chart" uri="{C3380CC4-5D6E-409C-BE32-E72D297353CC}">
                        <c16:uniqueId val="{00000002-293D-4FA7-9ACE-8D98DD6AB6FB}"/>
                      </c:ext>
                    </c:extLst>
                  </c15:dLbl>
                </c15:categoryFilterException>
                <c15:categoryFilterException>
                  <c15:sqref>'RESUMO-CURVA ACM'!$H$5</c15:sqref>
                  <c15:dLbl>
                    <c:idx val="-1"/>
                    <c:spPr>
                      <a:solidFill>
                        <a:srgbClr val="1F497D">
                          <a:lumMod val="20000"/>
                          <a:lumOff val="80000"/>
                        </a:srgbClr>
                      </a:solidFill>
                      <a:ln>
                        <a:noFill/>
                      </a:ln>
                      <a:effectLst>
                        <a:softEdge rad="381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3-293D-4FA7-9ACE-8D98DD6AB6FB}"/>
                      </c:ext>
                    </c:extLst>
                  </c15:dLbl>
                </c15:categoryFilterException>
              </c15:categoryFilterExceptions>
            </c:ex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90000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9840890130971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ACM'!$D$4:$D$9</c15:sqref>
                  </c15:fullRef>
                </c:ext>
              </c:extLst>
              <c:f>'RESUMO-CURVA ACM'!$D$4:$D$6</c:f>
              <c:strCache>
                <c:ptCount val="3"/>
                <c:pt idx="0">
                  <c:v>FERRAMENTAS - CIVIL </c:v>
                </c:pt>
                <c:pt idx="1">
                  <c:v>INSTRUMENTOS - ELÉTRICA</c:v>
                </c:pt>
                <c:pt idx="2">
                  <c:v>MOBILIZAÇÃO E DESMOBILIZAÇÃO </c:v>
                </c:pt>
              </c:strCache>
            </c:strRef>
          </c:cat>
          <c:val>
            <c:numRef>
              <c:extLst>
                <c:ext xmlns:c15="http://schemas.microsoft.com/office/drawing/2012/chart" uri="{02D57815-91ED-43cb-92C2-25804820EDAC}">
                  <c15:fullRef>
                    <c15:sqref>'RESUMO-CURVA ACM'!$E$4:$E$9</c15:sqref>
                  </c15:fullRef>
                </c:ext>
              </c:extLst>
              <c:f>'RESUMO-CURVA ACM'!$E$4:$E$6</c:f>
              <c:numCache>
                <c:formatCode>#,##0.00</c:formatCode>
                <c:ptCount val="3"/>
                <c:pt idx="0">
                  <c:v>6965.42</c:v>
                </c:pt>
                <c:pt idx="1">
                  <c:v>14304</c:v>
                </c:pt>
                <c:pt idx="2">
                  <c:v>16308.35</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2.4717358288691496E-17"/>
                  <c:y val="-1.2978240606610159E-3"/>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2.7474271533703435E-3"/>
                  <c:y val="-2.0630233334545618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ACM'!$D$4:$D$9</c15:sqref>
                  </c15:fullRef>
                </c:ext>
              </c:extLst>
              <c:f>'RESUMO-CURVA ACM'!$D$4:$D$6</c:f>
              <c:strCache>
                <c:ptCount val="3"/>
                <c:pt idx="0">
                  <c:v>FERRAMENTAS - CIVIL </c:v>
                </c:pt>
                <c:pt idx="1">
                  <c:v>INSTRUMENTOS - ELÉTRICA</c:v>
                </c:pt>
                <c:pt idx="2">
                  <c:v>MOBILIZAÇÃO E DESMOBILIZAÇÃO </c:v>
                </c:pt>
              </c:strCache>
            </c:strRef>
          </c:cat>
          <c:val>
            <c:numRef>
              <c:extLst>
                <c:ext xmlns:c15="http://schemas.microsoft.com/office/drawing/2012/chart" uri="{02D57815-91ED-43cb-92C2-25804820EDAC}">
                  <c15:fullRef>
                    <c15:sqref>'RESUMO-CURVA ACM'!$F$4:$F$9</c15:sqref>
                  </c15:fullRef>
                </c:ext>
              </c:extLst>
              <c:f>'RESUMO-CURVA ACM'!$F$4:$F$6</c:f>
              <c:numCache>
                <c:formatCode>#,##0.00</c:formatCode>
                <c:ptCount val="3"/>
                <c:pt idx="0">
                  <c:v>3935.0303888888884</c:v>
                </c:pt>
                <c:pt idx="1">
                  <c:v>2791.7333333333331</c:v>
                </c:pt>
                <c:pt idx="2">
                  <c:v>8154.1750000000002</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ACM'!$D$4:$D$9</c15:sqref>
                  </c15:fullRef>
                </c:ext>
              </c:extLst>
              <c:f>'RESUMO-CURVA ACM'!$D$4:$D$6</c:f>
              <c:strCache>
                <c:ptCount val="3"/>
                <c:pt idx="0">
                  <c:v>FERRAMENTAS - CIVIL </c:v>
                </c:pt>
                <c:pt idx="1">
                  <c:v>INSTRUMENTOS - ELÉTRICA</c:v>
                </c:pt>
                <c:pt idx="2">
                  <c:v>MOBILIZAÇÃO E DESMOBILIZAÇÃO </c:v>
                </c:pt>
              </c:strCache>
            </c:strRef>
          </c:cat>
          <c:val>
            <c:numRef>
              <c:extLst>
                <c:ext xmlns:c15="http://schemas.microsoft.com/office/drawing/2012/chart" uri="{02D57815-91ED-43cb-92C2-25804820EDAC}">
                  <c15:fullRef>
                    <c15:sqref>'RESUMO-CURVA ACM'!$H$4:$H$9</c15:sqref>
                  </c15:fullRef>
                </c:ext>
              </c:extLst>
              <c:f>'RESUMO-CURVA ACM'!$H$4:$H$6</c:f>
              <c:numCache>
                <c:formatCode>0.00%</c:formatCode>
                <c:ptCount val="3"/>
                <c:pt idx="0">
                  <c:v>0.56493799209364093</c:v>
                </c:pt>
                <c:pt idx="1">
                  <c:v>0.19517151379567485</c:v>
                </c:pt>
                <c:pt idx="2">
                  <c:v>0.5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1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4.430366083599979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ACM'!$D$20:$D$21</c:f>
              <c:strCache>
                <c:ptCount val="2"/>
                <c:pt idx="0">
                  <c:v>EQUIPAMENTOS PARA MANUTENÇÃO ELÉTRICA</c:v>
                </c:pt>
                <c:pt idx="1">
                  <c:v>VEÍCULOS, COMBUSTÍVEL E MANUTENÇÃO</c:v>
                </c:pt>
              </c:strCache>
            </c:strRef>
          </c:cat>
          <c:val>
            <c:numRef>
              <c:f>'RESUMO-CURVA ACM'!$E$20:$E$21</c:f>
              <c:numCache>
                <c:formatCode>#,##0.00</c:formatCode>
                <c:ptCount val="2"/>
                <c:pt idx="0">
                  <c:v>4591811.13</c:v>
                </c:pt>
                <c:pt idx="1">
                  <c:v>3783418.92</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557450660883926E-4"/>
                  <c:y val="-1.892259469853632E-3"/>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1D-CCA6-4342-AF8D-EEEF519C3340}"/>
                </c:ext>
              </c:extLst>
            </c:dLbl>
            <c:dLbl>
              <c:idx val="1"/>
              <c:layout>
                <c:manualLayout>
                  <c:x val="4.1113478960729749E-3"/>
                  <c:y val="-3.88761438302547E-3"/>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20-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ACM'!$D$20:$D$21</c:f>
              <c:strCache>
                <c:ptCount val="2"/>
                <c:pt idx="0">
                  <c:v>EQUIPAMENTOS PARA MANUTENÇÃO ELÉTRICA</c:v>
                </c:pt>
                <c:pt idx="1">
                  <c:v>VEÍCULOS, COMBUSTÍVEL E MANUTENÇÃO</c:v>
                </c:pt>
              </c:strCache>
            </c:strRef>
          </c:cat>
          <c:val>
            <c:numRef>
              <c:f>'RESUMO-CURVA ACM'!$F$20:$F$21</c:f>
              <c:numCache>
                <c:formatCode>#,##0.00</c:formatCode>
                <c:ptCount val="2"/>
                <c:pt idx="0">
                  <c:v>2717231.3120000004</c:v>
                </c:pt>
                <c:pt idx="1">
                  <c:v>2109858.5279999999</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ACM'!$D$20:$D$21</c:f>
              <c:strCache>
                <c:ptCount val="2"/>
                <c:pt idx="0">
                  <c:v>EQUIPAMENTOS PARA MANUTENÇÃO ELÉTRICA</c:v>
                </c:pt>
                <c:pt idx="1">
                  <c:v>VEÍCULOS, COMBUSTÍVEL E MANUTENÇÃO</c:v>
                </c:pt>
              </c:strCache>
            </c:strRef>
          </c:cat>
          <c:val>
            <c:numRef>
              <c:f>'RESUMO-CURVA ACM'!$H$20:$H$21</c:f>
              <c:numCache>
                <c:formatCode>0.00%</c:formatCode>
                <c:ptCount val="2"/>
                <c:pt idx="0">
                  <c:v>0.59175589654533556</c:v>
                </c:pt>
                <c:pt idx="1">
                  <c:v>0.55765924223902752</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00000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5.85772855805821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ACM'!$D$7:$D$9</c:f>
              <c:strCache>
                <c:ptCount val="3"/>
                <c:pt idx="0">
                  <c:v>FRENTES MÓVEIS</c:v>
                </c:pt>
                <c:pt idx="1">
                  <c:v>MATERIAL DE CONSUMO - ELÉTRICO</c:v>
                </c:pt>
                <c:pt idx="2">
                  <c:v>FERRAMENTAS ELÉTRICA</c:v>
                </c:pt>
              </c:strCache>
            </c:strRef>
          </c:cat>
          <c:val>
            <c:numRef>
              <c:f>'RESUMO-CURVA ACM'!$E$7:$E$9</c:f>
              <c:numCache>
                <c:formatCode>#,##0.00</c:formatCode>
                <c:ptCount val="3"/>
                <c:pt idx="0">
                  <c:v>70204</c:v>
                </c:pt>
                <c:pt idx="1">
                  <c:v>83279.41</c:v>
                </c:pt>
                <c:pt idx="2">
                  <c:v>96713.2</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1556773690866011E-7"/>
                  <c:y val="3.7635541857843374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1.155677368548447E-7"/>
                  <c:y val="6.4959858786957274E-3"/>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2.1133934349749729E-2"/>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ACM'!$D$7:$D$9</c:f>
              <c:strCache>
                <c:ptCount val="3"/>
                <c:pt idx="0">
                  <c:v>FRENTES MÓVEIS</c:v>
                </c:pt>
                <c:pt idx="1">
                  <c:v>MATERIAL DE CONSUMO - ELÉTRICO</c:v>
                </c:pt>
                <c:pt idx="2">
                  <c:v>FERRAMENTAS ELÉTRICA</c:v>
                </c:pt>
              </c:strCache>
            </c:strRef>
          </c:cat>
          <c:val>
            <c:numRef>
              <c:f>'RESUMO-CURVA ACM'!$F$7:$F$9</c:f>
              <c:numCache>
                <c:formatCode>#,##0.00</c:formatCode>
                <c:ptCount val="3"/>
                <c:pt idx="0">
                  <c:v>39782.266666666663</c:v>
                </c:pt>
                <c:pt idx="1">
                  <c:v>39574.542433333329</c:v>
                </c:pt>
                <c:pt idx="2">
                  <c:v>31392.958805555554</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0"/>
                  <c:y val="-6.6619938287907311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47F-4781-82D4-0225A88D5B6D}"/>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ACM'!$D$7:$D$9</c:f>
              <c:strCache>
                <c:ptCount val="3"/>
                <c:pt idx="0">
                  <c:v>FRENTES MÓVEIS</c:v>
                </c:pt>
                <c:pt idx="1">
                  <c:v>MATERIAL DE CONSUMO - ELÉTRICO</c:v>
                </c:pt>
                <c:pt idx="2">
                  <c:v>FERRAMENTAS ELÉTRICA</c:v>
                </c:pt>
              </c:strCache>
            </c:strRef>
          </c:cat>
          <c:val>
            <c:numRef>
              <c:f>'RESUMO-CURVA ACM'!$H$7:$H$9</c:f>
              <c:numCache>
                <c:formatCode>0.00%</c:formatCode>
                <c:ptCount val="3"/>
                <c:pt idx="0">
                  <c:v>0.56666666666666665</c:v>
                </c:pt>
                <c:pt idx="1">
                  <c:v>0.47520200291204423</c:v>
                </c:pt>
                <c:pt idx="2">
                  <c:v>0.32459849126650298</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60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9840890130971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ACM'!$D$10:$D$12</c:f>
              <c:strCache>
                <c:ptCount val="3"/>
                <c:pt idx="0">
                  <c:v>EQUIPAMENTOS DE INFORMÁTICA</c:v>
                </c:pt>
                <c:pt idx="1">
                  <c:v>MANUTENÇÃO CIVIL - MATERIAIS CONSUMÍVEIS</c:v>
                </c:pt>
                <c:pt idx="2">
                  <c:v>TRANSPORTE DE EQUIPAMENTOS</c:v>
                </c:pt>
              </c:strCache>
            </c:strRef>
          </c:cat>
          <c:val>
            <c:numRef>
              <c:f>'RESUMO-CURVA ACM'!$E$10:$E$12</c:f>
              <c:numCache>
                <c:formatCode>#,##0.00</c:formatCode>
                <c:ptCount val="3"/>
                <c:pt idx="0">
                  <c:v>138086.16</c:v>
                </c:pt>
                <c:pt idx="1">
                  <c:v>237025.32</c:v>
                </c:pt>
                <c:pt idx="2">
                  <c:v>270788.7</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0956053734622904E-7"/>
                  <c:y val="4.4736788883209623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5.101810085877266E-17"/>
                  <c:y val="3.7725568233586186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0.16808431401149163"/>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ACM'!$D$10:$D$12</c:f>
              <c:strCache>
                <c:ptCount val="3"/>
                <c:pt idx="0">
                  <c:v>EQUIPAMENTOS DE INFORMÁTICA</c:v>
                </c:pt>
                <c:pt idx="1">
                  <c:v>MANUTENÇÃO CIVIL - MATERIAIS CONSUMÍVEIS</c:v>
                </c:pt>
                <c:pt idx="2">
                  <c:v>TRANSPORTE DE EQUIPAMENTOS</c:v>
                </c:pt>
              </c:strCache>
            </c:strRef>
          </c:cat>
          <c:val>
            <c:numRef>
              <c:f>'RESUMO-CURVA ACM'!$F$10:$F$12</c:f>
              <c:numCache>
                <c:formatCode>#,##0.00</c:formatCode>
                <c:ptCount val="3"/>
                <c:pt idx="0">
                  <c:v>78248.824000000008</c:v>
                </c:pt>
                <c:pt idx="1">
                  <c:v>145430.81399866642</c:v>
                </c:pt>
                <c:pt idx="2">
                  <c:v>0</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1.029199668974928E-16"/>
                  <c:y val="-3.9959528653761385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47F-4781-82D4-0225A88D5B6D}"/>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ACM'!$D$10:$D$12</c:f>
              <c:strCache>
                <c:ptCount val="3"/>
                <c:pt idx="0">
                  <c:v>EQUIPAMENTOS DE INFORMÁTICA</c:v>
                </c:pt>
                <c:pt idx="1">
                  <c:v>MANUTENÇÃO CIVIL - MATERIAIS CONSUMÍVEIS</c:v>
                </c:pt>
                <c:pt idx="2">
                  <c:v>TRANSPORTE DE EQUIPAMENTOS</c:v>
                </c:pt>
              </c:strCache>
            </c:strRef>
          </c:cat>
          <c:val>
            <c:numRef>
              <c:f>'RESUMO-CURVA ACM'!$H$10:$H$12</c:f>
              <c:numCache>
                <c:formatCode>0.00%</c:formatCode>
                <c:ptCount val="3"/>
                <c:pt idx="0">
                  <c:v>0.56666666666666676</c:v>
                </c:pt>
                <c:pt idx="1">
                  <c:v>0.61356657591967989</c:v>
                </c:pt>
                <c:pt idx="2">
                  <c:v>0</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7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5.9206400678391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D5-466F-9149-5E04C43D2685}"/>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PREV'!$D$13:$D$15</c:f>
              <c:strCache>
                <c:ptCount val="3"/>
                <c:pt idx="0">
                  <c:v>DESPESAS REEMBOLSÁVEIS</c:v>
                </c:pt>
                <c:pt idx="1">
                  <c:v>VIAGENS</c:v>
                </c:pt>
                <c:pt idx="2">
                  <c:v>SOBRESSALENTES - ELÉTRICA</c:v>
                </c:pt>
              </c:strCache>
            </c:strRef>
          </c:cat>
          <c:val>
            <c:numRef>
              <c:f>'RESUMO-CURVA PREV'!$E$13:$E$15</c:f>
              <c:numCache>
                <c:formatCode>#,##0.00</c:formatCode>
                <c:ptCount val="3"/>
                <c:pt idx="0">
                  <c:v>337157.91</c:v>
                </c:pt>
                <c:pt idx="1">
                  <c:v>382021.68000000005</c:v>
                </c:pt>
                <c:pt idx="2">
                  <c:v>426502.24999999994</c:v>
                </c:pt>
              </c:numCache>
            </c:numRef>
          </c:val>
          <c:extLst>
            <c:ext xmlns:c16="http://schemas.microsoft.com/office/drawing/2014/chart" uri="{C3380CC4-5D6E-409C-BE32-E72D297353CC}">
              <c16:uniqueId val="{00000001-08D5-466F-9149-5E04C43D268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0.14939951584893146"/>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02-08D5-466F-9149-5E04C43D2685}"/>
                </c:ext>
              </c:extLst>
            </c:dLbl>
            <c:dLbl>
              <c:idx val="1"/>
              <c:layout>
                <c:manualLayout>
                  <c:x val="1.122277523070659E-7"/>
                  <c:y val="-0.15811521233659573"/>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03-08D5-466F-9149-5E04C43D2685}"/>
                </c:ext>
              </c:extLst>
            </c:dLbl>
            <c:dLbl>
              <c:idx val="2"/>
              <c:layout>
                <c:manualLayout>
                  <c:x val="0"/>
                  <c:y val="-0.24924936336864723"/>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08D5-466F-9149-5E04C43D2685}"/>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PREV'!$D$13:$D$15</c:f>
              <c:strCache>
                <c:ptCount val="3"/>
                <c:pt idx="0">
                  <c:v>DESPESAS REEMBOLSÁVEIS</c:v>
                </c:pt>
                <c:pt idx="1">
                  <c:v>VIAGENS</c:v>
                </c:pt>
                <c:pt idx="2">
                  <c:v>SOBRESSALENTES - ELÉTRICA</c:v>
                </c:pt>
              </c:strCache>
            </c:strRef>
          </c:cat>
          <c:val>
            <c:numRef>
              <c:f>'RESUMO-CURVA PREV'!$F$13:$F$15</c:f>
              <c:numCache>
                <c:formatCode>#,##0.00</c:formatCode>
                <c:ptCount val="3"/>
                <c:pt idx="0">
                  <c:v>290598.39428571425</c:v>
                </c:pt>
                <c:pt idx="1">
                  <c:v>95210.78</c:v>
                </c:pt>
                <c:pt idx="2">
                  <c:v>155801.50001840357</c:v>
                </c:pt>
              </c:numCache>
            </c:numRef>
          </c:val>
          <c:extLst>
            <c:ext xmlns:c16="http://schemas.microsoft.com/office/drawing/2014/chart" uri="{C3380CC4-5D6E-409C-BE32-E72D297353CC}">
              <c16:uniqueId val="{00000005-08D5-466F-9149-5E04C43D268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06-08D5-466F-9149-5E04C43D2685}"/>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07-08D5-466F-9149-5E04C43D2685}"/>
                </c:ext>
              </c:extLst>
            </c:dLbl>
            <c:dLbl>
              <c:idx val="2"/>
              <c:layout>
                <c:manualLayout>
                  <c:x val="-1.0452023922192482E-16"/>
                  <c:y val="-1.3289054621888059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8D5-466F-9149-5E04C43D2685}"/>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PREV'!$D$13:$D$15</c:f>
              <c:strCache>
                <c:ptCount val="3"/>
                <c:pt idx="0">
                  <c:v>DESPESAS REEMBOLSÁVEIS</c:v>
                </c:pt>
                <c:pt idx="1">
                  <c:v>VIAGENS</c:v>
                </c:pt>
                <c:pt idx="2">
                  <c:v>SOBRESSALENTES - ELÉTRICA</c:v>
                </c:pt>
              </c:strCache>
            </c:strRef>
          </c:cat>
          <c:val>
            <c:numRef>
              <c:f>'RESUMO-CURVA PREV'!$H$13:$H$15</c:f>
              <c:numCache>
                <c:formatCode>0.00%</c:formatCode>
                <c:ptCount val="3"/>
                <c:pt idx="0">
                  <c:v>0.86190590719260973</c:v>
                </c:pt>
                <c:pt idx="1">
                  <c:v>0.24922873487180094</c:v>
                </c:pt>
                <c:pt idx="2">
                  <c:v>0.36530053480000069</c:v>
                </c:pt>
              </c:numCache>
            </c:numRef>
          </c:val>
          <c:extLst>
            <c:ext xmlns:c16="http://schemas.microsoft.com/office/drawing/2014/chart" uri="{C3380CC4-5D6E-409C-BE32-E72D297353CC}">
              <c16:uniqueId val="{00000009-08D5-466F-9149-5E04C43D2685}"/>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8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4512397725841853E-17"/>
                  <c:y val="-9.0279994532418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PREV'!$D$22:$D$23</c:f>
              <c:strCache>
                <c:ptCount val="2"/>
                <c:pt idx="0">
                  <c:v>RESUMO DA MÃO DE OBRA</c:v>
                </c:pt>
                <c:pt idx="1">
                  <c:v>CUSTOS DIRETOS</c:v>
                </c:pt>
              </c:strCache>
            </c:strRef>
          </c:cat>
          <c:val>
            <c:numRef>
              <c:f>'RESUMO-CURVA PREV'!$E$22:$E$23</c:f>
              <c:numCache>
                <c:formatCode>#,##0.00</c:formatCode>
                <c:ptCount val="2"/>
                <c:pt idx="0">
                  <c:v>18310884.076674007</c:v>
                </c:pt>
                <c:pt idx="1">
                  <c:v>12317952.7564</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7.3776846236968761E-3"/>
                  <c:y val="-5.417590605494132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017597820431676"/>
                      <c:h val="3.2854162804950515E-2"/>
                    </c:manualLayout>
                  </c15:layout>
                </c:ext>
                <c:ext xmlns:c16="http://schemas.microsoft.com/office/drawing/2014/chart" uri="{C3380CC4-5D6E-409C-BE32-E72D297353CC}">
                  <c16:uniqueId val="{0000001D-CCA6-4342-AF8D-EEEF519C3340}"/>
                </c:ext>
              </c:extLst>
            </c:dLbl>
            <c:dLbl>
              <c:idx val="1"/>
              <c:layout>
                <c:manualLayout>
                  <c:x val="-1.0912664590463864E-2"/>
                  <c:y val="-5.58125300909654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017597820431676"/>
                      <c:h val="3.2854162804950515E-2"/>
                    </c:manualLayout>
                  </c15:layout>
                </c:ext>
                <c:ext xmlns:c16="http://schemas.microsoft.com/office/drawing/2014/chart" uri="{C3380CC4-5D6E-409C-BE32-E72D297353CC}">
                  <c16:uniqueId val="{00000020-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PREV'!$D$22:$D$23</c:f>
              <c:strCache>
                <c:ptCount val="2"/>
                <c:pt idx="0">
                  <c:v>RESUMO DA MÃO DE OBRA</c:v>
                </c:pt>
                <c:pt idx="1">
                  <c:v>CUSTOS DIRETOS</c:v>
                </c:pt>
              </c:strCache>
            </c:strRef>
          </c:cat>
          <c:val>
            <c:numRef>
              <c:f>'RESUMO-CURVA PREV'!$F$22:$F$23</c:f>
              <c:numCache>
                <c:formatCode>#,##0.00</c:formatCode>
                <c:ptCount val="2"/>
                <c:pt idx="0">
                  <c:v>16541555.236</c:v>
                </c:pt>
                <c:pt idx="1">
                  <c:v>10858667.13620151</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PREV'!$D$22:$D$23</c:f>
              <c:strCache>
                <c:ptCount val="2"/>
                <c:pt idx="0">
                  <c:v>RESUMO DA MÃO DE OBRA</c:v>
                </c:pt>
                <c:pt idx="1">
                  <c:v>CUSTOS DIRETOS</c:v>
                </c:pt>
              </c:strCache>
            </c:strRef>
          </c:cat>
          <c:val>
            <c:numRef>
              <c:f>'RESUMO-CURVA PREV'!$H$22:$H$23</c:f>
              <c:numCache>
                <c:formatCode>0.00%</c:formatCode>
                <c:ptCount val="2"/>
                <c:pt idx="0">
                  <c:v>0.90337283370561383</c:v>
                </c:pt>
                <c:pt idx="1">
                  <c:v>0.88153180572637824</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9840890130971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PREV'!$D$16:$D$19</c:f>
              <c:strCache>
                <c:ptCount val="4"/>
                <c:pt idx="0">
                  <c:v>SOBRESSALENTES - LINHA DE TRANSMISSÃO</c:v>
                </c:pt>
                <c:pt idx="1">
                  <c:v>ESCRITÓRIO</c:v>
                </c:pt>
                <c:pt idx="2">
                  <c:v>SISTEMA DE RÁDIO COMUNICAÇÃO</c:v>
                </c:pt>
                <c:pt idx="3">
                  <c:v>INSTALAÇÃO DA EQUIPE</c:v>
                </c:pt>
              </c:strCache>
            </c:strRef>
          </c:cat>
          <c:val>
            <c:numRef>
              <c:f>'RESUMO-CURVA PREV'!$E$16:$E$19</c:f>
              <c:numCache>
                <c:formatCode>#,##0.00</c:formatCode>
                <c:ptCount val="4"/>
                <c:pt idx="0">
                  <c:v>469086.46</c:v>
                </c:pt>
                <c:pt idx="1">
                  <c:v>518209.67999999993</c:v>
                </c:pt>
                <c:pt idx="2">
                  <c:v>528013.08000000007</c:v>
                </c:pt>
                <c:pt idx="3">
                  <c:v>685214.99640000006</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4.0776908090538053E-4"/>
                  <c:y val="-0.28665969146002906"/>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369224753190903"/>
                      <c:h val="3.0310609211334608E-2"/>
                    </c:manualLayout>
                  </c15:layout>
                </c:ext>
                <c:ext xmlns:c16="http://schemas.microsoft.com/office/drawing/2014/chart" uri="{C3380CC4-5D6E-409C-BE32-E72D297353CC}">
                  <c16:uniqueId val="{0000001D-CCA6-4342-AF8D-EEEF519C3340}"/>
                </c:ext>
              </c:extLst>
            </c:dLbl>
            <c:dLbl>
              <c:idx val="1"/>
              <c:layout>
                <c:manualLayout>
                  <c:x val="0"/>
                  <c:y val="0.21278200799103261"/>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2.7378644185312873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dLbl>
              <c:idx val="3"/>
              <c:layout>
                <c:manualLayout>
                  <c:x val="-5.9108689210592017E-3"/>
                  <c:y val="0.24086916237549669"/>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7691577173181"/>
                      <c:h val="2.9565240065129759E-2"/>
                    </c:manualLayout>
                  </c15:layout>
                </c:ext>
                <c:ext xmlns:c16="http://schemas.microsoft.com/office/drawing/2014/chart" uri="{C3380CC4-5D6E-409C-BE32-E72D297353CC}">
                  <c16:uniqueId val="{0000000B-53A1-47FB-8121-35F4A231F8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PREV'!$D$16:$D$19</c:f>
              <c:strCache>
                <c:ptCount val="4"/>
                <c:pt idx="0">
                  <c:v>SOBRESSALENTES - LINHA DE TRANSMISSÃO</c:v>
                </c:pt>
                <c:pt idx="1">
                  <c:v>ESCRITÓRIO</c:v>
                </c:pt>
                <c:pt idx="2">
                  <c:v>SISTEMA DE RÁDIO COMUNICAÇÃO</c:v>
                </c:pt>
                <c:pt idx="3">
                  <c:v>INSTALAÇÃO DA EQUIPE</c:v>
                </c:pt>
              </c:strCache>
            </c:strRef>
          </c:cat>
          <c:val>
            <c:numRef>
              <c:f>'RESUMO-CURVA PREV'!$F$16:$F$19</c:f>
              <c:numCache>
                <c:formatCode>#,##0.00</c:formatCode>
                <c:ptCount val="4"/>
                <c:pt idx="0">
                  <c:v>5393.0399812480628</c:v>
                </c:pt>
                <c:pt idx="1">
                  <c:v>518209.67999999993</c:v>
                </c:pt>
                <c:pt idx="2">
                  <c:v>492055.56000000006</c:v>
                </c:pt>
                <c:pt idx="3">
                  <c:v>685214.34499999997</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PREV'!$D$16:$D$19</c:f>
              <c:strCache>
                <c:ptCount val="4"/>
                <c:pt idx="0">
                  <c:v>SOBRESSALENTES - LINHA DE TRANSMISSÃO</c:v>
                </c:pt>
                <c:pt idx="1">
                  <c:v>ESCRITÓRIO</c:v>
                </c:pt>
                <c:pt idx="2">
                  <c:v>SISTEMA DE RÁDIO COMUNICAÇÃO</c:v>
                </c:pt>
                <c:pt idx="3">
                  <c:v>INSTALAÇÃO DA EQUIPE</c:v>
                </c:pt>
              </c:strCache>
            </c:strRef>
          </c:cat>
          <c:val>
            <c:numRef>
              <c:f>'RESUMO-CURVA PREV'!$H$16:$H$19</c:f>
              <c:numCache>
                <c:formatCode>0.00%</c:formatCode>
                <c:ptCount val="4"/>
                <c:pt idx="0">
                  <c:v>1.14968997E-2</c:v>
                </c:pt>
                <c:pt idx="1">
                  <c:v>1</c:v>
                </c:pt>
                <c:pt idx="2">
                  <c:v>0.9319003233783526</c:v>
                </c:pt>
                <c:pt idx="3">
                  <c:v>0.99999904934946915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90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3.62635186376809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PREV'!$D$4:$D$6</c:f>
              <c:strCache>
                <c:ptCount val="3"/>
                <c:pt idx="0">
                  <c:v>FERRAMENTAS - CIVIL </c:v>
                </c:pt>
                <c:pt idx="1">
                  <c:v>INSTRUMENTOS - ELÉTRICA</c:v>
                </c:pt>
                <c:pt idx="2">
                  <c:v>MOBILIZAÇÃO E DESMOBILIZAÇÃO </c:v>
                </c:pt>
              </c:strCache>
            </c:strRef>
          </c:cat>
          <c:val>
            <c:numRef>
              <c:f>'RESUMO-CURVA PREV'!$E$4:$E$6</c:f>
              <c:numCache>
                <c:formatCode>#,##0.00</c:formatCode>
                <c:ptCount val="3"/>
                <c:pt idx="0">
                  <c:v>6965.42</c:v>
                </c:pt>
                <c:pt idx="1">
                  <c:v>14304</c:v>
                </c:pt>
                <c:pt idx="2">
                  <c:v>16308.35</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0642808611649874E-7"/>
                  <c:y val="9.4903299373920794E-4"/>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4.9559439586707736E-17"/>
                  <c:y val="-1.4684573718006421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1.9622312206746862E-2"/>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PREV'!$D$4:$D$6</c:f>
              <c:strCache>
                <c:ptCount val="3"/>
                <c:pt idx="0">
                  <c:v>FERRAMENTAS - CIVIL </c:v>
                </c:pt>
                <c:pt idx="1">
                  <c:v>INSTRUMENTOS - ELÉTRICA</c:v>
                </c:pt>
                <c:pt idx="2">
                  <c:v>MOBILIZAÇÃO E DESMOBILIZAÇÃO </c:v>
                </c:pt>
              </c:strCache>
            </c:strRef>
          </c:cat>
          <c:val>
            <c:numRef>
              <c:f>'RESUMO-CURVA PREV'!$F$4:$F$6</c:f>
              <c:numCache>
                <c:formatCode>#,##0.00</c:formatCode>
                <c:ptCount val="3"/>
                <c:pt idx="0">
                  <c:v>6965.42</c:v>
                </c:pt>
                <c:pt idx="1">
                  <c:v>4971.3600004223999</c:v>
                </c:pt>
                <c:pt idx="2">
                  <c:v>8154.1750000000002</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PREV'!$D$4:$D$6</c:f>
              <c:strCache>
                <c:ptCount val="3"/>
                <c:pt idx="0">
                  <c:v>FERRAMENTAS - CIVIL </c:v>
                </c:pt>
                <c:pt idx="1">
                  <c:v>INSTRUMENTOS - ELÉTRICA</c:v>
                </c:pt>
                <c:pt idx="2">
                  <c:v>MOBILIZAÇÃO E DESMOBILIZAÇÃO </c:v>
                </c:pt>
              </c:strCache>
            </c:strRef>
          </c:cat>
          <c:val>
            <c:numRef>
              <c:f>'RESUMO-CURVA PREV'!$H$4:$H$6</c:f>
              <c:numCache>
                <c:formatCode>0.00%</c:formatCode>
                <c:ptCount val="3"/>
                <c:pt idx="0">
                  <c:v>1</c:v>
                </c:pt>
                <c:pt idx="1">
                  <c:v>0.34755033559999998</c:v>
                </c:pt>
                <c:pt idx="2">
                  <c:v>0.5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1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4.05435625079213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9F-48C2-A167-F5EC9CD2CE03}"/>
                </c:ext>
              </c:extLst>
            </c:dLbl>
            <c:dLbl>
              <c:idx val="1"/>
              <c:layout>
                <c:manualLayout>
                  <c:x val="0"/>
                  <c:y val="-3.22439253460204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89F-48C2-A167-F5EC9CD2CE03}"/>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PREV'!$D$20:$D$21</c:f>
              <c:strCache>
                <c:ptCount val="2"/>
                <c:pt idx="0">
                  <c:v>EQUIPAMENTOS PARA MANUTENÇÃO ELÉTRICA</c:v>
                </c:pt>
                <c:pt idx="1">
                  <c:v>VEÍCULOS, COMBUSTÍVEL E MANUTENÇÃO</c:v>
                </c:pt>
              </c:strCache>
            </c:strRef>
          </c:cat>
          <c:val>
            <c:numRef>
              <c:f>'RESUMO-CURVA PREV'!$E$20:$E$21</c:f>
              <c:numCache>
                <c:formatCode>#,##0.00</c:formatCode>
                <c:ptCount val="2"/>
                <c:pt idx="0">
                  <c:v>4591811.13</c:v>
                </c:pt>
                <c:pt idx="1">
                  <c:v>3783418.92</c:v>
                </c:pt>
              </c:numCache>
            </c:numRef>
          </c:val>
          <c:extLst>
            <c:ext xmlns:c16="http://schemas.microsoft.com/office/drawing/2014/chart" uri="{C3380CC4-5D6E-409C-BE32-E72D297353CC}">
              <c16:uniqueId val="{00000001-D89F-48C2-A167-F5EC9CD2CE03}"/>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5572598618402191E-4"/>
                  <c:y val="-3.1820438200531012E-3"/>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02-D89F-48C2-A167-F5EC9CD2CE03}"/>
                </c:ext>
              </c:extLst>
            </c:dLbl>
            <c:dLbl>
              <c:idx val="1"/>
              <c:layout>
                <c:manualLayout>
                  <c:x val="4.1115019096382727E-3"/>
                  <c:y val="-1.8381576338991203E-5"/>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03-D89F-48C2-A167-F5EC9CD2CE03}"/>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PREV'!$D$20:$D$21</c:f>
              <c:strCache>
                <c:ptCount val="2"/>
                <c:pt idx="0">
                  <c:v>EQUIPAMENTOS PARA MANUTENÇÃO ELÉTRICA</c:v>
                </c:pt>
                <c:pt idx="1">
                  <c:v>VEÍCULOS, COMBUSTÍVEL E MANUTENÇÃO</c:v>
                </c:pt>
              </c:strCache>
            </c:strRef>
          </c:cat>
          <c:val>
            <c:numRef>
              <c:f>'RESUMO-CURVA PREV'!$F$20:$F$21</c:f>
              <c:numCache>
                <c:formatCode>#,##0.00</c:formatCode>
                <c:ptCount val="2"/>
                <c:pt idx="0">
                  <c:v>4591811.13</c:v>
                </c:pt>
                <c:pt idx="1">
                  <c:v>3720309.92</c:v>
                </c:pt>
              </c:numCache>
            </c:numRef>
          </c:val>
          <c:extLst>
            <c:ext xmlns:c16="http://schemas.microsoft.com/office/drawing/2014/chart" uri="{C3380CC4-5D6E-409C-BE32-E72D297353CC}">
              <c16:uniqueId val="{00000004-D89F-48C2-A167-F5EC9CD2CE03}"/>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05-D89F-48C2-A167-F5EC9CD2CE03}"/>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06-D89F-48C2-A167-F5EC9CD2CE03}"/>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PREV'!$D$20:$D$21</c:f>
              <c:strCache>
                <c:ptCount val="2"/>
                <c:pt idx="0">
                  <c:v>EQUIPAMENTOS PARA MANUTENÇÃO ELÉTRICA</c:v>
                </c:pt>
                <c:pt idx="1">
                  <c:v>VEÍCULOS, COMBUSTÍVEL E MANUTENÇÃO</c:v>
                </c:pt>
              </c:strCache>
            </c:strRef>
          </c:cat>
          <c:val>
            <c:numRef>
              <c:f>'RESUMO-CURVA PREV'!$H$20:$H$21</c:f>
              <c:numCache>
                <c:formatCode>0.00%</c:formatCode>
                <c:ptCount val="2"/>
                <c:pt idx="0">
                  <c:v>1</c:v>
                </c:pt>
                <c:pt idx="1">
                  <c:v>0.98331958439326095</c:v>
                </c:pt>
              </c:numCache>
            </c:numRef>
          </c:val>
          <c:extLst>
            <c:ext xmlns:c16="http://schemas.microsoft.com/office/drawing/2014/chart" uri="{C3380CC4-5D6E-409C-BE32-E72D297353CC}">
              <c16:uniqueId val="{00000007-D89F-48C2-A167-F5EC9CD2CE03}"/>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00000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86169184063262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PREV'!$D$7:$D$9</c:f>
              <c:strCache>
                <c:ptCount val="3"/>
                <c:pt idx="0">
                  <c:v>FRENTES MÓVEIS</c:v>
                </c:pt>
                <c:pt idx="1">
                  <c:v>MATERIAL DE CONSUMO - ELÉTRICO</c:v>
                </c:pt>
                <c:pt idx="2">
                  <c:v>FERRAMENTAS ELÉTRICA</c:v>
                </c:pt>
              </c:strCache>
            </c:strRef>
          </c:cat>
          <c:val>
            <c:numRef>
              <c:f>'RESUMO-CURVA PREV'!$E$7:$E$9</c:f>
              <c:numCache>
                <c:formatCode>#,##0.00</c:formatCode>
                <c:ptCount val="3"/>
                <c:pt idx="0">
                  <c:v>70204</c:v>
                </c:pt>
                <c:pt idx="1">
                  <c:v>83279.41</c:v>
                </c:pt>
                <c:pt idx="2">
                  <c:v>96713.2</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2.6960472864042338E-17"/>
                  <c:y val="4.3350094396682047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1.1579434923575729E-7"/>
                  <c:y val="7.3820906384156092E-4"/>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1.0784189145616935E-16"/>
                  <c:y val="-3.0833315883376018E-2"/>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PREV'!$D$7:$D$9</c:f>
              <c:strCache>
                <c:ptCount val="3"/>
                <c:pt idx="0">
                  <c:v>FRENTES MÓVEIS</c:v>
                </c:pt>
                <c:pt idx="1">
                  <c:v>MATERIAL DE CONSUMO - ELÉTRICO</c:v>
                </c:pt>
                <c:pt idx="2">
                  <c:v>FERRAMENTAS ELÉTRICA</c:v>
                </c:pt>
              </c:strCache>
            </c:strRef>
          </c:cat>
          <c:val>
            <c:numRef>
              <c:f>'RESUMO-CURVA PREV'!$F$7:$F$9</c:f>
              <c:numCache>
                <c:formatCode>#,##0.00</c:formatCode>
                <c:ptCount val="3"/>
                <c:pt idx="0">
                  <c:v>70204</c:v>
                </c:pt>
                <c:pt idx="1">
                  <c:v>73584.516200548329</c:v>
                </c:pt>
                <c:pt idx="2">
                  <c:v>55670.230000889525</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PREV'!$D$7:$D$9</c:f>
              <c:strCache>
                <c:ptCount val="3"/>
                <c:pt idx="0">
                  <c:v>FRENTES MÓVEIS</c:v>
                </c:pt>
                <c:pt idx="1">
                  <c:v>MATERIAL DE CONSUMO - ELÉTRICO</c:v>
                </c:pt>
                <c:pt idx="2">
                  <c:v>FERRAMENTAS ELÉTRICA</c:v>
                </c:pt>
              </c:strCache>
            </c:strRef>
          </c:cat>
          <c:val>
            <c:numRef>
              <c:f>'RESUMO-CURVA PREV'!$H$7:$H$9</c:f>
              <c:numCache>
                <c:formatCode>0.00%</c:formatCode>
                <c:ptCount val="3"/>
                <c:pt idx="0">
                  <c:v>1</c:v>
                </c:pt>
                <c:pt idx="1">
                  <c:v>0.88358594519999989</c:v>
                </c:pt>
                <c:pt idx="2">
                  <c:v>0.57562183860000005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60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7.605608679389018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dLbl>
              <c:idx val="1"/>
              <c:layout>
                <c:manualLayout>
                  <c:x val="0"/>
                  <c:y val="-7.84773499125841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16-4F85-BD31-51D86DCAA485}"/>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PREV'!$D$10:$D$12</c:f>
              <c:strCache>
                <c:ptCount val="3"/>
                <c:pt idx="0">
                  <c:v>EQUIPAMENTOS DE INFORMÁTICA</c:v>
                </c:pt>
                <c:pt idx="1">
                  <c:v>MANUTENÇÃO CIVIL - MATERIAIS CONSUMÍVEIS</c:v>
                </c:pt>
                <c:pt idx="2">
                  <c:v>TRANSPORTE DE EQUIPAMENTOS</c:v>
                </c:pt>
              </c:strCache>
            </c:strRef>
          </c:cat>
          <c:val>
            <c:numRef>
              <c:f>'RESUMO-CURVA PREV'!$E$10:$E$12</c:f>
              <c:numCache>
                <c:formatCode>#,##0.00</c:formatCode>
                <c:ptCount val="3"/>
                <c:pt idx="0">
                  <c:v>138086.16</c:v>
                </c:pt>
                <c:pt idx="1">
                  <c:v>237025.32</c:v>
                </c:pt>
                <c:pt idx="2">
                  <c:v>270788.7</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113865328780743E-7"/>
                  <c:y val="4.4130017812916589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5.101810085877266E-17"/>
                  <c:y val="5.6488277418028955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PREV'!$D$10:$D$12</c:f>
              <c:strCache>
                <c:ptCount val="3"/>
                <c:pt idx="0">
                  <c:v>EQUIPAMENTOS DE INFORMÁTICA</c:v>
                </c:pt>
                <c:pt idx="1">
                  <c:v>MANUTENÇÃO CIVIL - MATERIAIS CONSUMÍVEIS</c:v>
                </c:pt>
                <c:pt idx="2">
                  <c:v>TRANSPORTE DE EQUIPAMENTOS</c:v>
                </c:pt>
              </c:strCache>
            </c:strRef>
          </c:cat>
          <c:val>
            <c:numRef>
              <c:f>'RESUMO-CURVA PREV'!$F$10:$F$12</c:f>
              <c:numCache>
                <c:formatCode>#,##0.00</c:formatCode>
                <c:ptCount val="3"/>
                <c:pt idx="0">
                  <c:v>138086.16</c:v>
                </c:pt>
                <c:pt idx="1">
                  <c:v>237025.32</c:v>
                </c:pt>
                <c:pt idx="2">
                  <c:v>0</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0"/>
                  <c:y val="-0.17657403730331228"/>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616-4F85-BD31-51D86DCAA485}"/>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PREV'!$D$10:$D$12</c:f>
              <c:strCache>
                <c:ptCount val="3"/>
                <c:pt idx="0">
                  <c:v>EQUIPAMENTOS DE INFORMÁTICA</c:v>
                </c:pt>
                <c:pt idx="1">
                  <c:v>MANUTENÇÃO CIVIL - MATERIAIS CONSUMÍVEIS</c:v>
                </c:pt>
                <c:pt idx="2">
                  <c:v>TRANSPORTE DE EQUIPAMENTOS</c:v>
                </c:pt>
              </c:strCache>
            </c:strRef>
          </c:cat>
          <c:val>
            <c:numRef>
              <c:f>'RESUMO-CURVA PREV'!$H$10:$H$12</c:f>
              <c:numCache>
                <c:formatCode>0.00%</c:formatCode>
                <c:ptCount val="3"/>
                <c:pt idx="0">
                  <c:v>1</c:v>
                </c:pt>
                <c:pt idx="1">
                  <c:v>1</c:v>
                </c:pt>
                <c:pt idx="2">
                  <c:v>0</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7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'RESUMO-CURVA ACM'!$D$4:$D$23</c15:sqref>
                  </c15:fullRef>
                </c:ext>
              </c:extLst>
              <c:f>'RESUMO-CURVA ACM'!$D$22:$D$23</c:f>
              <c:strCache>
                <c:ptCount val="2"/>
                <c:pt idx="0">
                  <c:v>RESUMO DA MÃO DE OBRA</c:v>
                </c:pt>
                <c:pt idx="1">
                  <c:v>CUSTOS DIRETOS</c:v>
                </c:pt>
              </c:strCache>
            </c:strRef>
          </c:cat>
          <c:val>
            <c:numRef>
              <c:extLst>
                <c:ext xmlns:c15="http://schemas.microsoft.com/office/drawing/2012/chart" uri="{02D57815-91ED-43cb-92C2-25804820EDAC}">
                  <c15:fullRef>
                    <c15:sqref>'RESUMO-CURVA ACM'!$E$4:$E$23</c15:sqref>
                  </c15:fullRef>
                </c:ext>
              </c:extLst>
              <c:f>'RESUMO-CURVA ACM'!$E$22:$E$23</c:f>
              <c:numCache>
                <c:formatCode>#,##0.00</c:formatCode>
                <c:ptCount val="2"/>
                <c:pt idx="0">
                  <c:v>18310884.076674007</c:v>
                </c:pt>
                <c:pt idx="1">
                  <c:v>12317952.7564</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solidFill>
                <a:srgbClr val="1F497D">
                  <a:lumMod val="20000"/>
                  <a:lumOff val="80000"/>
                </a:srgbClr>
              </a:solidFill>
              <a:ln>
                <a:noFill/>
              </a:ln>
              <a:effectLst/>
            </c:spPr>
            <c:txPr>
              <a:bodyPr wrap="none" lIns="38100" tIns="19050" rIns="38100" bIns="1905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'RESUMO-CURVA ACM'!$D$4:$D$23</c15:sqref>
                  </c15:fullRef>
                </c:ext>
              </c:extLst>
              <c:f>'RESUMO-CURVA ACM'!$D$22:$D$23</c:f>
              <c:strCache>
                <c:ptCount val="2"/>
                <c:pt idx="0">
                  <c:v>RESUMO DA MÃO DE OBRA</c:v>
                </c:pt>
                <c:pt idx="1">
                  <c:v>CUSTOS DIRETOS</c:v>
                </c:pt>
              </c:strCache>
            </c:strRef>
          </c:cat>
          <c:val>
            <c:numRef>
              <c:extLst>
                <c:ext xmlns:c15="http://schemas.microsoft.com/office/drawing/2012/chart" uri="{02D57815-91ED-43cb-92C2-25804820EDAC}">
                  <c15:fullRef>
                    <c15:sqref>'RESUMO-CURVA ACM'!$F$4:$F$23</c15:sqref>
                  </c15:fullRef>
                </c:ext>
              </c:extLst>
              <c:f>'RESUMO-CURVA ACM'!$F$22:$F$23</c:f>
              <c:numCache>
                <c:formatCode>#,##0.00</c:formatCode>
                <c:ptCount val="2"/>
                <c:pt idx="0">
                  <c:v>9407553.8248052541</c:v>
                </c:pt>
                <c:pt idx="1">
                  <c:v>6312711.5009197779</c:v>
                </c:pt>
              </c:numCache>
            </c:numRef>
          </c:val>
          <c:extLst>
            <c:ext xmlns:c15="http://schemas.microsoft.com/office/drawing/2012/chart" uri="{02D57815-91ED-43cb-92C2-25804820EDAC}">
              <c15:categoryFilterExceptions>
                <c15:categoryFilterException>
                  <c15:sqref>'RESUMO-CURVA ACM'!$F$4</c15:sqref>
                  <c15:dLbl>
                    <c:idx val="-1"/>
                    <c:spPr>
                      <a:solidFill>
                        <a:srgbClr val="1F497D">
                          <a:lumMod val="20000"/>
                          <a:lumOff val="80000"/>
                        </a:srgbClr>
                      </a:solidFill>
                      <a:ln>
                        <a:noFill/>
                      </a:ln>
                      <a:effectLst>
                        <a:softEdge rad="381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0-FF55-4290-910A-0352B2C18A84}"/>
                      </c:ext>
                    </c:extLst>
                  </c15:dLbl>
                </c15:categoryFilterException>
                <c15:categoryFilterException>
                  <c15:sqref>'RESUMO-CURVA ACM'!$F$5</c15:sqref>
                  <c15:dLbl>
                    <c:idx val="-1"/>
                    <c:spPr>
                      <a:solidFill>
                        <a:srgbClr val="1F497D">
                          <a:lumMod val="20000"/>
                          <a:lumOff val="80000"/>
                        </a:srgbClr>
                      </a:solidFill>
                      <a:ln>
                        <a:noFill/>
                      </a:ln>
                      <a:effectLst>
                        <a:softEdge rad="381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1-FF55-4290-910A-0352B2C18A84}"/>
                      </c:ext>
                    </c:extLst>
                  </c15:dLbl>
                </c15:categoryFilterException>
              </c15:categoryFilterExceptions>
            </c:ex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solidFill>
                <a:srgbClr val="1F497D">
                  <a:lumMod val="20000"/>
                  <a:lumOff val="80000"/>
                </a:srgbClr>
              </a:solidFill>
              <a:ln>
                <a:noFill/>
              </a:ln>
              <a:effectLst>
                <a:softEdge rad="38100"/>
              </a:effectLst>
            </c:spPr>
            <c:txPr>
              <a:bodyPr wrap="none" lIns="216000" tIns="36000" rIns="216000" bIns="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extLst>
                <c:ext xmlns:c15="http://schemas.microsoft.com/office/drawing/2012/chart" uri="{02D57815-91ED-43cb-92C2-25804820EDAC}">
                  <c15:fullRef>
                    <c15:sqref>'RESUMO-CURVA ACM'!$D$4:$D$23</c15:sqref>
                  </c15:fullRef>
                </c:ext>
              </c:extLst>
              <c:f>'RESUMO-CURVA ACM'!$D$22:$D$23</c:f>
              <c:strCache>
                <c:ptCount val="2"/>
                <c:pt idx="0">
                  <c:v>RESUMO DA MÃO DE OBRA</c:v>
                </c:pt>
                <c:pt idx="1">
                  <c:v>CUSTOS DIRETOS</c:v>
                </c:pt>
              </c:strCache>
            </c:strRef>
          </c:cat>
          <c:val>
            <c:numRef>
              <c:extLst>
                <c:ext xmlns:c15="http://schemas.microsoft.com/office/drawing/2012/chart" uri="{02D57815-91ED-43cb-92C2-25804820EDAC}">
                  <c15:fullRef>
                    <c15:sqref>'RESUMO-CURVA ACM'!$H$4:$H$23</c15:sqref>
                  </c15:fullRef>
                </c:ext>
              </c:extLst>
              <c:f>'RESUMO-CURVA ACM'!$H$22:$H$23</c:f>
              <c:numCache>
                <c:formatCode>0.00%</c:formatCode>
                <c:ptCount val="2"/>
                <c:pt idx="0">
                  <c:v>0.51376841147661534</c:v>
                </c:pt>
                <c:pt idx="1">
                  <c:v>0.51248057414734782</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66516150656051"/>
          <c:y val="1.1414721857486421E-2"/>
          <c:w val="0.89570162690914834"/>
          <c:h val="0.88755916232038579"/>
        </c:manualLayout>
      </c:layout>
      <c:barChart>
        <c:barDir val="col"/>
        <c:grouping val="clustered"/>
        <c:varyColors val="0"/>
        <c:ser>
          <c:idx val="0"/>
          <c:order val="0"/>
          <c:tx>
            <c:strRef>
              <c:f>'Evolução Mensal'!$R$48</c:f>
            </c:strRef>
          </c:tx>
          <c:spPr>
            <a:solidFill>
              <a:schemeClr val="accent1"/>
            </a:solidFill>
            <a:ln>
              <a:noFill/>
            </a:ln>
            <a:effectLst/>
          </c:spPr>
          <c:invertIfNegative val="0"/>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Mensal'!$AD$12:$AP$12</c:f>
              <c:numCache>
                <c:formatCode>#,##0.00</c:formatCode>
                <c:ptCount val="13"/>
                <c:pt idx="0">
                  <c:v>2064399.6495377775</c:v>
                </c:pt>
                <c:pt idx="1">
                  <c:v>2580499.5619222219</c:v>
                </c:pt>
                <c:pt idx="2">
                  <c:v>2580499.5619222219</c:v>
                </c:pt>
                <c:pt idx="3">
                  <c:v>2580499.5619222219</c:v>
                </c:pt>
                <c:pt idx="4">
                  <c:v>2580499.5619222219</c:v>
                </c:pt>
                <c:pt idx="5">
                  <c:v>2580499.5619222219</c:v>
                </c:pt>
                <c:pt idx="6">
                  <c:v>2580499.5619222219</c:v>
                </c:pt>
                <c:pt idx="7">
                  <c:v>2580499.5619222219</c:v>
                </c:pt>
                <c:pt idx="8">
                  <c:v>2580499.5619222219</c:v>
                </c:pt>
                <c:pt idx="9">
                  <c:v>2580499.5619222219</c:v>
                </c:pt>
                <c:pt idx="10">
                  <c:v>2580499.5619222219</c:v>
                </c:pt>
                <c:pt idx="11">
                  <c:v>2580499.5619222219</c:v>
                </c:pt>
                <c:pt idx="12">
                  <c:v>516099.91238444438</c:v>
                </c:pt>
              </c:numCache>
            </c:numRef>
          </c:val>
          <c:extLst>
            <c:ext xmlns:c16="http://schemas.microsoft.com/office/drawing/2014/chart" uri="{C3380CC4-5D6E-409C-BE32-E72D297353CC}">
              <c16:uniqueId val="{00000000-DF73-4473-942A-56678221A253}"/>
            </c:ext>
          </c:extLst>
        </c:ser>
        <c:ser>
          <c:idx val="1"/>
          <c:order val="1"/>
          <c:tx>
            <c:strRef>
              <c:f>'Evolução Mensal'!$U$48</c:f>
            </c:strRef>
          </c:tx>
          <c:spPr>
            <a:solidFill>
              <a:schemeClr val="accent2"/>
            </a:solidFill>
            <a:ln>
              <a:noFill/>
            </a:ln>
            <a:effectLst/>
          </c:spPr>
          <c:invertIfNegative val="0"/>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Mensal'!$AD$13:$AP$13</c:f>
              <c:numCache>
                <c:formatCode>#,##0.00</c:formatCode>
                <c:ptCount val="13"/>
                <c:pt idx="0">
                  <c:v>1756249.2141211117</c:v>
                </c:pt>
                <c:pt idx="1">
                  <c:v>2373614.8695411473</c:v>
                </c:pt>
                <c:pt idx="2">
                  <c:v>2418708.5128245549</c:v>
                </c:pt>
                <c:pt idx="3">
                  <c:v>2439779.0029578879</c:v>
                </c:pt>
                <c:pt idx="4">
                  <c:v>2348867.7532045543</c:v>
                </c:pt>
                <c:pt idx="5">
                  <c:v>2319342.0798712214</c:v>
                </c:pt>
                <c:pt idx="6">
                  <c:v>2233219.6232045549</c:v>
                </c:pt>
                <c:pt idx="7">
                  <c:v>0</c:v>
                </c:pt>
                <c:pt idx="8">
                  <c:v>0</c:v>
                </c:pt>
                <c:pt idx="9">
                  <c:v>0</c:v>
                </c:pt>
                <c:pt idx="10">
                  <c:v>0</c:v>
                </c:pt>
                <c:pt idx="11">
                  <c:v>0</c:v>
                </c:pt>
                <c:pt idx="12">
                  <c:v>0</c:v>
                </c:pt>
              </c:numCache>
            </c:numRef>
          </c:val>
          <c:extLst>
            <c:ext xmlns:c16="http://schemas.microsoft.com/office/drawing/2014/chart" uri="{C3380CC4-5D6E-409C-BE32-E72D297353CC}">
              <c16:uniqueId val="{00000001-DF73-4473-942A-56678221A253}"/>
            </c:ext>
          </c:extLst>
        </c:ser>
        <c:dLbls>
          <c:showLegendKey val="0"/>
          <c:showVal val="0"/>
          <c:showCatName val="0"/>
          <c:showSerName val="0"/>
          <c:showPercent val="0"/>
          <c:showBubbleSize val="0"/>
        </c:dLbls>
        <c:gapWidth val="219"/>
        <c:overlap val="-27"/>
        <c:axId val="114030848"/>
        <c:axId val="113905664"/>
      </c:barChart>
      <c:dateAx>
        <c:axId val="11403084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905664"/>
        <c:crossesAt val="0"/>
        <c:auto val="1"/>
        <c:lblOffset val="100"/>
        <c:baseTimeUnit val="months"/>
      </c:dateAx>
      <c:valAx>
        <c:axId val="113905664"/>
        <c:scaling>
          <c:orientation val="minMax"/>
          <c:max val="26000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030848"/>
        <c:crosses val="autoZero"/>
        <c:crossBetween val="between"/>
        <c:majorUnit val="200000"/>
        <c:minorUnit val="200000"/>
      </c:valAx>
      <c:spPr>
        <a:noFill/>
        <a:ln>
          <a:noFill/>
        </a:ln>
        <a:effectLst/>
      </c:spPr>
    </c:plotArea>
    <c:legend>
      <c:legendPos val="b"/>
      <c:layout>
        <c:manualLayout>
          <c:xMode val="edge"/>
          <c:yMode val="edge"/>
          <c:x val="0.22875572008557138"/>
          <c:y val="0.95649468132462345"/>
          <c:w val="0.6005658010810726"/>
          <c:h val="3.97682790433756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59055118110234384" l="0.39370078740157488" r="0.39370078740157488" t="0.19685039370078738" header="0.31496062000001074" footer="0.31496062000001074"/>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0569325700956"/>
          <c:y val="2.4162695558101025E-2"/>
          <c:w val="0.86907566279178605"/>
          <c:h val="0.86577185185187111"/>
        </c:manualLayout>
      </c:layout>
      <c:lineChart>
        <c:grouping val="standard"/>
        <c:varyColors val="0"/>
        <c:ser>
          <c:idx val="0"/>
          <c:order val="0"/>
          <c:tx>
            <c:strRef>
              <c:f>'Evolução Mensal'!$X$48</c:f>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Mensal'!$AD$14:$AP$14</c:f>
              <c:numCache>
                <c:formatCode>#,##0.00</c:formatCode>
                <c:ptCount val="13"/>
                <c:pt idx="0">
                  <c:v>2064399.6495377775</c:v>
                </c:pt>
                <c:pt idx="1">
                  <c:v>4644899.2114599999</c:v>
                </c:pt>
                <c:pt idx="2">
                  <c:v>7225398.7733822223</c:v>
                </c:pt>
                <c:pt idx="3">
                  <c:v>9805898.3353044447</c:v>
                </c:pt>
                <c:pt idx="4">
                  <c:v>12386397.897226667</c:v>
                </c:pt>
                <c:pt idx="5">
                  <c:v>14966897.459148889</c:v>
                </c:pt>
                <c:pt idx="6">
                  <c:v>17547397.02107111</c:v>
                </c:pt>
                <c:pt idx="7">
                  <c:v>20127896.582993332</c:v>
                </c:pt>
                <c:pt idx="8">
                  <c:v>22708396.144915555</c:v>
                </c:pt>
                <c:pt idx="9">
                  <c:v>25288895.706837777</c:v>
                </c:pt>
                <c:pt idx="10">
                  <c:v>27869395.268759999</c:v>
                </c:pt>
                <c:pt idx="11">
                  <c:v>30449894.830682222</c:v>
                </c:pt>
                <c:pt idx="12">
                  <c:v>30965994.743066665</c:v>
                </c:pt>
              </c:numCache>
            </c:numRef>
          </c:val>
          <c:smooth val="0"/>
          <c:extLst>
            <c:ext xmlns:c16="http://schemas.microsoft.com/office/drawing/2014/chart" uri="{C3380CC4-5D6E-409C-BE32-E72D297353CC}">
              <c16:uniqueId val="{00000000-5026-4F18-A9C6-CC5CD25B7C5D}"/>
            </c:ext>
          </c:extLst>
        </c:ser>
        <c:ser>
          <c:idx val="1"/>
          <c:order val="1"/>
          <c:tx>
            <c:strRef>
              <c:f>'Evolução Mensal'!$AB$48</c:f>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Mensal'!$AD$15:$AP$15</c:f>
              <c:numCache>
                <c:formatCode>#,##0.00</c:formatCode>
                <c:ptCount val="13"/>
                <c:pt idx="0">
                  <c:v>1756249.2141211117</c:v>
                </c:pt>
                <c:pt idx="1">
                  <c:v>4129864.0836622589</c:v>
                </c:pt>
                <c:pt idx="2">
                  <c:v>6548572.5964868143</c:v>
                </c:pt>
                <c:pt idx="3">
                  <c:v>8988351.5994447023</c:v>
                </c:pt>
                <c:pt idx="4">
                  <c:v>11337219.352649257</c:v>
                </c:pt>
                <c:pt idx="5">
                  <c:v>13656561.432520479</c:v>
                </c:pt>
                <c:pt idx="6">
                  <c:v>15889781.055725034</c:v>
                </c:pt>
              </c:numCache>
            </c:numRef>
          </c:val>
          <c:smooth val="0"/>
          <c:extLst>
            <c:ext xmlns:c16="http://schemas.microsoft.com/office/drawing/2014/chart" uri="{C3380CC4-5D6E-409C-BE32-E72D297353CC}">
              <c16:uniqueId val="{00000001-5026-4F18-A9C6-CC5CD25B7C5D}"/>
            </c:ext>
          </c:extLst>
        </c:ser>
        <c:dLbls>
          <c:showLegendKey val="0"/>
          <c:showVal val="0"/>
          <c:showCatName val="0"/>
          <c:showSerName val="0"/>
          <c:showPercent val="0"/>
          <c:showBubbleSize val="0"/>
        </c:dLbls>
        <c:marker val="1"/>
        <c:smooth val="0"/>
        <c:axId val="113934720"/>
        <c:axId val="113936640"/>
      </c:lineChart>
      <c:dateAx>
        <c:axId val="11393472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936640"/>
        <c:crosses val="autoZero"/>
        <c:auto val="1"/>
        <c:lblOffset val="100"/>
        <c:baseTimeUnit val="months"/>
      </c:dateAx>
      <c:valAx>
        <c:axId val="113936640"/>
        <c:scaling>
          <c:orientation val="minMax"/>
          <c:max val="310000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934720"/>
        <c:crosses val="autoZero"/>
        <c:crossBetween val="between"/>
        <c:majorUnit val="1500000"/>
      </c:valAx>
      <c:spPr>
        <a:noFill/>
        <a:ln>
          <a:noFill/>
        </a:ln>
        <a:effectLst/>
      </c:spPr>
    </c:plotArea>
    <c:legend>
      <c:legendPos val="b"/>
      <c:layout>
        <c:manualLayout>
          <c:xMode val="edge"/>
          <c:yMode val="edge"/>
          <c:x val="0.13875328882568141"/>
          <c:y val="0.9519037037037037"/>
          <c:w val="0.81091832187131196"/>
          <c:h val="3.96877777777796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1074" footer="0.31496062000001074"/>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'RESUMO-CURVA GRÁFICO'!$E$276:$E$277</c:f>
          <c:strCache>
            <c:ptCount val="2"/>
            <c:pt idx="0">
              <c:v>Vigia (12X36) - Diurno</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barChart>
        <c:barDir val="col"/>
        <c:grouping val="clustered"/>
        <c:varyColors val="0"/>
        <c:ser>
          <c:idx val="0"/>
          <c:order val="0"/>
          <c:tx>
            <c:strRef>
              <c:f>'RESUMO-CURVA GRÁFICO'!$D$276:$E$276</c:f>
              <c:strCache>
                <c:ptCount val="2"/>
                <c:pt idx="0">
                  <c:v>PREV</c:v>
                </c:pt>
                <c:pt idx="1">
                  <c:v>Vigia (12X36) - Diurno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'RESUMO-CURVA GRÁFICO'!$F$275:$R$275</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cat>
          <c:val>
            <c:numRef>
              <c:f>'RESUMO-CURVA GRÁFICO'!$F$276:$R$276</c:f>
              <c:numCache>
                <c:formatCode>_-* #,##0.00_-;\-* #,##0.00_-;_-* "-"??_-;_-@_-</c:formatCode>
                <c:ptCount val="13"/>
                <c:pt idx="0">
                  <c:v>9.6000000000000014</c:v>
                </c:pt>
                <c:pt idx="1">
                  <c:v>12</c:v>
                </c:pt>
                <c:pt idx="2">
                  <c:v>12</c:v>
                </c:pt>
                <c:pt idx="3">
                  <c:v>12</c:v>
                </c:pt>
                <c:pt idx="4">
                  <c:v>12</c:v>
                </c:pt>
                <c:pt idx="5">
                  <c:v>12</c:v>
                </c:pt>
                <c:pt idx="6">
                  <c:v>12</c:v>
                </c:pt>
                <c:pt idx="7">
                  <c:v>12</c:v>
                </c:pt>
                <c:pt idx="8">
                  <c:v>12</c:v>
                </c:pt>
                <c:pt idx="9">
                  <c:v>12</c:v>
                </c:pt>
                <c:pt idx="10">
                  <c:v>12</c:v>
                </c:pt>
                <c:pt idx="11">
                  <c:v>12</c:v>
                </c:pt>
                <c:pt idx="12">
                  <c:v>2.4000000000000004</c:v>
                </c:pt>
              </c:numCache>
            </c:numRef>
          </c:val>
          <c:extLst>
            <c:ext xmlns:c16="http://schemas.microsoft.com/office/drawing/2014/chart" uri="{C3380CC4-5D6E-409C-BE32-E72D297353CC}">
              <c16:uniqueId val="{00000000-5434-4428-813A-6FCCBC67E498}"/>
            </c:ext>
          </c:extLst>
        </c:ser>
        <c:dLbls>
          <c:showLegendKey val="0"/>
          <c:showVal val="0"/>
          <c:showCatName val="0"/>
          <c:showSerName val="0"/>
          <c:showPercent val="0"/>
          <c:showBubbleSize val="0"/>
        </c:dLbls>
        <c:gapWidth val="180"/>
        <c:overlap val="-2"/>
        <c:axId val="2039743967"/>
        <c:axId val="418088143"/>
      </c:barChart>
      <c:scatterChart>
        <c:scatterStyle val="smoothMarker"/>
        <c:varyColors val="0"/>
        <c:ser>
          <c:idx val="1"/>
          <c:order val="1"/>
          <c:tx>
            <c:strRef>
              <c:f>'RESUMO-CURVA GRÁFICO'!$D$277:$E$277</c:f>
              <c:strCache>
                <c:ptCount val="2"/>
                <c:pt idx="0">
                  <c:v>REAL</c:v>
                </c:pt>
                <c:pt idx="1">
                  <c:v>Vigia (12X36) - Diurno</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'RESUMO-CURVA GRÁFICO'!$F$275:$R$275</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xVal>
          <c:yVal>
            <c:numRef>
              <c:f>'RESUMO-CURVA GRÁFICO'!$F$277:$P$277</c:f>
              <c:numCache>
                <c:formatCode>_-* #,##0.00_-;\-* #,##0.00_-;_-* "-"??_-;_-@_-</c:formatCode>
                <c:ptCount val="11"/>
                <c:pt idx="0">
                  <c:v>7.9999999999999991</c:v>
                </c:pt>
                <c:pt idx="1">
                  <c:v>9</c:v>
                </c:pt>
                <c:pt idx="2">
                  <c:v>8</c:v>
                </c:pt>
                <c:pt idx="3">
                  <c:v>8</c:v>
                </c:pt>
                <c:pt idx="4">
                  <c:v>7.3666666666666671</c:v>
                </c:pt>
                <c:pt idx="5">
                  <c:v>7.6999999999999993</c:v>
                </c:pt>
                <c:pt idx="6">
                  <c:v>8.9333333333333336</c:v>
                </c:pt>
                <c:pt idx="7">
                  <c:v>0</c:v>
                </c:pt>
                <c:pt idx="8">
                  <c:v>0</c:v>
                </c:pt>
                <c:pt idx="9">
                  <c:v>0</c:v>
                </c:pt>
                <c:pt idx="10">
                  <c:v>0</c:v>
                </c:pt>
              </c:numCache>
            </c:numRef>
          </c:yVal>
          <c:smooth val="1"/>
          <c:extLst>
            <c:ext xmlns:c16="http://schemas.microsoft.com/office/drawing/2014/chart" uri="{C3380CC4-5D6E-409C-BE32-E72D297353CC}">
              <c16:uniqueId val="{00000001-5434-4428-813A-6FCCBC67E498}"/>
            </c:ext>
          </c:extLst>
        </c:ser>
        <c:dLbls>
          <c:showLegendKey val="0"/>
          <c:showVal val="0"/>
          <c:showCatName val="0"/>
          <c:showSerName val="0"/>
          <c:showPercent val="0"/>
          <c:showBubbleSize val="0"/>
        </c:dLbls>
        <c:axId val="2039743967"/>
        <c:axId val="418088143"/>
      </c:scatterChart>
      <c:dateAx>
        <c:axId val="2039743967"/>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418088143"/>
        <c:crosses val="autoZero"/>
        <c:auto val="1"/>
        <c:lblOffset val="100"/>
        <c:baseTimeUnit val="months"/>
      </c:dateAx>
      <c:valAx>
        <c:axId val="41808814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203974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'RESUMO-CURVA GRÁFICO'!$D$263</c:f>
          <c:strCache>
            <c:ptCount val="1"/>
            <c:pt idx="0">
              <c:v>39.58%</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1.6211860640449997E-2"/>
          <c:y val="0.18300925925925926"/>
          <c:w val="0.9725645435315462"/>
          <c:h val="0.76606481481481481"/>
        </c:manualLayout>
      </c:layout>
      <c:scatterChart>
        <c:scatterStyle val="smoothMarker"/>
        <c:varyColors val="0"/>
        <c:ser>
          <c:idx val="1"/>
          <c:order val="0"/>
          <c:tx>
            <c:strRef>
              <c:f>'RESUMO-CURVA GRÁFICO'!$D$277:$E$277</c:f>
              <c:strCache>
                <c:ptCount val="2"/>
                <c:pt idx="0">
                  <c:v>REAL</c:v>
                </c:pt>
                <c:pt idx="1">
                  <c:v>Vigia (12X36) - Diurno</c:v>
                </c:pt>
              </c:strCache>
            </c:strRef>
          </c:tx>
          <c:spPr>
            <a:ln w="34925" cap="rnd">
              <a:noFill/>
              <a:round/>
            </a:ln>
            <a:effectLst/>
          </c:spPr>
          <c:marker>
            <c:symbol val="circle"/>
            <c:size val="6"/>
            <c:spPr>
              <a:noFill/>
              <a:ln w="9525">
                <a:noFill/>
                <a:round/>
              </a:ln>
              <a:effectLst/>
            </c:spPr>
          </c:marker>
          <c:xVal>
            <c:numRef>
              <c:f>'RESUMO-CURVA GRÁFICO'!$F$275:$R$275</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xVal>
          <c:yVal>
            <c:numRef>
              <c:f>'RESUMO-CURVA GRÁFICO'!$F$277:$H$277</c:f>
              <c:numCache>
                <c:formatCode>_-* #,##0.00_-;\-* #,##0.00_-;_-* "-"??_-;_-@_-</c:formatCode>
                <c:ptCount val="3"/>
                <c:pt idx="0">
                  <c:v>7.9999999999999991</c:v>
                </c:pt>
                <c:pt idx="1">
                  <c:v>9</c:v>
                </c:pt>
                <c:pt idx="2">
                  <c:v>8</c:v>
                </c:pt>
              </c:numCache>
            </c:numRef>
          </c:yVal>
          <c:smooth val="1"/>
          <c:extLst>
            <c:ext xmlns:c16="http://schemas.microsoft.com/office/drawing/2014/chart" uri="{C3380CC4-5D6E-409C-BE32-E72D297353CC}">
              <c16:uniqueId val="{00000000-49C8-43F7-B0D4-0464952BE27A}"/>
            </c:ext>
          </c:extLst>
        </c:ser>
        <c:dLbls>
          <c:showLegendKey val="0"/>
          <c:showVal val="0"/>
          <c:showCatName val="0"/>
          <c:showSerName val="0"/>
          <c:showPercent val="0"/>
          <c:showBubbleSize val="0"/>
        </c:dLbls>
        <c:axId val="2039743967"/>
        <c:axId val="418088143"/>
      </c:scatterChart>
      <c:catAx>
        <c:axId val="2039743967"/>
        <c:scaling>
          <c:orientation val="minMax"/>
        </c:scaling>
        <c:delete val="1"/>
        <c:axPos val="b"/>
        <c:numFmt formatCode="General" sourceLinked="1"/>
        <c:majorTickMark val="none"/>
        <c:minorTickMark val="none"/>
        <c:tickLblPos val="nextTo"/>
        <c:crossAx val="418088143"/>
        <c:crosses val="autoZero"/>
        <c:auto val="1"/>
        <c:lblAlgn val="ctr"/>
        <c:lblOffset val="100"/>
        <c:noMultiLvlLbl val="0"/>
      </c:catAx>
      <c:valAx>
        <c:axId val="418088143"/>
        <c:scaling>
          <c:orientation val="minMax"/>
        </c:scaling>
        <c:delete val="1"/>
        <c:axPos val="l"/>
        <c:numFmt formatCode="_-* #,##0.00_-;\-* #,##0.00_-;_-* &quot;-&quot;??_-;_-@_-" sourceLinked="1"/>
        <c:majorTickMark val="none"/>
        <c:minorTickMark val="none"/>
        <c:tickLblPos val="nextTo"/>
        <c:crossAx val="203974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'RESUMO-CURVA GRÁFICO'!$E$276:$E$277</c:f>
          <c:strCache>
            <c:ptCount val="2"/>
            <c:pt idx="0">
              <c:v>Vigia (12X36) - Diurno</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barChart>
        <c:barDir val="col"/>
        <c:grouping val="clustered"/>
        <c:varyColors val="0"/>
        <c:ser>
          <c:idx val="0"/>
          <c:order val="1"/>
          <c:tx>
            <c:strRef>
              <c:f>'CUSTO DIRETO- P x R'!$D$955</c:f>
              <c:strCache>
                <c:ptCount val="1"/>
                <c:pt idx="0">
                  <c:v>Diárias Nacionais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'CUSTO DIRETO- P x R'!$E$954:$Q$954</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cat>
          <c:val>
            <c:numRef>
              <c:f>'CUSTO DIRETO- P x R'!$E$955:$Q$955</c:f>
              <c:numCache>
                <c:formatCode>_-* #,##0.00_-;\-* #,##0.00_-;_-* "-"??_-;_-@_-</c:formatCode>
                <c:ptCount val="13"/>
                <c:pt idx="0">
                  <c:v>24</c:v>
                </c:pt>
                <c:pt idx="1">
                  <c:v>30</c:v>
                </c:pt>
                <c:pt idx="2">
                  <c:v>30</c:v>
                </c:pt>
                <c:pt idx="3">
                  <c:v>30</c:v>
                </c:pt>
                <c:pt idx="4">
                  <c:v>30</c:v>
                </c:pt>
                <c:pt idx="5">
                  <c:v>30</c:v>
                </c:pt>
                <c:pt idx="6">
                  <c:v>30</c:v>
                </c:pt>
                <c:pt idx="7">
                  <c:v>30</c:v>
                </c:pt>
                <c:pt idx="8">
                  <c:v>30</c:v>
                </c:pt>
                <c:pt idx="9">
                  <c:v>30</c:v>
                </c:pt>
                <c:pt idx="10">
                  <c:v>30</c:v>
                </c:pt>
                <c:pt idx="11">
                  <c:v>30</c:v>
                </c:pt>
                <c:pt idx="12">
                  <c:v>6</c:v>
                </c:pt>
              </c:numCache>
            </c:numRef>
          </c:val>
          <c:extLst>
            <c:ext xmlns:c16="http://schemas.microsoft.com/office/drawing/2014/chart" uri="{C3380CC4-5D6E-409C-BE32-E72D297353CC}">
              <c16:uniqueId val="{00000000-66AF-4EB7-871E-BB32B31B9518}"/>
            </c:ext>
          </c:extLst>
        </c:ser>
        <c:dLbls>
          <c:showLegendKey val="0"/>
          <c:showVal val="0"/>
          <c:showCatName val="0"/>
          <c:showSerName val="0"/>
          <c:showPercent val="0"/>
          <c:showBubbleSize val="0"/>
        </c:dLbls>
        <c:gapWidth val="180"/>
        <c:overlap val="-2"/>
        <c:axId val="2039743967"/>
        <c:axId val="418088143"/>
      </c:barChart>
      <c:scatterChart>
        <c:scatterStyle val="smoothMarker"/>
        <c:varyColors val="0"/>
        <c:ser>
          <c:idx val="1"/>
          <c:order val="0"/>
          <c:tx>
            <c:strRef>
              <c:f>'CUSTO DIRETO- P x R'!$D$955</c:f>
              <c:strCache>
                <c:ptCount val="1"/>
                <c:pt idx="0">
                  <c:v>Diárias Nacionais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'CUSTO DIRETO- P x R'!$E$954:$Q$954</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xVal>
          <c:yVal>
            <c:numRef>
              <c:f>'CUSTO DIRETO- P x R'!$E$956:$H$956</c:f>
              <c:numCache>
                <c:formatCode>_-* #,##0.00_-;\-* #,##0.00_-;_-* "-"??_-;_-@_-</c:formatCode>
                <c:ptCount val="4"/>
                <c:pt idx="0">
                  <c:v>8.5</c:v>
                </c:pt>
                <c:pt idx="1">
                  <c:v>13</c:v>
                </c:pt>
                <c:pt idx="2">
                  <c:v>23.5</c:v>
                </c:pt>
                <c:pt idx="3">
                  <c:v>16</c:v>
                </c:pt>
              </c:numCache>
            </c:numRef>
          </c:yVal>
          <c:smooth val="1"/>
          <c:extLst>
            <c:ext xmlns:c16="http://schemas.microsoft.com/office/drawing/2014/chart" uri="{C3380CC4-5D6E-409C-BE32-E72D297353CC}">
              <c16:uniqueId val="{00000001-66AF-4EB7-871E-BB32B31B9518}"/>
            </c:ext>
          </c:extLst>
        </c:ser>
        <c:dLbls>
          <c:showLegendKey val="0"/>
          <c:showVal val="0"/>
          <c:showCatName val="0"/>
          <c:showSerName val="0"/>
          <c:showPercent val="0"/>
          <c:showBubbleSize val="0"/>
        </c:dLbls>
        <c:axId val="2039743967"/>
        <c:axId val="418088143"/>
      </c:scatterChart>
      <c:dateAx>
        <c:axId val="2039743967"/>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418088143"/>
        <c:crosses val="autoZero"/>
        <c:auto val="1"/>
        <c:lblOffset val="100"/>
        <c:baseTimeUnit val="months"/>
      </c:dateAx>
      <c:valAx>
        <c:axId val="41808814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203974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17.xml"/><Relationship Id="rId4"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69273</xdr:colOff>
      <xdr:row>2</xdr:row>
      <xdr:rowOff>98957</xdr:rowOff>
    </xdr:from>
    <xdr:to>
      <xdr:col>38</xdr:col>
      <xdr:colOff>360220</xdr:colOff>
      <xdr:row>62</xdr:row>
      <xdr:rowOff>73673</xdr:rowOff>
    </xdr:to>
    <xdr:grpSp>
      <xdr:nvGrpSpPr>
        <xdr:cNvPr id="34" name="Agrupar 33">
          <a:extLst>
            <a:ext uri="{FF2B5EF4-FFF2-40B4-BE49-F238E27FC236}">
              <a16:creationId xmlns:a16="http://schemas.microsoft.com/office/drawing/2014/main" id="{126ECB86-11A2-4ACC-A2E9-B04AB2A99330}"/>
            </a:ext>
          </a:extLst>
        </xdr:cNvPr>
        <xdr:cNvGrpSpPr/>
      </xdr:nvGrpSpPr>
      <xdr:grpSpPr>
        <a:xfrm>
          <a:off x="316923" y="422807"/>
          <a:ext cx="26722822" cy="9690216"/>
          <a:chOff x="596015" y="13548355"/>
          <a:chExt cx="27525595" cy="10896600"/>
        </a:xfrm>
      </xdr:grpSpPr>
      <xdr:sp macro="" textlink="">
        <xdr:nvSpPr>
          <xdr:cNvPr id="35" name="Retângulo: Cantos Arredondados 34">
            <a:extLst>
              <a:ext uri="{FF2B5EF4-FFF2-40B4-BE49-F238E27FC236}">
                <a16:creationId xmlns:a16="http://schemas.microsoft.com/office/drawing/2014/main" id="{611D365E-1F08-4997-943B-F57C54A2B15B}"/>
              </a:ext>
            </a:extLst>
          </xdr:cNvPr>
          <xdr:cNvSpPr/>
        </xdr:nvSpPr>
        <xdr:spPr>
          <a:xfrm>
            <a:off x="596015" y="13548355"/>
            <a:ext cx="27525595" cy="10896600"/>
          </a:xfrm>
          <a:prstGeom prst="roundRect">
            <a:avLst>
              <a:gd name="adj" fmla="val 2361"/>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nvGrpSpPr>
          <xdr:cNvPr id="36" name="Agrupar 35">
            <a:extLst>
              <a:ext uri="{FF2B5EF4-FFF2-40B4-BE49-F238E27FC236}">
                <a16:creationId xmlns:a16="http://schemas.microsoft.com/office/drawing/2014/main" id="{F6E87FB7-7971-432B-8E74-A06C25C3788F}"/>
              </a:ext>
            </a:extLst>
          </xdr:cNvPr>
          <xdr:cNvGrpSpPr/>
        </xdr:nvGrpSpPr>
        <xdr:grpSpPr>
          <a:xfrm>
            <a:off x="11826586" y="13676168"/>
            <a:ext cx="4610101" cy="2086494"/>
            <a:chOff x="6199909" y="11125200"/>
            <a:chExt cx="4558146" cy="2024149"/>
          </a:xfrm>
        </xdr:grpSpPr>
        <xdr:sp macro="" textlink="">
          <xdr:nvSpPr>
            <xdr:cNvPr id="37" name="Retângulo: Cantos Arredondados 36">
              <a:extLst>
                <a:ext uri="{FF2B5EF4-FFF2-40B4-BE49-F238E27FC236}">
                  <a16:creationId xmlns:a16="http://schemas.microsoft.com/office/drawing/2014/main" id="{5A06494C-6D9F-4BC5-ACFB-079BDA095113}"/>
                </a:ext>
              </a:extLst>
            </xdr:cNvPr>
            <xdr:cNvSpPr/>
          </xdr:nvSpPr>
          <xdr:spPr>
            <a:xfrm>
              <a:off x="6199909" y="11125200"/>
              <a:ext cx="4558146" cy="20241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2400" b="1">
                  <a:solidFill>
                    <a:sysClr val="windowText" lastClr="000000"/>
                  </a:solidFill>
                  <a:latin typeface="Arial" panose="020B0604020202020204" pitchFamily="34" charset="0"/>
                  <a:cs typeface="Arial" panose="020B0604020202020204" pitchFamily="34" charset="0"/>
                </a:rPr>
                <a:t>CONTRATO</a:t>
              </a:r>
              <a:r>
                <a:rPr lang="pt-BR" sz="2400" b="1" baseline="0">
                  <a:solidFill>
                    <a:sysClr val="windowText" lastClr="000000"/>
                  </a:solidFill>
                  <a:latin typeface="Arial" panose="020B0604020202020204" pitchFamily="34" charset="0"/>
                  <a:cs typeface="Arial" panose="020B0604020202020204" pitchFamily="34" charset="0"/>
                </a:rPr>
                <a:t> X ACUMULADO</a:t>
              </a:r>
            </a:p>
            <a:p>
              <a:pPr algn="ctr"/>
              <a:endParaRPr lang="pt-BR" sz="4400" b="1" baseline="0">
                <a:solidFill>
                  <a:sysClr val="windowText" lastClr="000000"/>
                </a:solidFill>
                <a:latin typeface="Arial" panose="020B0604020202020204" pitchFamily="34" charset="0"/>
                <a:cs typeface="Arial" panose="020B0604020202020204" pitchFamily="34" charset="0"/>
              </a:endParaRPr>
            </a:p>
            <a:p>
              <a:pPr algn="l"/>
              <a:r>
                <a:rPr lang="pt-BR" sz="1200" b="1" baseline="0">
                  <a:solidFill>
                    <a:sysClr val="windowText" lastClr="000000"/>
                  </a:solidFill>
                  <a:latin typeface="Arial" panose="020B0604020202020204" pitchFamily="34" charset="0"/>
                  <a:cs typeface="Arial" panose="020B0604020202020204" pitchFamily="34" charset="0"/>
                </a:rPr>
                <a:t>           </a:t>
              </a:r>
              <a:r>
                <a:rPr lang="pt-BR" sz="1400" b="1" baseline="0">
                  <a:solidFill>
                    <a:sysClr val="windowText" lastClr="000000"/>
                  </a:solidFill>
                  <a:latin typeface="Arial" panose="020B0604020202020204" pitchFamily="34" charset="0"/>
                  <a:cs typeface="Arial" panose="020B0604020202020204" pitchFamily="34" charset="0"/>
                </a:rPr>
                <a:t>CONTRATADO                     ACUMULADO</a:t>
              </a:r>
              <a:endParaRPr lang="pt-BR" sz="2000" b="1">
                <a:solidFill>
                  <a:sysClr val="windowText" lastClr="000000"/>
                </a:solidFill>
                <a:latin typeface="Arial" panose="020B0604020202020204" pitchFamily="34" charset="0"/>
                <a:cs typeface="Arial" panose="020B0604020202020204" pitchFamily="34" charset="0"/>
              </a:endParaRPr>
            </a:p>
          </xdr:txBody>
        </xdr:sp>
        <xdr:sp macro="" textlink="">
          <xdr:nvSpPr>
            <xdr:cNvPr id="38" name="Retângulo: Cantos Arredondados 37">
              <a:extLst>
                <a:ext uri="{FF2B5EF4-FFF2-40B4-BE49-F238E27FC236}">
                  <a16:creationId xmlns:a16="http://schemas.microsoft.com/office/drawing/2014/main" id="{020E3278-5918-4D84-8D34-1CD27D78F8B2}"/>
                </a:ext>
              </a:extLst>
            </xdr:cNvPr>
            <xdr:cNvSpPr/>
          </xdr:nvSpPr>
          <xdr:spPr>
            <a:xfrm>
              <a:off x="6832369" y="12580269"/>
              <a:ext cx="1224742" cy="3629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39" name="Retângulo: Cantos Arredondados 38">
              <a:extLst>
                <a:ext uri="{FF2B5EF4-FFF2-40B4-BE49-F238E27FC236}">
                  <a16:creationId xmlns:a16="http://schemas.microsoft.com/office/drawing/2014/main" id="{37D2B7B5-FB20-43AA-8155-F8202A337A54}"/>
                </a:ext>
              </a:extLst>
            </xdr:cNvPr>
            <xdr:cNvSpPr/>
          </xdr:nvSpPr>
          <xdr:spPr>
            <a:xfrm>
              <a:off x="9098973" y="12572650"/>
              <a:ext cx="1229591" cy="362989"/>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xdr:from>
      <xdr:col>1</xdr:col>
      <xdr:colOff>76200</xdr:colOff>
      <xdr:row>75</xdr:row>
      <xdr:rowOff>41905</xdr:rowOff>
    </xdr:from>
    <xdr:to>
      <xdr:col>38</xdr:col>
      <xdr:colOff>365760</xdr:colOff>
      <xdr:row>138</xdr:row>
      <xdr:rowOff>137155</xdr:rowOff>
    </xdr:to>
    <xdr:grpSp>
      <xdr:nvGrpSpPr>
        <xdr:cNvPr id="7" name="Agrupar 6">
          <a:extLst>
            <a:ext uri="{FF2B5EF4-FFF2-40B4-BE49-F238E27FC236}">
              <a16:creationId xmlns:a16="http://schemas.microsoft.com/office/drawing/2014/main" id="{52783757-F060-4953-84A7-79DA5B147F99}"/>
            </a:ext>
          </a:extLst>
        </xdr:cNvPr>
        <xdr:cNvGrpSpPr/>
      </xdr:nvGrpSpPr>
      <xdr:grpSpPr>
        <a:xfrm>
          <a:off x="323850" y="12186280"/>
          <a:ext cx="26721435" cy="10296525"/>
          <a:chOff x="323850" y="13415005"/>
          <a:chExt cx="27778710" cy="10896600"/>
        </a:xfrm>
      </xdr:grpSpPr>
      <xdr:sp macro="" textlink="">
        <xdr:nvSpPr>
          <xdr:cNvPr id="2" name="Retângulo: Cantos Arredondados 1">
            <a:extLst>
              <a:ext uri="{FF2B5EF4-FFF2-40B4-BE49-F238E27FC236}">
                <a16:creationId xmlns:a16="http://schemas.microsoft.com/office/drawing/2014/main" id="{1EF63F29-C14F-4A0E-8C33-30010784E619}"/>
              </a:ext>
            </a:extLst>
          </xdr:cNvPr>
          <xdr:cNvSpPr/>
        </xdr:nvSpPr>
        <xdr:spPr>
          <a:xfrm>
            <a:off x="323850" y="13415005"/>
            <a:ext cx="27778710" cy="10896600"/>
          </a:xfrm>
          <a:prstGeom prst="roundRect">
            <a:avLst>
              <a:gd name="adj" fmla="val 2361"/>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nvGrpSpPr>
          <xdr:cNvPr id="6" name="Agrupar 5">
            <a:extLst>
              <a:ext uri="{FF2B5EF4-FFF2-40B4-BE49-F238E27FC236}">
                <a16:creationId xmlns:a16="http://schemas.microsoft.com/office/drawing/2014/main" id="{F8642129-E00E-4ED2-9878-392E4CAC1F47}"/>
              </a:ext>
            </a:extLst>
          </xdr:cNvPr>
          <xdr:cNvGrpSpPr/>
        </xdr:nvGrpSpPr>
        <xdr:grpSpPr>
          <a:xfrm>
            <a:off x="11826586" y="13676168"/>
            <a:ext cx="4610101" cy="2086494"/>
            <a:chOff x="6199909" y="11125200"/>
            <a:chExt cx="4558146" cy="2024149"/>
          </a:xfrm>
        </xdr:grpSpPr>
        <xdr:sp macro="" textlink="">
          <xdr:nvSpPr>
            <xdr:cNvPr id="4" name="Retângulo: Cantos Arredondados 3">
              <a:extLst>
                <a:ext uri="{FF2B5EF4-FFF2-40B4-BE49-F238E27FC236}">
                  <a16:creationId xmlns:a16="http://schemas.microsoft.com/office/drawing/2014/main" id="{B813E637-E256-4372-81B9-0B0779DB6C7C}"/>
                </a:ext>
              </a:extLst>
            </xdr:cNvPr>
            <xdr:cNvSpPr/>
          </xdr:nvSpPr>
          <xdr:spPr>
            <a:xfrm>
              <a:off x="6199909" y="11125200"/>
              <a:ext cx="4558146" cy="20241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2400" b="1">
                  <a:solidFill>
                    <a:sysClr val="windowText" lastClr="000000"/>
                  </a:solidFill>
                  <a:latin typeface="Arial" panose="020B0604020202020204" pitchFamily="34" charset="0"/>
                  <a:cs typeface="Arial" panose="020B0604020202020204" pitchFamily="34" charset="0"/>
                </a:rPr>
                <a:t>CONTRATO</a:t>
              </a:r>
              <a:r>
                <a:rPr lang="pt-BR" sz="2400" b="1" baseline="0">
                  <a:solidFill>
                    <a:sysClr val="windowText" lastClr="000000"/>
                  </a:solidFill>
                  <a:latin typeface="Arial" panose="020B0604020202020204" pitchFamily="34" charset="0"/>
                  <a:cs typeface="Arial" panose="020B0604020202020204" pitchFamily="34" charset="0"/>
                </a:rPr>
                <a:t> X PREVISTO</a:t>
              </a:r>
            </a:p>
            <a:p>
              <a:pPr algn="ctr"/>
              <a:endParaRPr lang="pt-BR" sz="4400" b="1" baseline="0">
                <a:solidFill>
                  <a:sysClr val="windowText" lastClr="000000"/>
                </a:solidFill>
                <a:latin typeface="Arial" panose="020B0604020202020204" pitchFamily="34" charset="0"/>
                <a:cs typeface="Arial" panose="020B0604020202020204" pitchFamily="34" charset="0"/>
              </a:endParaRPr>
            </a:p>
            <a:p>
              <a:pPr algn="l"/>
              <a:r>
                <a:rPr lang="pt-BR" sz="1200" b="1" baseline="0">
                  <a:solidFill>
                    <a:sysClr val="windowText" lastClr="000000"/>
                  </a:solidFill>
                  <a:latin typeface="Arial" panose="020B0604020202020204" pitchFamily="34" charset="0"/>
                  <a:cs typeface="Arial" panose="020B0604020202020204" pitchFamily="34" charset="0"/>
                </a:rPr>
                <a:t>           </a:t>
              </a:r>
              <a:r>
                <a:rPr lang="pt-BR" sz="1400" b="1" baseline="0">
                  <a:solidFill>
                    <a:sysClr val="windowText" lastClr="000000"/>
                  </a:solidFill>
                  <a:latin typeface="Arial" panose="020B0604020202020204" pitchFamily="34" charset="0"/>
                  <a:cs typeface="Arial" panose="020B0604020202020204" pitchFamily="34" charset="0"/>
                </a:rPr>
                <a:t>CONTRATADO                        PREVISTO</a:t>
              </a:r>
              <a:endParaRPr lang="pt-BR" sz="2000" b="1">
                <a:solidFill>
                  <a:sysClr val="windowText" lastClr="000000"/>
                </a:solidFill>
                <a:latin typeface="Arial" panose="020B0604020202020204" pitchFamily="34" charset="0"/>
                <a:cs typeface="Arial" panose="020B0604020202020204" pitchFamily="34" charset="0"/>
              </a:endParaRPr>
            </a:p>
          </xdr:txBody>
        </xdr:sp>
        <xdr:sp macro="" textlink="">
          <xdr:nvSpPr>
            <xdr:cNvPr id="5" name="Retângulo: Cantos Arredondados 4">
              <a:extLst>
                <a:ext uri="{FF2B5EF4-FFF2-40B4-BE49-F238E27FC236}">
                  <a16:creationId xmlns:a16="http://schemas.microsoft.com/office/drawing/2014/main" id="{CDE15955-688D-47DB-80FE-F5482262216B}"/>
                </a:ext>
              </a:extLst>
            </xdr:cNvPr>
            <xdr:cNvSpPr/>
          </xdr:nvSpPr>
          <xdr:spPr>
            <a:xfrm>
              <a:off x="6832369" y="12491951"/>
              <a:ext cx="1224742" cy="3629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0" name="Retângulo: Cantos Arredondados 19">
              <a:extLst>
                <a:ext uri="{FF2B5EF4-FFF2-40B4-BE49-F238E27FC236}">
                  <a16:creationId xmlns:a16="http://schemas.microsoft.com/office/drawing/2014/main" id="{3AD13714-715F-4353-B9A4-7401C296E966}"/>
                </a:ext>
              </a:extLst>
            </xdr:cNvPr>
            <xdr:cNvSpPr/>
          </xdr:nvSpPr>
          <xdr:spPr>
            <a:xfrm>
              <a:off x="9098973" y="12484331"/>
              <a:ext cx="1229591" cy="362989"/>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xdr:from>
      <xdr:col>25</xdr:col>
      <xdr:colOff>167609</xdr:colOff>
      <xdr:row>1</xdr:row>
      <xdr:rowOff>31749</xdr:rowOff>
    </xdr:from>
    <xdr:to>
      <xdr:col>31</xdr:col>
      <xdr:colOff>181464</xdr:colOff>
      <xdr:row>59</xdr:row>
      <xdr:rowOff>123963</xdr:rowOff>
    </xdr:to>
    <xdr:graphicFrame macro="">
      <xdr:nvGraphicFramePr>
        <xdr:cNvPr id="23" name="Gráfico 22">
          <a:extLst>
            <a:ext uri="{FF2B5EF4-FFF2-40B4-BE49-F238E27FC236}">
              <a16:creationId xmlns:a16="http://schemas.microsoft.com/office/drawing/2014/main" id="{F2DBA19A-9C1E-4A45-B4B0-1258DCF08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238607</xdr:colOff>
      <xdr:row>2</xdr:row>
      <xdr:rowOff>50800</xdr:rowOff>
    </xdr:from>
    <xdr:to>
      <xdr:col>38</xdr:col>
      <xdr:colOff>522176</xdr:colOff>
      <xdr:row>60</xdr:row>
      <xdr:rowOff>149205</xdr:rowOff>
    </xdr:to>
    <xdr:graphicFrame macro="">
      <xdr:nvGraphicFramePr>
        <xdr:cNvPr id="29" name="Gráfico 28">
          <a:extLst>
            <a:ext uri="{FF2B5EF4-FFF2-40B4-BE49-F238E27FC236}">
              <a16:creationId xmlns:a16="http://schemas.microsoft.com/office/drawing/2014/main" id="{CA42EE6B-6A62-4AA9-8E48-47292C554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565659</xdr:colOff>
      <xdr:row>1</xdr:row>
      <xdr:rowOff>58968</xdr:rowOff>
    </xdr:from>
    <xdr:to>
      <xdr:col>16</xdr:col>
      <xdr:colOff>48200</xdr:colOff>
      <xdr:row>59</xdr:row>
      <xdr:rowOff>124540</xdr:rowOff>
    </xdr:to>
    <xdr:graphicFrame macro="">
      <xdr:nvGraphicFramePr>
        <xdr:cNvPr id="30" name="Gráfico 29">
          <a:extLst>
            <a:ext uri="{FF2B5EF4-FFF2-40B4-BE49-F238E27FC236}">
              <a16:creationId xmlns:a16="http://schemas.microsoft.com/office/drawing/2014/main" id="{8704E865-4327-4BD4-8B9F-7144DB5A6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331318</xdr:colOff>
      <xdr:row>3</xdr:row>
      <xdr:rowOff>123256</xdr:rowOff>
    </xdr:from>
    <xdr:to>
      <xdr:col>8</xdr:col>
      <xdr:colOff>595122</xdr:colOff>
      <xdr:row>61</xdr:row>
      <xdr:rowOff>148739</xdr:rowOff>
    </xdr:to>
    <xdr:graphicFrame macro="">
      <xdr:nvGraphicFramePr>
        <xdr:cNvPr id="12" name="Gráfico 11">
          <a:extLst>
            <a:ext uri="{FF2B5EF4-FFF2-40B4-BE49-F238E27FC236}">
              <a16:creationId xmlns:a16="http://schemas.microsoft.com/office/drawing/2014/main" id="{FDD4D674-467D-402A-A273-42DF853C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110456</xdr:colOff>
      <xdr:row>2</xdr:row>
      <xdr:rowOff>85053</xdr:rowOff>
    </xdr:from>
    <xdr:to>
      <xdr:col>20</xdr:col>
      <xdr:colOff>703123</xdr:colOff>
      <xdr:row>60</xdr:row>
      <xdr:rowOff>149131</xdr:rowOff>
    </xdr:to>
    <xdr:graphicFrame macro="">
      <xdr:nvGraphicFramePr>
        <xdr:cNvPr id="17" name="Gráfico 16">
          <a:extLst>
            <a:ext uri="{FF2B5EF4-FFF2-40B4-BE49-F238E27FC236}">
              <a16:creationId xmlns:a16="http://schemas.microsoft.com/office/drawing/2014/main" id="{0F92C07F-87B2-4C3C-907E-E518D3260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10000</xdr:colOff>
      <xdr:row>2</xdr:row>
      <xdr:rowOff>76393</xdr:rowOff>
    </xdr:from>
    <xdr:to>
      <xdr:col>26</xdr:col>
      <xdr:colOff>93127</xdr:colOff>
      <xdr:row>60</xdr:row>
      <xdr:rowOff>143437</xdr:rowOff>
    </xdr:to>
    <xdr:graphicFrame macro="">
      <xdr:nvGraphicFramePr>
        <xdr:cNvPr id="22" name="Gráfico 21">
          <a:extLst>
            <a:ext uri="{FF2B5EF4-FFF2-40B4-BE49-F238E27FC236}">
              <a16:creationId xmlns:a16="http://schemas.microsoft.com/office/drawing/2014/main" id="{16690A87-89D2-4CB9-A32B-E85AA86D3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296792</xdr:colOff>
      <xdr:row>77</xdr:row>
      <xdr:rowOff>0</xdr:rowOff>
    </xdr:from>
    <xdr:to>
      <xdr:col>31</xdr:col>
      <xdr:colOff>310647</xdr:colOff>
      <xdr:row>135</xdr:row>
      <xdr:rowOff>92215</xdr:rowOff>
    </xdr:to>
    <xdr:graphicFrame macro="">
      <xdr:nvGraphicFramePr>
        <xdr:cNvPr id="24" name="Gráfico 23">
          <a:extLst>
            <a:ext uri="{FF2B5EF4-FFF2-40B4-BE49-F238E27FC236}">
              <a16:creationId xmlns:a16="http://schemas.microsoft.com/office/drawing/2014/main" id="{ECCB57C3-605D-4C66-A479-2F95A4902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77</xdr:row>
      <xdr:rowOff>37203</xdr:rowOff>
    </xdr:from>
    <xdr:to>
      <xdr:col>5</xdr:col>
      <xdr:colOff>392878</xdr:colOff>
      <xdr:row>135</xdr:row>
      <xdr:rowOff>77634</xdr:rowOff>
    </xdr:to>
    <xdr:graphicFrame macro="">
      <xdr:nvGraphicFramePr>
        <xdr:cNvPr id="25" name="Gráfico 24">
          <a:extLst>
            <a:ext uri="{FF2B5EF4-FFF2-40B4-BE49-F238E27FC236}">
              <a16:creationId xmlns:a16="http://schemas.microsoft.com/office/drawing/2014/main" id="{B72B2166-993B-483B-9E10-CD2269F82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367790</xdr:colOff>
      <xdr:row>78</xdr:row>
      <xdr:rowOff>19052</xdr:rowOff>
    </xdr:from>
    <xdr:to>
      <xdr:col>38</xdr:col>
      <xdr:colOff>437999</xdr:colOff>
      <xdr:row>136</xdr:row>
      <xdr:rowOff>117457</xdr:rowOff>
    </xdr:to>
    <xdr:graphicFrame macro="">
      <xdr:nvGraphicFramePr>
        <xdr:cNvPr id="26" name="Gráfico 25">
          <a:extLst>
            <a:ext uri="{FF2B5EF4-FFF2-40B4-BE49-F238E27FC236}">
              <a16:creationId xmlns:a16="http://schemas.microsoft.com/office/drawing/2014/main" id="{A6A70F61-8040-4D03-A97B-35E5BB0CE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694842</xdr:colOff>
      <xdr:row>77</xdr:row>
      <xdr:rowOff>27219</xdr:rowOff>
    </xdr:from>
    <xdr:to>
      <xdr:col>16</xdr:col>
      <xdr:colOff>177383</xdr:colOff>
      <xdr:row>135</xdr:row>
      <xdr:rowOff>92792</xdr:rowOff>
    </xdr:to>
    <xdr:graphicFrame macro="">
      <xdr:nvGraphicFramePr>
        <xdr:cNvPr id="27" name="Gráfico 26">
          <a:extLst>
            <a:ext uri="{FF2B5EF4-FFF2-40B4-BE49-F238E27FC236}">
              <a16:creationId xmlns:a16="http://schemas.microsoft.com/office/drawing/2014/main" id="{03ECB606-45C8-42F1-BA2C-7918A3AEE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460501</xdr:colOff>
      <xdr:row>79</xdr:row>
      <xdr:rowOff>91508</xdr:rowOff>
    </xdr:from>
    <xdr:to>
      <xdr:col>8</xdr:col>
      <xdr:colOff>724305</xdr:colOff>
      <xdr:row>137</xdr:row>
      <xdr:rowOff>116990</xdr:rowOff>
    </xdr:to>
    <xdr:graphicFrame macro="">
      <xdr:nvGraphicFramePr>
        <xdr:cNvPr id="31" name="Gráfico 30">
          <a:extLst>
            <a:ext uri="{FF2B5EF4-FFF2-40B4-BE49-F238E27FC236}">
              <a16:creationId xmlns:a16="http://schemas.microsoft.com/office/drawing/2014/main" id="{FD3FE69A-8A46-4EC7-9448-17A408712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239639</xdr:colOff>
      <xdr:row>78</xdr:row>
      <xdr:rowOff>53305</xdr:rowOff>
    </xdr:from>
    <xdr:to>
      <xdr:col>21</xdr:col>
      <xdr:colOff>87239</xdr:colOff>
      <xdr:row>136</xdr:row>
      <xdr:rowOff>117383</xdr:rowOff>
    </xdr:to>
    <xdr:graphicFrame macro="">
      <xdr:nvGraphicFramePr>
        <xdr:cNvPr id="32" name="Gráfico 31">
          <a:extLst>
            <a:ext uri="{FF2B5EF4-FFF2-40B4-BE49-F238E27FC236}">
              <a16:creationId xmlns:a16="http://schemas.microsoft.com/office/drawing/2014/main" id="{0FFE242C-93FE-4C81-8B3A-90C71A413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139183</xdr:colOff>
      <xdr:row>78</xdr:row>
      <xdr:rowOff>44645</xdr:rowOff>
    </xdr:from>
    <xdr:to>
      <xdr:col>26</xdr:col>
      <xdr:colOff>222310</xdr:colOff>
      <xdr:row>136</xdr:row>
      <xdr:rowOff>111689</xdr:rowOff>
    </xdr:to>
    <xdr:graphicFrame macro="">
      <xdr:nvGraphicFramePr>
        <xdr:cNvPr id="33" name="Gráfico 32">
          <a:extLst>
            <a:ext uri="{FF2B5EF4-FFF2-40B4-BE49-F238E27FC236}">
              <a16:creationId xmlns:a16="http://schemas.microsoft.com/office/drawing/2014/main" id="{7CAE208A-57BE-48A4-81B0-4C58C0ECC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531217</xdr:colOff>
      <xdr:row>1</xdr:row>
      <xdr:rowOff>85885</xdr:rowOff>
    </xdr:from>
    <xdr:to>
      <xdr:col>5</xdr:col>
      <xdr:colOff>393235</xdr:colOff>
      <xdr:row>59</xdr:row>
      <xdr:rowOff>126315</xdr:rowOff>
    </xdr:to>
    <xdr:graphicFrame macro="">
      <xdr:nvGraphicFramePr>
        <xdr:cNvPr id="28" name="Gráfico 27">
          <a:extLst>
            <a:ext uri="{FF2B5EF4-FFF2-40B4-BE49-F238E27FC236}">
              <a16:creationId xmlns:a16="http://schemas.microsoft.com/office/drawing/2014/main" id="{469E5A76-4F27-4382-A500-3BFA2DBEC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155862</xdr:colOff>
      <xdr:row>16</xdr:row>
      <xdr:rowOff>54742</xdr:rowOff>
    </xdr:from>
    <xdr:to>
      <xdr:col>34</xdr:col>
      <xdr:colOff>432954</xdr:colOff>
      <xdr:row>45</xdr:row>
      <xdr:rowOff>0</xdr:rowOff>
    </xdr:to>
    <xdr:graphicFrame macro="">
      <xdr:nvGraphicFramePr>
        <xdr:cNvPr id="2" name="Gráfico 1">
          <a:extLst>
            <a:ext uri="{FF2B5EF4-FFF2-40B4-BE49-F238E27FC236}">
              <a16:creationId xmlns:a16="http://schemas.microsoft.com/office/drawing/2014/main" id="{FFF57718-754E-4A48-A4D7-8FCD25BFE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831273</xdr:colOff>
      <xdr:row>16</xdr:row>
      <xdr:rowOff>53205</xdr:rowOff>
    </xdr:from>
    <xdr:to>
      <xdr:col>41</xdr:col>
      <xdr:colOff>949751</xdr:colOff>
      <xdr:row>44</xdr:row>
      <xdr:rowOff>149679</xdr:rowOff>
    </xdr:to>
    <xdr:graphicFrame macro="">
      <xdr:nvGraphicFramePr>
        <xdr:cNvPr id="3" name="Gráfico 2">
          <a:extLst>
            <a:ext uri="{FF2B5EF4-FFF2-40B4-BE49-F238E27FC236}">
              <a16:creationId xmlns:a16="http://schemas.microsoft.com/office/drawing/2014/main" id="{A29F1CB7-93E6-4C04-97F9-DB8360080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179039</xdr:colOff>
      <xdr:row>1</xdr:row>
      <xdr:rowOff>103348</xdr:rowOff>
    </xdr:from>
    <xdr:to>
      <xdr:col>2</xdr:col>
      <xdr:colOff>439632</xdr:colOff>
      <xdr:row>3</xdr:row>
      <xdr:rowOff>97522</xdr:rowOff>
    </xdr:to>
    <xdr:pic>
      <xdr:nvPicPr>
        <xdr:cNvPr id="4" name="Imagem 3">
          <a:extLst>
            <a:ext uri="{FF2B5EF4-FFF2-40B4-BE49-F238E27FC236}">
              <a16:creationId xmlns:a16="http://schemas.microsoft.com/office/drawing/2014/main" id="{FA1ADC48-D687-4C10-A22A-055E430F64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84829" y="330043"/>
          <a:ext cx="1731253" cy="7637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2754086</xdr:colOff>
      <xdr:row>277</xdr:row>
      <xdr:rowOff>40218</xdr:rowOff>
    </xdr:from>
    <xdr:to>
      <xdr:col>18</xdr:col>
      <xdr:colOff>61683</xdr:colOff>
      <xdr:row>292</xdr:row>
      <xdr:rowOff>112026</xdr:rowOff>
    </xdr:to>
    <xdr:graphicFrame macro="">
      <xdr:nvGraphicFramePr>
        <xdr:cNvPr id="2" name="Gráfico 1">
          <a:extLst>
            <a:ext uri="{FF2B5EF4-FFF2-40B4-BE49-F238E27FC236}">
              <a16:creationId xmlns:a16="http://schemas.microsoft.com/office/drawing/2014/main" id="{1FA421F4-4E98-4268-88D7-E80CF00F5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176241</xdr:colOff>
      <xdr:row>287</xdr:row>
      <xdr:rowOff>54007</xdr:rowOff>
    </xdr:from>
    <xdr:to>
      <xdr:col>4</xdr:col>
      <xdr:colOff>2799491</xdr:colOff>
      <xdr:row>291</xdr:row>
      <xdr:rowOff>82362</xdr:rowOff>
    </xdr:to>
    <xdr:pic>
      <xdr:nvPicPr>
        <xdr:cNvPr id="3" name="Imagem 2">
          <a:extLst>
            <a:ext uri="{FF2B5EF4-FFF2-40B4-BE49-F238E27FC236}">
              <a16:creationId xmlns:a16="http://schemas.microsoft.com/office/drawing/2014/main" id="{6CD0D28B-D6EA-46E6-A0B1-55992EA598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46605" y="54945716"/>
          <a:ext cx="3135868" cy="748791"/>
        </a:xfrm>
        <a:prstGeom prst="rect">
          <a:avLst/>
        </a:prstGeom>
        <a:ln>
          <a:noFill/>
        </a:ln>
        <a:effectLst>
          <a:outerShdw blurRad="190500" algn="tl" rotWithShape="0">
            <a:srgbClr val="000000">
              <a:alpha val="70000"/>
            </a:srgbClr>
          </a:outerShdw>
        </a:effectLst>
      </xdr:spPr>
    </xdr:pic>
    <xdr:clientData/>
  </xdr:twoCellAnchor>
  <xdr:twoCellAnchor>
    <xdr:from>
      <xdr:col>4</xdr:col>
      <xdr:colOff>501632</xdr:colOff>
      <xdr:row>279</xdr:row>
      <xdr:rowOff>63845</xdr:rowOff>
    </xdr:from>
    <xdr:to>
      <xdr:col>4</xdr:col>
      <xdr:colOff>1995679</xdr:colOff>
      <xdr:row>283</xdr:row>
      <xdr:rowOff>69186</xdr:rowOff>
    </xdr:to>
    <xdr:pic>
      <xdr:nvPicPr>
        <xdr:cNvPr id="4" name="Imagem 3">
          <a:extLst>
            <a:ext uri="{FF2B5EF4-FFF2-40B4-BE49-F238E27FC236}">
              <a16:creationId xmlns:a16="http://schemas.microsoft.com/office/drawing/2014/main" id="{1F226723-F316-4424-A2F2-FBF413C473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4614" y="53514681"/>
          <a:ext cx="1494047" cy="725778"/>
        </a:xfrm>
        <a:prstGeom prst="rect">
          <a:avLst/>
        </a:prstGeom>
        <a:ln>
          <a:noFill/>
        </a:ln>
        <a:effectLst>
          <a:outerShdw blurRad="190500" algn="tl" rotWithShape="0">
            <a:srgbClr val="000000">
              <a:alpha val="70000"/>
            </a:srgbClr>
          </a:outerShdw>
        </a:effectLst>
      </xdr:spPr>
    </xdr:pic>
    <xdr:clientData/>
  </xdr:twoCellAnchor>
  <xdr:twoCellAnchor>
    <xdr:from>
      <xdr:col>1</xdr:col>
      <xdr:colOff>523240</xdr:colOff>
      <xdr:row>263</xdr:row>
      <xdr:rowOff>117475</xdr:rowOff>
    </xdr:from>
    <xdr:to>
      <xdr:col>4</xdr:col>
      <xdr:colOff>734135</xdr:colOff>
      <xdr:row>266</xdr:row>
      <xdr:rowOff>75117</xdr:rowOff>
    </xdr:to>
    <xdr:graphicFrame macro="">
      <xdr:nvGraphicFramePr>
        <xdr:cNvPr id="5" name="Gráfico 4">
          <a:extLst>
            <a:ext uri="{FF2B5EF4-FFF2-40B4-BE49-F238E27FC236}">
              <a16:creationId xmlns:a16="http://schemas.microsoft.com/office/drawing/2014/main" id="{619AB0D0-3AD4-4A95-85E7-0EBB25EAE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3924300</xdr:colOff>
      <xdr:row>956</xdr:row>
      <xdr:rowOff>62753</xdr:rowOff>
    </xdr:from>
    <xdr:to>
      <xdr:col>17</xdr:col>
      <xdr:colOff>116543</xdr:colOff>
      <xdr:row>971</xdr:row>
      <xdr:rowOff>116541</xdr:rowOff>
    </xdr:to>
    <xdr:graphicFrame macro="">
      <xdr:nvGraphicFramePr>
        <xdr:cNvPr id="14" name="Gráfico 13">
          <a:extLst>
            <a:ext uri="{FF2B5EF4-FFF2-40B4-BE49-F238E27FC236}">
              <a16:creationId xmlns:a16="http://schemas.microsoft.com/office/drawing/2014/main" id="{9FECA49B-DF4C-4877-B1BB-117C5C5A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481135</xdr:colOff>
      <xdr:row>965</xdr:row>
      <xdr:rowOff>57844</xdr:rowOff>
    </xdr:from>
    <xdr:to>
      <xdr:col>3</xdr:col>
      <xdr:colOff>3438525</xdr:colOff>
      <xdr:row>970</xdr:row>
      <xdr:rowOff>57960</xdr:rowOff>
    </xdr:to>
    <xdr:pic>
      <xdr:nvPicPr>
        <xdr:cNvPr id="15" name="Imagem 14">
          <a:extLst>
            <a:ext uri="{FF2B5EF4-FFF2-40B4-BE49-F238E27FC236}">
              <a16:creationId xmlns:a16="http://schemas.microsoft.com/office/drawing/2014/main" id="{C1010A28-7259-46F8-A537-6F8657A9F7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09785" y="184137994"/>
          <a:ext cx="3605090" cy="904991"/>
        </a:xfrm>
        <a:prstGeom prst="rect">
          <a:avLst/>
        </a:prstGeom>
        <a:ln>
          <a:noFill/>
        </a:ln>
        <a:effectLst>
          <a:outerShdw blurRad="190500" algn="tl" rotWithShape="0">
            <a:srgbClr val="000000">
              <a:alpha val="70000"/>
            </a:srgbClr>
          </a:outerShdw>
        </a:effectLst>
      </xdr:spPr>
    </xdr:pic>
    <xdr:clientData/>
  </xdr:twoCellAnchor>
  <xdr:twoCellAnchor editAs="oneCell">
    <xdr:from>
      <xdr:col>3</xdr:col>
      <xdr:colOff>750791</xdr:colOff>
      <xdr:row>958</xdr:row>
      <xdr:rowOff>90525</xdr:rowOff>
    </xdr:from>
    <xdr:to>
      <xdr:col>3</xdr:col>
      <xdr:colOff>2524125</xdr:colOff>
      <xdr:row>963</xdr:row>
      <xdr:rowOff>92450</xdr:rowOff>
    </xdr:to>
    <xdr:pic>
      <xdr:nvPicPr>
        <xdr:cNvPr id="16" name="Imagem 15">
          <a:extLst>
            <a:ext uri="{FF2B5EF4-FFF2-40B4-BE49-F238E27FC236}">
              <a16:creationId xmlns:a16="http://schemas.microsoft.com/office/drawing/2014/main" id="{9F67B9E2-C1AF-444C-959E-6225E45FB8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27141" y="182903850"/>
          <a:ext cx="1773334" cy="906800"/>
        </a:xfrm>
        <a:prstGeom prst="rect">
          <a:avLst/>
        </a:prstGeom>
        <a:ln>
          <a:noFill/>
        </a:ln>
        <a:effectLst>
          <a:outerShdw blurRad="190500" algn="tl" rotWithShape="0">
            <a:srgbClr val="000000">
              <a:alpha val="70000"/>
            </a:srgbClr>
          </a:outerShdw>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CMT-33933\Desktop\BKP%20CMT\AREA%20DE%20TRABALHO\1-MEDI&#199;&#195;O%20-%20CMT%20NORTE%20EL&#201;TRICA\02%20-%20MEDI&#199;&#195;O\MED-38%20SET%2025\001-DOC%20MIDR\Anexo%201%20-%2038&#170;%20%20BM%20-%20SET-2025\38-%20Medi&#231;&#227;o%20SETEMBRO%20-%202025%20ELETRICA%20PISF%20MIDR%20rev0.xlsx" TargetMode="External"/><Relationship Id="rId2" Type="http://schemas.microsoft.com/office/2019/04/relationships/externalLinkLongPath" Target="/Users/CMT-33933/Desktop/BKP%20CMT/AREA%20DE%20TRABALHO/1-MEDI&#199;&#195;O%20-%20CMT%20NORTE%20EL&#201;TRICA/02%20-%20MEDI&#199;&#195;O/MED-38%20SET%2025/001-DOC%20MIDR/Anexo%201%20-%2038&#170;%20%20BM%20-%20SET-2025/38-%20Medi&#231;&#227;o%20SETEMBRO%20-%202025%20ELETRICA%20PISF%20MIDR%20rev0.xlsx?7427A524" TargetMode="External"/><Relationship Id="rId1" Type="http://schemas.openxmlformats.org/officeDocument/2006/relationships/externalLinkPath" Target="file:///\\7427A524\38-%20Medi&#231;&#227;o%20SETEMBRO%20-%202025%20ELETRICA%20PISF%20MIDR%20rev0.xlsx" TargetMode="External"/><Relationship Id="rId4" Type="http://schemas.openxmlformats.org/officeDocument/2006/relationships/externalLinkPath" Target="../../../../../../../Users/CMT-33933/Desktop/BKP%20CMT/AREA%20DE%20TRABALHO/1-MEDI&#199;&#195;O%20-%20CMT%20NORTE%20EL&#201;TRICA/02%20-%20MEDI&#199;&#195;O/MED-38%20SET%2025/001-DOC%20MIDR/Anexo%201%20-%2038&#170;%20%20BM%20-%20SET-2025/38-%20Medi&#231;&#227;o%20SETEMBRO%20-%202025%20ELETRICA%20PISF%20MIDR%20rev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RESUMO EIXOS NORTE-LESTE"/>
      <sheetName val="Preços e Quantidades"/>
      <sheetName val="Medição Acumulada"/>
      <sheetName val="Fórmula Reajuste"/>
      <sheetName val="Evolução Mensal"/>
      <sheetName val="Resumo Acumulado X"/>
      <sheetName val="Lista de Profissionais "/>
      <sheetName val="Resumo Custos Diretos"/>
      <sheetName val="MEMÓRIA OPERADORES NOTURNOS"/>
      <sheetName val="MEMÓRIA MOTORISTA NOTURNOS"/>
      <sheetName val="Diárias"/>
      <sheetName val="Passagens"/>
      <sheetName val="Lista de Veículos"/>
      <sheetName val="Equipamentos de Informática"/>
      <sheetName val="Reembolsáveis"/>
    </sheetNames>
    <sheetDataSet>
      <sheetData sheetId="0"/>
      <sheetData sheetId="1">
        <row r="152">
          <cell r="G152">
            <v>1432552.8264712214</v>
          </cell>
        </row>
        <row r="153">
          <cell r="G153">
            <v>907395.9463533333</v>
          </cell>
        </row>
        <row r="154">
          <cell r="G154">
            <v>78759.740000000005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71F3-3A89-4193-A9D7-11A2125BF884}">
  <sheetPr codeName="Planilha1">
    <pageSetUpPr fitToPage="1"/>
  </sheetPr>
  <dimension ref="A3:J29"/>
  <sheetViews>
    <sheetView view="pageBreakPreview" zoomScale="90" zoomScaleNormal="100" zoomScaleSheetLayoutView="90" workbookViewId="0">
      <selection activeCell="I4" sqref="I4"/>
    </sheetView>
  </sheetViews>
  <sheetFormatPr defaultColWidth="9.140625" defaultRowHeight="13.9"/>
  <cols>
    <col min="1" max="2" width="9.140625" style="475"/>
    <col min="3" max="3" width="5.7109375" style="406" customWidth="1"/>
    <col min="4" max="4" width="68.42578125" style="404" customWidth="1"/>
    <col min="5" max="5" width="17.7109375" style="405" customWidth="1"/>
    <col min="6" max="6" width="15.42578125" style="405" customWidth="1"/>
    <col min="7" max="7" width="11.28515625" style="404" bestFit="1" customWidth="1"/>
    <col min="8" max="8" width="17.140625" style="404" bestFit="1" customWidth="1"/>
    <col min="9" max="9" width="15.140625" style="404" customWidth="1"/>
    <col min="10" max="10" width="16.140625" style="404" customWidth="1"/>
    <col min="11" max="11" width="11.28515625" style="404" bestFit="1" customWidth="1"/>
    <col min="12" max="12" width="11.7109375" style="404" customWidth="1"/>
    <col min="13" max="16384" width="9.140625" style="404"/>
  </cols>
  <sheetData>
    <row r="3" spans="1:10" s="475" customFormat="1" ht="19.899999999999999" customHeight="1">
      <c r="A3" s="592" t="s">
        <v>0</v>
      </c>
      <c r="B3" s="592" t="s">
        <v>1</v>
      </c>
      <c r="C3" s="592" t="s">
        <v>2</v>
      </c>
      <c r="D3" s="592" t="s">
        <v>3</v>
      </c>
      <c r="E3" s="593" t="s">
        <v>4</v>
      </c>
      <c r="F3" s="593" t="s">
        <v>5</v>
      </c>
      <c r="G3" s="592"/>
      <c r="H3" s="592" t="s">
        <v>6</v>
      </c>
      <c r="I3" s="592" t="s">
        <v>4</v>
      </c>
      <c r="J3" s="592" t="s">
        <v>5</v>
      </c>
    </row>
    <row r="4" spans="1:10" ht="19.899999999999999" customHeight="1">
      <c r="A4" s="585">
        <v>220</v>
      </c>
      <c r="B4" s="585">
        <v>221</v>
      </c>
      <c r="C4" s="586" t="s">
        <v>7</v>
      </c>
      <c r="D4" s="587" t="str">
        <f>"FERRAMENTAS - CIVIL "</f>
        <v xml:space="preserve">FERRAMENTAS - CIVIL </v>
      </c>
      <c r="E4" s="588">
        <f>I4</f>
        <v>6965.42</v>
      </c>
      <c r="F4" s="588">
        <f>J4</f>
        <v>3935.0303888888884</v>
      </c>
      <c r="G4" s="589">
        <v>20</v>
      </c>
      <c r="H4" s="590">
        <f>SUMIF('RESUMO-CURVA GRÁFICO'!$B$4:$B$261,'RESUMO-CURVA ACM'!B4,'RESUMO-CURVA GRÁFICO'!$Y$4:$Y$261)</f>
        <v>0.56493799209364093</v>
      </c>
      <c r="I4" s="591">
        <f>SUMIF('RESUMO-CURVA GRÁFICO'!$B$4:$B$261,'RESUMO-CURVA ACM'!A4,'RESUMO-CURVA GRÁFICO'!$X$4:$X$261)</f>
        <v>6965.42</v>
      </c>
      <c r="J4" s="591">
        <f>SUMIF('RESUMO-CURVA GRÁFICO'!$B$4:$B$261,'RESUMO-CURVA ACM'!B4,'RESUMO-CURVA GRÁFICO'!$X$4:$X$261)</f>
        <v>3935.0303888888884</v>
      </c>
    </row>
    <row r="5" spans="1:10" ht="19.899999999999999" customHeight="1">
      <c r="A5" s="585">
        <v>212</v>
      </c>
      <c r="B5" s="585">
        <v>213</v>
      </c>
      <c r="C5" s="586" t="s">
        <v>8</v>
      </c>
      <c r="D5" s="586" t="str">
        <f>"INSTRUMENTOS - ELÉTRICA"</f>
        <v>INSTRUMENTOS - ELÉTRICA</v>
      </c>
      <c r="E5" s="588">
        <f t="shared" ref="E5:E23" si="0">I5</f>
        <v>14304</v>
      </c>
      <c r="F5" s="588">
        <f t="shared" ref="F5:F23" si="1">J5</f>
        <v>2791.7333333333331</v>
      </c>
      <c r="G5" s="589">
        <v>19</v>
      </c>
      <c r="H5" s="590">
        <f>SUMIF('RESUMO-CURVA GRÁFICO'!$B$4:$B$261,'RESUMO-CURVA ACM'!B5,'RESUMO-CURVA GRÁFICO'!$Y$4:$Y$261)</f>
        <v>0.19517151379567485</v>
      </c>
      <c r="I5" s="591">
        <f>SUMIF('RESUMO-CURVA GRÁFICO'!$B$4:$B$261,'RESUMO-CURVA ACM'!A5,'RESUMO-CURVA GRÁFICO'!$X$4:$X$261)</f>
        <v>14304</v>
      </c>
      <c r="J5" s="591">
        <f>SUMIF('RESUMO-CURVA GRÁFICO'!$B$4:$B$261,'RESUMO-CURVA ACM'!B5,'RESUMO-CURVA GRÁFICO'!$X$4:$X$261)</f>
        <v>2791.7333333333331</v>
      </c>
    </row>
    <row r="6" spans="1:10" ht="19.899999999999999" customHeight="1">
      <c r="A6" s="585">
        <v>228</v>
      </c>
      <c r="B6" s="585">
        <v>229</v>
      </c>
      <c r="C6" s="586" t="s">
        <v>9</v>
      </c>
      <c r="D6" s="587" t="str">
        <f>"MOBILIZAÇÃO E DESMOBILIZAÇÃO "</f>
        <v xml:space="preserve">MOBILIZAÇÃO E DESMOBILIZAÇÃO </v>
      </c>
      <c r="E6" s="588">
        <f t="shared" si="0"/>
        <v>16308.35</v>
      </c>
      <c r="F6" s="588">
        <f t="shared" si="1"/>
        <v>8154.1750000000002</v>
      </c>
      <c r="G6" s="589">
        <v>18</v>
      </c>
      <c r="H6" s="590">
        <f>SUMIF('RESUMO-CURVA GRÁFICO'!$B$4:$B$261,'RESUMO-CURVA ACM'!B6,'RESUMO-CURVA GRÁFICO'!$Y$4:$Y$261)</f>
        <v>0.5</v>
      </c>
      <c r="I6" s="591">
        <f>SUMIF('RESUMO-CURVA GRÁFICO'!$B$4:$B$261,'RESUMO-CURVA ACM'!A6,'RESUMO-CURVA GRÁFICO'!$X$4:$X$261)</f>
        <v>16308.35</v>
      </c>
      <c r="J6" s="591">
        <f>SUMIF('RESUMO-CURVA GRÁFICO'!$B$4:$B$261,'RESUMO-CURVA ACM'!B6,'RESUMO-CURVA GRÁFICO'!$X$4:$X$261)</f>
        <v>8154.1750000000002</v>
      </c>
    </row>
    <row r="7" spans="1:10" ht="19.899999999999999" customHeight="1">
      <c r="A7" s="585">
        <v>234</v>
      </c>
      <c r="B7" s="585">
        <v>235</v>
      </c>
      <c r="C7" s="586" t="s">
        <v>10</v>
      </c>
      <c r="D7" s="587" t="str">
        <f>"FRENTES MÓVEIS"</f>
        <v>FRENTES MÓVEIS</v>
      </c>
      <c r="E7" s="588">
        <f t="shared" si="0"/>
        <v>70204</v>
      </c>
      <c r="F7" s="588">
        <f t="shared" si="1"/>
        <v>39782.266666666663</v>
      </c>
      <c r="G7" s="589">
        <v>17</v>
      </c>
      <c r="H7" s="590">
        <f>SUMIF('RESUMO-CURVA GRÁFICO'!$B$4:$B$261,'RESUMO-CURVA ACM'!B7,'RESUMO-CURVA GRÁFICO'!$Y$4:$Y$261)</f>
        <v>0.56666666666666665</v>
      </c>
      <c r="I7" s="591">
        <f>SUMIF('RESUMO-CURVA GRÁFICO'!$B$4:$B$261,'RESUMO-CURVA ACM'!A7,'RESUMO-CURVA GRÁFICO'!$X$4:$X$261)</f>
        <v>70204</v>
      </c>
      <c r="J7" s="591">
        <f>SUMIF('RESUMO-CURVA GRÁFICO'!$B$4:$B$261,'RESUMO-CURVA ACM'!B7,'RESUMO-CURVA GRÁFICO'!$X$4:$X$261)</f>
        <v>39782.266666666663</v>
      </c>
    </row>
    <row r="8" spans="1:10" ht="19.899999999999999" customHeight="1">
      <c r="A8" s="585">
        <v>196</v>
      </c>
      <c r="B8" s="585">
        <v>197</v>
      </c>
      <c r="C8" s="586" t="s">
        <v>11</v>
      </c>
      <c r="D8" s="587" t="str">
        <f>"MATERIAL DE CONSUMO - ELÉTRICO"</f>
        <v>MATERIAL DE CONSUMO - ELÉTRICO</v>
      </c>
      <c r="E8" s="588">
        <f t="shared" si="0"/>
        <v>83279.41</v>
      </c>
      <c r="F8" s="588">
        <f t="shared" si="1"/>
        <v>39574.542433333329</v>
      </c>
      <c r="G8" s="589">
        <v>16</v>
      </c>
      <c r="H8" s="590">
        <f>SUMIF('RESUMO-CURVA GRÁFICO'!$B$4:$B$261,'RESUMO-CURVA ACM'!B8,'RESUMO-CURVA GRÁFICO'!$Y$4:$Y$261)</f>
        <v>0.47520200291204423</v>
      </c>
      <c r="I8" s="591">
        <f>SUMIF('RESUMO-CURVA GRÁFICO'!$B$4:$B$261,'RESUMO-CURVA ACM'!A8,'RESUMO-CURVA GRÁFICO'!$X$4:$X$261)</f>
        <v>83279.41</v>
      </c>
      <c r="J8" s="591">
        <f>SUMIF('RESUMO-CURVA GRÁFICO'!$B$4:$B$261,'RESUMO-CURVA ACM'!B8,'RESUMO-CURVA GRÁFICO'!$X$4:$X$261)</f>
        <v>39574.542433333329</v>
      </c>
    </row>
    <row r="9" spans="1:10" ht="19.899999999999999" customHeight="1">
      <c r="A9" s="585">
        <v>200</v>
      </c>
      <c r="B9" s="585">
        <v>201</v>
      </c>
      <c r="C9" s="586" t="s">
        <v>12</v>
      </c>
      <c r="D9" s="587" t="str">
        <f>"FERRAMENTAS ELÉTRICA"</f>
        <v>FERRAMENTAS ELÉTRICA</v>
      </c>
      <c r="E9" s="588">
        <f t="shared" si="0"/>
        <v>96713.2</v>
      </c>
      <c r="F9" s="588">
        <f t="shared" si="1"/>
        <v>31392.958805555554</v>
      </c>
      <c r="G9" s="589">
        <v>15</v>
      </c>
      <c r="H9" s="590">
        <f>SUMIF('RESUMO-CURVA GRÁFICO'!$B$4:$B$261,'RESUMO-CURVA ACM'!B9,'RESUMO-CURVA GRÁFICO'!$Y$4:$Y$261)</f>
        <v>0.32459849126650298</v>
      </c>
      <c r="I9" s="591">
        <f>SUMIF('RESUMO-CURVA GRÁFICO'!$B$4:$B$261,'RESUMO-CURVA ACM'!A9,'RESUMO-CURVA GRÁFICO'!$X$4:$X$261)</f>
        <v>96713.2</v>
      </c>
      <c r="J9" s="591">
        <f>SUMIF('RESUMO-CURVA GRÁFICO'!$B$4:$B$261,'RESUMO-CURVA ACM'!B9,'RESUMO-CURVA GRÁFICO'!$X$4:$X$261)</f>
        <v>31392.958805555554</v>
      </c>
    </row>
    <row r="10" spans="1:10" ht="19.899999999999999" customHeight="1">
      <c r="A10" s="585">
        <v>96</v>
      </c>
      <c r="B10" s="585">
        <v>97</v>
      </c>
      <c r="C10" s="586" t="s">
        <v>13</v>
      </c>
      <c r="D10" s="587" t="str">
        <f>"EQUIPAMENTOS DE INFORMÁTICA"</f>
        <v>EQUIPAMENTOS DE INFORMÁTICA</v>
      </c>
      <c r="E10" s="588">
        <f t="shared" si="0"/>
        <v>138086.16</v>
      </c>
      <c r="F10" s="588">
        <f t="shared" si="1"/>
        <v>78248.824000000008</v>
      </c>
      <c r="G10" s="589">
        <v>14</v>
      </c>
      <c r="H10" s="590">
        <f>SUMIF('RESUMO-CURVA GRÁFICO'!$B$4:$B$261,'RESUMO-CURVA ACM'!B10,'RESUMO-CURVA GRÁFICO'!$Y$4:$Y$261)</f>
        <v>0.56666666666666676</v>
      </c>
      <c r="I10" s="591">
        <f>SUMIF('RESUMO-CURVA GRÁFICO'!$B$4:$B$261,'RESUMO-CURVA ACM'!A10,'RESUMO-CURVA GRÁFICO'!$X$4:$X$261)</f>
        <v>138086.16</v>
      </c>
      <c r="J10" s="591">
        <f>SUMIF('RESUMO-CURVA GRÁFICO'!$B$4:$B$261,'RESUMO-CURVA ACM'!B10,'RESUMO-CURVA GRÁFICO'!$X$4:$X$261)</f>
        <v>78248.824000000008</v>
      </c>
    </row>
    <row r="11" spans="1:10" ht="19.899999999999999" customHeight="1">
      <c r="A11" s="585">
        <v>216</v>
      </c>
      <c r="B11" s="585">
        <v>217</v>
      </c>
      <c r="C11" s="586" t="s">
        <v>14</v>
      </c>
      <c r="D11" s="587" t="str">
        <f>"MANUTENÇÃO CIVIL - MATERIAIS CONSUMÍVEIS"</f>
        <v>MANUTENÇÃO CIVIL - MATERIAIS CONSUMÍVEIS</v>
      </c>
      <c r="E11" s="588">
        <f t="shared" si="0"/>
        <v>237025.32</v>
      </c>
      <c r="F11" s="588">
        <f t="shared" si="1"/>
        <v>145430.81399866642</v>
      </c>
      <c r="G11" s="589">
        <v>13</v>
      </c>
      <c r="H11" s="590">
        <f>SUMIF('RESUMO-CURVA GRÁFICO'!$B$4:$B$261,'RESUMO-CURVA ACM'!B11,'RESUMO-CURVA GRÁFICO'!$Y$4:$Y$261)</f>
        <v>0.61356657591967989</v>
      </c>
      <c r="I11" s="591">
        <f>SUMIF('RESUMO-CURVA GRÁFICO'!$B$4:$B$261,'RESUMO-CURVA ACM'!A11,'RESUMO-CURVA GRÁFICO'!$X$4:$X$261)</f>
        <v>237025.32</v>
      </c>
      <c r="J11" s="591">
        <f>SUMIF('RESUMO-CURVA GRÁFICO'!$B$4:$B$261,'RESUMO-CURVA ACM'!B11,'RESUMO-CURVA GRÁFICO'!$X$4:$X$261)</f>
        <v>145430.81399866642</v>
      </c>
    </row>
    <row r="12" spans="1:10" ht="19.899999999999999" customHeight="1">
      <c r="A12" s="585">
        <v>224</v>
      </c>
      <c r="B12" s="585">
        <v>225</v>
      </c>
      <c r="C12" s="586" t="s">
        <v>15</v>
      </c>
      <c r="D12" s="587" t="str">
        <f>"TRANSPORTE DE EQUIPAMENTOS"</f>
        <v>TRANSPORTE DE EQUIPAMENTOS</v>
      </c>
      <c r="E12" s="588">
        <f t="shared" si="0"/>
        <v>270788.7</v>
      </c>
      <c r="F12" s="588">
        <f t="shared" si="1"/>
        <v>0</v>
      </c>
      <c r="G12" s="589">
        <v>12</v>
      </c>
      <c r="H12" s="590">
        <f>SUMIF('RESUMO-CURVA GRÁFICO'!$B$4:$B$261,'RESUMO-CURVA ACM'!B12,'RESUMO-CURVA GRÁFICO'!$Y$4:$Y$261)</f>
        <v>0</v>
      </c>
      <c r="I12" s="591">
        <f>SUMIF('RESUMO-CURVA GRÁFICO'!$B$4:$B$261,'RESUMO-CURVA ACM'!A12,'RESUMO-CURVA GRÁFICO'!$X$4:$X$261)</f>
        <v>270788.7</v>
      </c>
      <c r="J12" s="591">
        <f>SUMIF('RESUMO-CURVA GRÁFICO'!$B$4:$B$261,'RESUMO-CURVA ACM'!B12,'RESUMO-CURVA GRÁFICO'!$X$4:$X$261)</f>
        <v>0</v>
      </c>
    </row>
    <row r="13" spans="1:10" ht="19.899999999999999" customHeight="1">
      <c r="A13" s="585">
        <v>256</v>
      </c>
      <c r="B13" s="585">
        <v>257</v>
      </c>
      <c r="C13" s="586">
        <v>3</v>
      </c>
      <c r="D13" s="587" t="str">
        <f>"DESPESAS REEMBOLSÁVEIS"</f>
        <v>DESPESAS REEMBOLSÁVEIS</v>
      </c>
      <c r="E13" s="588">
        <f t="shared" si="0"/>
        <v>337157.91</v>
      </c>
      <c r="F13" s="588">
        <f t="shared" si="1"/>
        <v>169515.73</v>
      </c>
      <c r="G13" s="589">
        <v>11</v>
      </c>
      <c r="H13" s="590">
        <f>SUMIF('RESUMO-CURVA GRÁFICO'!$B$4:$B$261,'RESUMO-CURVA ACM'!B13,'RESUMO-CURVA GRÁFICO'!$Y$4:$Y$261)</f>
        <v>0.50277844586235576</v>
      </c>
      <c r="I13" s="591">
        <f>SUMIF('RESUMO-CURVA GRÁFICO'!$B$4:$B$261,'RESUMO-CURVA ACM'!A13,'RESUMO-CURVA GRÁFICO'!$X$4:$X$261)</f>
        <v>337157.91</v>
      </c>
      <c r="J13" s="591">
        <f>SUMIF('RESUMO-CURVA GRÁFICO'!$B$4:$B$261,'RESUMO-CURVA ACM'!B13,'RESUMO-CURVA GRÁFICO'!$X$4:$X$261)</f>
        <v>169515.73</v>
      </c>
    </row>
    <row r="14" spans="1:10" ht="19.899999999999999" customHeight="1">
      <c r="A14" s="585">
        <v>84</v>
      </c>
      <c r="B14" s="585">
        <v>85</v>
      </c>
      <c r="C14" s="586" t="s">
        <v>16</v>
      </c>
      <c r="D14" s="587" t="str">
        <f>"VIAGENS"</f>
        <v>VIAGENS</v>
      </c>
      <c r="E14" s="588">
        <f t="shared" si="0"/>
        <v>382021.68000000005</v>
      </c>
      <c r="F14" s="588">
        <f t="shared" si="1"/>
        <v>94516.989999999991</v>
      </c>
      <c r="G14" s="589">
        <v>10</v>
      </c>
      <c r="H14" s="590">
        <f>SUMIF('RESUMO-CURVA GRÁFICO'!$B$4:$B$261,'RESUMO-CURVA ACM'!B14,'RESUMO-CURVA GRÁFICO'!$Y$4:$Y$261)</f>
        <v>0.24741263375418898</v>
      </c>
      <c r="I14" s="591">
        <f>SUMIF('RESUMO-CURVA GRÁFICO'!$B$4:$B$261,'RESUMO-CURVA ACM'!A14,'RESUMO-CURVA GRÁFICO'!$X$4:$X$261)</f>
        <v>382021.68000000005</v>
      </c>
      <c r="J14" s="591">
        <f>SUMIF('RESUMO-CURVA GRÁFICO'!$B$4:$B$261,'RESUMO-CURVA ACM'!B14,'RESUMO-CURVA GRÁFICO'!$X$4:$X$261)</f>
        <v>94516.989999999991</v>
      </c>
    </row>
    <row r="15" spans="1:10" ht="19.899999999999999" customHeight="1">
      <c r="A15" s="585">
        <v>204</v>
      </c>
      <c r="B15" s="585">
        <v>205</v>
      </c>
      <c r="C15" s="586" t="s">
        <v>17</v>
      </c>
      <c r="D15" s="587" t="str">
        <f>"SOBRESSALENTES - ELÉTRICA"</f>
        <v>SOBRESSALENTES - ELÉTRICA</v>
      </c>
      <c r="E15" s="588">
        <f t="shared" si="0"/>
        <v>426502.24999999994</v>
      </c>
      <c r="F15" s="588">
        <f t="shared" si="1"/>
        <v>77900.749999999985</v>
      </c>
      <c r="G15" s="589">
        <v>9</v>
      </c>
      <c r="H15" s="590">
        <f>SUMIF('RESUMO-CURVA GRÁFICO'!$B$4:$B$261,'RESUMO-CURVA ACM'!B15,'RESUMO-CURVA GRÁFICO'!$Y$4:$Y$261)</f>
        <v>0.1826502673784253</v>
      </c>
      <c r="I15" s="591">
        <f>SUMIF('RESUMO-CURVA GRÁFICO'!$B$4:$B$261,'RESUMO-CURVA ACM'!A15,'RESUMO-CURVA GRÁFICO'!$X$4:$X$261)</f>
        <v>426502.24999999994</v>
      </c>
      <c r="J15" s="591">
        <f>SUMIF('RESUMO-CURVA GRÁFICO'!$B$4:$B$261,'RESUMO-CURVA ACM'!B15,'RESUMO-CURVA GRÁFICO'!$X$4:$X$261)</f>
        <v>77900.749999999985</v>
      </c>
    </row>
    <row r="16" spans="1:10" ht="19.899999999999999" customHeight="1">
      <c r="A16" s="585">
        <v>208</v>
      </c>
      <c r="B16" s="585">
        <v>209</v>
      </c>
      <c r="C16" s="586" t="s">
        <v>18</v>
      </c>
      <c r="D16" s="587" t="str">
        <f>"SOBRESSALENTES - LINHA DE TRANSMISSÃO"</f>
        <v>SOBRESSALENTES - LINHA DE TRANSMISSÃO</v>
      </c>
      <c r="E16" s="588">
        <f t="shared" si="0"/>
        <v>469086.46</v>
      </c>
      <c r="F16" s="588">
        <f t="shared" si="1"/>
        <v>3220.1303333333326</v>
      </c>
      <c r="G16" s="589">
        <v>8</v>
      </c>
      <c r="H16" s="590">
        <f>SUMIF('RESUMO-CURVA GRÁFICO'!$B$4:$B$261,'RESUMO-CURVA ACM'!B16,'RESUMO-CURVA GRÁFICO'!$Y$4:$Y$261)</f>
        <v>6.8646840357177068E-3</v>
      </c>
      <c r="I16" s="591">
        <f>SUMIF('RESUMO-CURVA GRÁFICO'!$B$4:$B$261,'RESUMO-CURVA ACM'!A16,'RESUMO-CURVA GRÁFICO'!$X$4:$X$261)</f>
        <v>469086.46</v>
      </c>
      <c r="J16" s="591">
        <f>SUMIF('RESUMO-CURVA GRÁFICO'!$B$4:$B$261,'RESUMO-CURVA ACM'!B16,'RESUMO-CURVA GRÁFICO'!$X$4:$X$261)</f>
        <v>3220.1303333333326</v>
      </c>
    </row>
    <row r="17" spans="1:10" ht="19.899999999999999" customHeight="1">
      <c r="A17" s="585">
        <v>126</v>
      </c>
      <c r="B17" s="585">
        <v>127</v>
      </c>
      <c r="C17" s="586" t="s">
        <v>19</v>
      </c>
      <c r="D17" s="587" t="str">
        <f>"ESCRITÓRIO"</f>
        <v>ESCRITÓRIO</v>
      </c>
      <c r="E17" s="588">
        <f t="shared" si="0"/>
        <v>518209.67999999993</v>
      </c>
      <c r="F17" s="588">
        <f t="shared" si="1"/>
        <v>293425.62399999995</v>
      </c>
      <c r="G17" s="589">
        <v>7</v>
      </c>
      <c r="H17" s="590">
        <f>SUMIF('RESUMO-CURVA GRÁFICO'!$B$4:$B$261,'RESUMO-CURVA ACM'!B17,'RESUMO-CURVA GRÁFICO'!$Y$4:$Y$261)</f>
        <v>0.56622953087252248</v>
      </c>
      <c r="I17" s="591">
        <f>SUMIF('RESUMO-CURVA GRÁFICO'!$B$4:$B$261,'RESUMO-CURVA ACM'!A17,'RESUMO-CURVA GRÁFICO'!$X$4:$X$261)</f>
        <v>518209.67999999993</v>
      </c>
      <c r="J17" s="591">
        <f>SUMIF('RESUMO-CURVA GRÁFICO'!$B$4:$B$261,'RESUMO-CURVA ACM'!B17,'RESUMO-CURVA GRÁFICO'!$X$4:$X$261)</f>
        <v>293425.62399999995</v>
      </c>
    </row>
    <row r="18" spans="1:10" ht="19.899999999999999" customHeight="1">
      <c r="A18" s="585">
        <v>142</v>
      </c>
      <c r="B18" s="585">
        <v>143</v>
      </c>
      <c r="C18" s="586" t="s">
        <v>20</v>
      </c>
      <c r="D18" s="587" t="str">
        <f>"SISTEMA DE RÁDIO COMUNICAÇÃO"</f>
        <v>SISTEMA DE RÁDIO COMUNICAÇÃO</v>
      </c>
      <c r="E18" s="588">
        <f t="shared" si="0"/>
        <v>528013.08000000007</v>
      </c>
      <c r="F18" s="588">
        <f t="shared" si="1"/>
        <v>278959.32400000002</v>
      </c>
      <c r="G18" s="589">
        <v>6</v>
      </c>
      <c r="H18" s="590">
        <f>SUMIF('RESUMO-CURVA GRÁFICO'!$B$4:$B$261,'RESUMO-CURVA ACM'!B18,'RESUMO-CURVA GRÁFICO'!$Y$4:$Y$261)</f>
        <v>0.52831896512866683</v>
      </c>
      <c r="I18" s="591">
        <f>SUMIF('RESUMO-CURVA GRÁFICO'!$B$4:$B$261,'RESUMO-CURVA ACM'!A18,'RESUMO-CURVA GRÁFICO'!$X$4:$X$261)</f>
        <v>528013.08000000007</v>
      </c>
      <c r="J18" s="591">
        <f>SUMIF('RESUMO-CURVA GRÁFICO'!$B$4:$B$261,'RESUMO-CURVA ACM'!B18,'RESUMO-CURVA GRÁFICO'!$X$4:$X$261)</f>
        <v>278959.32400000002</v>
      </c>
    </row>
    <row r="19" spans="1:10" ht="19.899999999999999" customHeight="1">
      <c r="A19" s="585">
        <v>158</v>
      </c>
      <c r="B19" s="585">
        <v>159</v>
      </c>
      <c r="C19" s="586" t="s">
        <v>21</v>
      </c>
      <c r="D19" s="587" t="str">
        <f>"INSTALAÇÃO DA EQUIPE"</f>
        <v>INSTALAÇÃO DA EQUIPE</v>
      </c>
      <c r="E19" s="588">
        <f t="shared" si="0"/>
        <v>685214.99640000006</v>
      </c>
      <c r="F19" s="588">
        <f t="shared" si="1"/>
        <v>388288.49796000001</v>
      </c>
      <c r="G19" s="589">
        <v>5</v>
      </c>
      <c r="H19" s="590">
        <f>SUMIF('RESUMO-CURVA GRÁFICO'!$B$4:$B$261,'RESUMO-CURVA ACM'!B19,'RESUMO-CURVA GRÁFICO'!$Y$4:$Y$261)</f>
        <v>0.56666666666666665</v>
      </c>
      <c r="I19" s="591">
        <f>SUMIF('RESUMO-CURVA GRÁFICO'!$B$4:$B$261,'RESUMO-CURVA ACM'!A19,'RESUMO-CURVA GRÁFICO'!$X$4:$X$261)</f>
        <v>685214.99640000006</v>
      </c>
      <c r="J19" s="591">
        <f>SUMIF('RESUMO-CURVA GRÁFICO'!$B$4:$B$261,'RESUMO-CURVA ACM'!B19,'RESUMO-CURVA GRÁFICO'!$X$4:$X$261)</f>
        <v>388288.49796000001</v>
      </c>
    </row>
    <row r="20" spans="1:10" ht="19.899999999999999" customHeight="1">
      <c r="A20" s="585">
        <v>166</v>
      </c>
      <c r="B20" s="585">
        <v>167</v>
      </c>
      <c r="C20" s="586" t="s">
        <v>22</v>
      </c>
      <c r="D20" s="587" t="str">
        <f>"EQUIPAMENTOS PARA MANUTENÇÃO ELÉTRICA"</f>
        <v>EQUIPAMENTOS PARA MANUTENÇÃO ELÉTRICA</v>
      </c>
      <c r="E20" s="588">
        <f t="shared" ca="1" si="0"/>
        <v>4591811.13</v>
      </c>
      <c r="F20" s="588">
        <f t="shared" si="1"/>
        <v>2717231.3120000004</v>
      </c>
      <c r="G20" s="589">
        <v>4</v>
      </c>
      <c r="H20" s="590">
        <f ca="1">SUMIF('RESUMO-CURVA GRÁFICO'!$B$4:$B$261,'RESUMO-CURVA ACM'!B20,'RESUMO-CURVA GRÁFICO'!$Y$4:$Y$261)</f>
        <v>0.59175589654533556</v>
      </c>
      <c r="I20" s="591">
        <f ca="1">SUMIF('RESUMO-CURVA GRÁFICO'!$B$4:$B$261,'RESUMO-CURVA ACM'!A20,'RESUMO-CURVA GRÁFICO'!$X$4:$X$261)</f>
        <v>4591811.13</v>
      </c>
      <c r="J20" s="591">
        <f>SUMIF('RESUMO-CURVA GRÁFICO'!$B$4:$B$261,'RESUMO-CURVA ACM'!B20,'RESUMO-CURVA GRÁFICO'!$X$4:$X$261)</f>
        <v>2717231.3120000004</v>
      </c>
    </row>
    <row r="21" spans="1:10" ht="19.899999999999999" customHeight="1">
      <c r="A21" s="585">
        <v>112</v>
      </c>
      <c r="B21" s="585">
        <v>113</v>
      </c>
      <c r="C21" s="586" t="s">
        <v>23</v>
      </c>
      <c r="D21" s="587" t="str">
        <f>"VEÍCULOS, COMBUSTÍVEL E MANUTENÇÃO"</f>
        <v>VEÍCULOS, COMBUSTÍVEL E MANUTENÇÃO</v>
      </c>
      <c r="E21" s="588">
        <f t="shared" si="0"/>
        <v>3783418.92</v>
      </c>
      <c r="F21" s="588">
        <f t="shared" si="1"/>
        <v>2109858.5279999999</v>
      </c>
      <c r="G21" s="589">
        <v>3</v>
      </c>
      <c r="H21" s="590">
        <f>SUMIF('RESUMO-CURVA GRÁFICO'!$B$4:$B$261,'RESUMO-CURVA ACM'!B21,'RESUMO-CURVA GRÁFICO'!$Y$4:$Y$261)</f>
        <v>0.55765924223902752</v>
      </c>
      <c r="I21" s="591">
        <f>SUMIF('RESUMO-CURVA GRÁFICO'!$B$4:$B$261,'RESUMO-CURVA ACM'!A21,'RESUMO-CURVA GRÁFICO'!$X$4:$X$261)</f>
        <v>3783418.92</v>
      </c>
      <c r="J21" s="591">
        <f>SUMIF('RESUMO-CURVA GRÁFICO'!$B$4:$B$261,'RESUMO-CURVA ACM'!B21,'RESUMO-CURVA GRÁFICO'!$X$4:$X$261)</f>
        <v>2109858.5279999999</v>
      </c>
    </row>
    <row r="22" spans="1:10" ht="19.899999999999999" customHeight="1">
      <c r="A22" s="585">
        <v>78</v>
      </c>
      <c r="B22" s="585">
        <v>79</v>
      </c>
      <c r="C22" s="586">
        <v>1</v>
      </c>
      <c r="D22" s="587" t="str">
        <f>"RESUMO DA MÃO DE OBRA"</f>
        <v>RESUMO DA MÃO DE OBRA</v>
      </c>
      <c r="E22" s="588">
        <f t="shared" si="0"/>
        <v>18310884.076674007</v>
      </c>
      <c r="F22" s="588">
        <f t="shared" si="1"/>
        <v>9407553.8248052541</v>
      </c>
      <c r="G22" s="589">
        <v>1</v>
      </c>
      <c r="H22" s="590">
        <f>SUMIF('RESUMO-CURVA GRÁFICO'!$B$4:$B$261,'RESUMO-CURVA ACM'!B22,'RESUMO-CURVA GRÁFICO'!$Y$4:$Y$261)</f>
        <v>0.51376841147661534</v>
      </c>
      <c r="I22" s="591">
        <f>SUMIF('RESUMO-CURVA GRÁFICO'!$B$4:$B$261,'RESUMO-CURVA ACM'!A22,'RESUMO-CURVA GRÁFICO'!$X$4:$X$261)</f>
        <v>18310884.076674007</v>
      </c>
      <c r="J22" s="591">
        <f>SUMIF('RESUMO-CURVA GRÁFICO'!$B$4:$B$261,'RESUMO-CURVA ACM'!B22,'RESUMO-CURVA GRÁFICO'!$X$4:$X$261)</f>
        <v>9407553.8248052541</v>
      </c>
    </row>
    <row r="23" spans="1:10" ht="19.899999999999999" customHeight="1">
      <c r="A23" s="585">
        <v>249</v>
      </c>
      <c r="B23" s="585">
        <v>250</v>
      </c>
      <c r="C23" s="586">
        <v>2</v>
      </c>
      <c r="D23" s="587" t="str">
        <f>"CUSTOS DIRETOS"</f>
        <v>CUSTOS DIRETOS</v>
      </c>
      <c r="E23" s="588">
        <f t="shared" ca="1" si="0"/>
        <v>12317952.7564</v>
      </c>
      <c r="F23" s="588">
        <f t="shared" si="1"/>
        <v>6312711.5009197779</v>
      </c>
      <c r="G23" s="589">
        <v>2</v>
      </c>
      <c r="H23" s="590">
        <f ca="1">SUMIF('RESUMO-CURVA GRÁFICO'!$B$4:$B$261,'RESUMO-CURVA ACM'!B23,'RESUMO-CURVA GRÁFICO'!$Y$4:$Y$261)</f>
        <v>0.51248057414734782</v>
      </c>
      <c r="I23" s="591">
        <f ca="1">SUMIF('RESUMO-CURVA GRÁFICO'!$B$4:$B$261,'RESUMO-CURVA ACM'!A23,'RESUMO-CURVA GRÁFICO'!$X$4:$X$261)</f>
        <v>12317952.7564</v>
      </c>
      <c r="J23" s="591">
        <f>SUMIF('RESUMO-CURVA GRÁFICO'!$B$4:$B$261,'RESUMO-CURVA ACM'!B23,'RESUMO-CURVA GRÁFICO'!$X$4:$X$261)</f>
        <v>6312711.5009197779</v>
      </c>
    </row>
    <row r="24" spans="1:10">
      <c r="E24" s="625">
        <f ca="1">SUM(E4:E12,E14:E21,E22,E13)</f>
        <v>30965994.743074007</v>
      </c>
      <c r="F24" s="625">
        <f>SUM(F4:F12,F14:F21,F22,F13)</f>
        <v>15889781.055725032</v>
      </c>
      <c r="H24" s="627">
        <f ca="1">F24/E24</f>
        <v>0.51313646429133397</v>
      </c>
      <c r="I24" s="625">
        <f ca="1">SUM(I4:I12,I14:I21,I22,I13)</f>
        <v>30965994.743074007</v>
      </c>
      <c r="J24" s="625">
        <f>SUM(J4:J12,J14:J21,J22,J13)</f>
        <v>15889781.055725032</v>
      </c>
    </row>
    <row r="25" spans="1:10">
      <c r="E25" s="625">
        <f ca="1">E24-I24</f>
        <v>0</v>
      </c>
      <c r="F25" s="625">
        <f>F24-J24</f>
        <v>0</v>
      </c>
      <c r="H25" s="626"/>
      <c r="I25" s="625">
        <f ca="1">I24-'Evolução Mensal'!AR12</f>
        <v>7.3425471782684326E-6</v>
      </c>
      <c r="J25" s="625">
        <f>J24-'Evolução Mensal'!AR13</f>
        <v>0</v>
      </c>
    </row>
    <row r="28" spans="1:10">
      <c r="F28" s="625"/>
    </row>
    <row r="29" spans="1:10">
      <c r="F29" s="625"/>
    </row>
  </sheetData>
  <pageMargins left="0.31496062992125984" right="0.31496062992125984" top="0.59055118110236227" bottom="0.78740157480314965" header="0.31496062992125984" footer="0.31496062992125984"/>
  <pageSetup paperSize="9" scale="76" fitToHeight="0" orientation="landscape" r:id="rId1"/>
  <headerFooter>
    <oddFooter>&amp;R&amp;P/&amp;N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1F7B-DDCB-410B-9545-BEC6BEC0C363}">
  <sheetPr codeName="Planilha2">
    <pageSetUpPr fitToPage="1"/>
  </sheetPr>
  <dimension ref="A3:K25"/>
  <sheetViews>
    <sheetView view="pageBreakPreview" topLeftCell="A3" zoomScale="90" zoomScaleNormal="100" zoomScaleSheetLayoutView="90" workbookViewId="0">
      <selection activeCell="I4" sqref="I4"/>
    </sheetView>
  </sheetViews>
  <sheetFormatPr defaultColWidth="9.140625" defaultRowHeight="13.9"/>
  <cols>
    <col min="1" max="2" width="9.140625" style="475"/>
    <col min="3" max="3" width="5.7109375" style="406" customWidth="1"/>
    <col min="4" max="4" width="68.42578125" style="404" customWidth="1"/>
    <col min="5" max="6" width="15.42578125" style="405" customWidth="1"/>
    <col min="7" max="7" width="11.28515625" style="404" bestFit="1" customWidth="1"/>
    <col min="8" max="8" width="17.140625" style="404" bestFit="1" customWidth="1"/>
    <col min="9" max="9" width="15.140625" style="404" customWidth="1"/>
    <col min="10" max="10" width="16.140625" style="404" customWidth="1"/>
    <col min="11" max="11" width="11.28515625" style="404" bestFit="1" customWidth="1"/>
    <col min="12" max="12" width="11.7109375" style="404" customWidth="1"/>
    <col min="13" max="16384" width="9.140625" style="404"/>
  </cols>
  <sheetData>
    <row r="3" spans="1:11" s="475" customFormat="1" ht="19.899999999999999" customHeight="1">
      <c r="A3" s="592" t="s">
        <v>0</v>
      </c>
      <c r="B3" s="592" t="s">
        <v>1</v>
      </c>
      <c r="C3" s="592" t="s">
        <v>2</v>
      </c>
      <c r="D3" s="592" t="s">
        <v>3</v>
      </c>
      <c r="E3" s="593" t="s">
        <v>4</v>
      </c>
      <c r="F3" s="593" t="s">
        <v>24</v>
      </c>
      <c r="G3" s="592"/>
      <c r="H3" s="592" t="s">
        <v>6</v>
      </c>
      <c r="I3" s="592" t="s">
        <v>4</v>
      </c>
      <c r="J3" s="592" t="s">
        <v>24</v>
      </c>
    </row>
    <row r="4" spans="1:11" ht="19.899999999999999" customHeight="1">
      <c r="A4" s="585">
        <v>220</v>
      </c>
      <c r="B4" s="585">
        <v>221</v>
      </c>
      <c r="C4" s="586" t="s">
        <v>7</v>
      </c>
      <c r="D4" s="587" t="str">
        <f>"FERRAMENTAS - CIVIL "</f>
        <v xml:space="preserve">FERRAMENTAS - CIVIL </v>
      </c>
      <c r="E4" s="588">
        <f t="shared" ref="E4:E23" si="0">I4</f>
        <v>6965.42</v>
      </c>
      <c r="F4" s="588">
        <f t="shared" ref="F4:F23" si="1">J4</f>
        <v>6965.42</v>
      </c>
      <c r="G4" s="589">
        <v>20</v>
      </c>
      <c r="H4" s="590">
        <f>SUMIF('RESUMO-CURVA GRÁFICO'!$B$4:$B$261,'RESUMO-CURVA PREV'!B4,'RESUMO-CURVA GRÁFICO'!$AD$4:$AD$261)</f>
        <v>1</v>
      </c>
      <c r="I4" s="591">
        <f>SUMIF('RESUMO-CURVA GRÁFICO'!$B$4:$B$261,'RESUMO-CURVA PREV'!A4,'RESUMO-CURVA GRÁFICO'!$X$4:$X$261)</f>
        <v>6965.42</v>
      </c>
      <c r="J4" s="591">
        <f>SUMIF('RESUMO-CURVA GRÁFICO'!$B$4:$B$261,'RESUMO-CURVA PREV'!B4,'RESUMO-CURVA GRÁFICO'!$AC$4:$AC$261)</f>
        <v>6965.42</v>
      </c>
      <c r="K4" s="496"/>
    </row>
    <row r="5" spans="1:11" ht="19.899999999999999" customHeight="1">
      <c r="A5" s="585">
        <v>212</v>
      </c>
      <c r="B5" s="585">
        <v>213</v>
      </c>
      <c r="C5" s="586" t="s">
        <v>8</v>
      </c>
      <c r="D5" s="586" t="str">
        <f>"INSTRUMENTOS - ELÉTRICA"</f>
        <v>INSTRUMENTOS - ELÉTRICA</v>
      </c>
      <c r="E5" s="588">
        <f t="shared" si="0"/>
        <v>14304</v>
      </c>
      <c r="F5" s="588">
        <f t="shared" si="1"/>
        <v>4971.3600004223999</v>
      </c>
      <c r="G5" s="589">
        <v>19</v>
      </c>
      <c r="H5" s="590">
        <f>SUMIF('RESUMO-CURVA GRÁFICO'!$B$4:$B$261,'RESUMO-CURVA PREV'!B5,'RESUMO-CURVA GRÁFICO'!$AD$4:$AD$261)</f>
        <v>0.34755033559999998</v>
      </c>
      <c r="I5" s="591">
        <f>SUMIF('RESUMO-CURVA GRÁFICO'!$B$4:$B$261,'RESUMO-CURVA PREV'!A5,'RESUMO-CURVA GRÁFICO'!$X$4:$X$261)</f>
        <v>14304</v>
      </c>
      <c r="J5" s="591">
        <f>SUMIF('RESUMO-CURVA GRÁFICO'!$B$4:$B$261,'RESUMO-CURVA PREV'!B5,'RESUMO-CURVA GRÁFICO'!$AC$4:$AC$261)</f>
        <v>4971.3600004223999</v>
      </c>
      <c r="K5" s="496"/>
    </row>
    <row r="6" spans="1:11" ht="19.899999999999999" customHeight="1">
      <c r="A6" s="585">
        <v>228</v>
      </c>
      <c r="B6" s="585">
        <v>229</v>
      </c>
      <c r="C6" s="586" t="s">
        <v>9</v>
      </c>
      <c r="D6" s="587" t="str">
        <f>"MOBILIZAÇÃO E DESMOBILIZAÇÃO "</f>
        <v xml:space="preserve">MOBILIZAÇÃO E DESMOBILIZAÇÃO </v>
      </c>
      <c r="E6" s="588">
        <f t="shared" si="0"/>
        <v>16308.35</v>
      </c>
      <c r="F6" s="588">
        <f t="shared" si="1"/>
        <v>8154.1750000000002</v>
      </c>
      <c r="G6" s="589">
        <v>18</v>
      </c>
      <c r="H6" s="590">
        <f>SUMIF('RESUMO-CURVA GRÁFICO'!$B$4:$B$261,'RESUMO-CURVA PREV'!B6,'RESUMO-CURVA GRÁFICO'!$AD$4:$AD$261)</f>
        <v>0.5</v>
      </c>
      <c r="I6" s="591">
        <f>SUMIF('RESUMO-CURVA GRÁFICO'!$B$4:$B$261,'RESUMO-CURVA PREV'!A6,'RESUMO-CURVA GRÁFICO'!$X$4:$X$261)</f>
        <v>16308.35</v>
      </c>
      <c r="J6" s="591">
        <f>SUMIF('RESUMO-CURVA GRÁFICO'!$B$4:$B$261,'RESUMO-CURVA PREV'!B6,'RESUMO-CURVA GRÁFICO'!$AC$4:$AC$261)</f>
        <v>8154.1750000000002</v>
      </c>
      <c r="K6" s="496"/>
    </row>
    <row r="7" spans="1:11" ht="19.899999999999999" customHeight="1">
      <c r="A7" s="585">
        <v>234</v>
      </c>
      <c r="B7" s="585">
        <v>235</v>
      </c>
      <c r="C7" s="586" t="s">
        <v>10</v>
      </c>
      <c r="D7" s="587" t="str">
        <f>"FRENTES MÓVEIS"</f>
        <v>FRENTES MÓVEIS</v>
      </c>
      <c r="E7" s="588">
        <f t="shared" si="0"/>
        <v>70204</v>
      </c>
      <c r="F7" s="588">
        <f t="shared" si="1"/>
        <v>70204</v>
      </c>
      <c r="G7" s="589">
        <v>17</v>
      </c>
      <c r="H7" s="590">
        <f>SUMIF('RESUMO-CURVA GRÁFICO'!$B$4:$B$261,'RESUMO-CURVA PREV'!B7,'RESUMO-CURVA GRÁFICO'!$AD$4:$AD$261)</f>
        <v>1</v>
      </c>
      <c r="I7" s="591">
        <f>SUMIF('RESUMO-CURVA GRÁFICO'!$B$4:$B$261,'RESUMO-CURVA PREV'!A7,'RESUMO-CURVA GRÁFICO'!$X$4:$X$261)</f>
        <v>70204</v>
      </c>
      <c r="J7" s="591">
        <f>SUMIF('RESUMO-CURVA GRÁFICO'!$B$4:$B$261,'RESUMO-CURVA PREV'!B7,'RESUMO-CURVA GRÁFICO'!$AC$4:$AC$261)</f>
        <v>70204</v>
      </c>
      <c r="K7" s="496"/>
    </row>
    <row r="8" spans="1:11" ht="19.899999999999999" customHeight="1">
      <c r="A8" s="585">
        <v>196</v>
      </c>
      <c r="B8" s="585">
        <v>197</v>
      </c>
      <c r="C8" s="586" t="s">
        <v>11</v>
      </c>
      <c r="D8" s="587" t="str">
        <f>"MATERIAL DE CONSUMO - ELÉTRICO"</f>
        <v>MATERIAL DE CONSUMO - ELÉTRICO</v>
      </c>
      <c r="E8" s="588">
        <f t="shared" si="0"/>
        <v>83279.41</v>
      </c>
      <c r="F8" s="588">
        <f t="shared" si="1"/>
        <v>73584.516200548329</v>
      </c>
      <c r="G8" s="589">
        <v>16</v>
      </c>
      <c r="H8" s="590">
        <f>SUMIF('RESUMO-CURVA GRÁFICO'!$B$4:$B$261,'RESUMO-CURVA PREV'!B8,'RESUMO-CURVA GRÁFICO'!$AD$4:$AD$261)</f>
        <v>0.88358594519999989</v>
      </c>
      <c r="I8" s="591">
        <f>SUMIF('RESUMO-CURVA GRÁFICO'!$B$4:$B$261,'RESUMO-CURVA PREV'!A8,'RESUMO-CURVA GRÁFICO'!$X$4:$X$261)</f>
        <v>83279.41</v>
      </c>
      <c r="J8" s="591">
        <f>SUMIF('RESUMO-CURVA GRÁFICO'!$B$4:$B$261,'RESUMO-CURVA PREV'!B8,'RESUMO-CURVA GRÁFICO'!$AC$4:$AC$261)</f>
        <v>73584.516200548329</v>
      </c>
      <c r="K8" s="496"/>
    </row>
    <row r="9" spans="1:11" ht="19.899999999999999" customHeight="1">
      <c r="A9" s="585">
        <v>200</v>
      </c>
      <c r="B9" s="585">
        <v>201</v>
      </c>
      <c r="C9" s="586" t="s">
        <v>12</v>
      </c>
      <c r="D9" s="587" t="str">
        <f>"FERRAMENTAS ELÉTRICA"</f>
        <v>FERRAMENTAS ELÉTRICA</v>
      </c>
      <c r="E9" s="588">
        <f t="shared" si="0"/>
        <v>96713.2</v>
      </c>
      <c r="F9" s="588">
        <f t="shared" si="1"/>
        <v>55670.230000889525</v>
      </c>
      <c r="G9" s="589">
        <v>15</v>
      </c>
      <c r="H9" s="590">
        <f>SUMIF('RESUMO-CURVA GRÁFICO'!$B$4:$B$261,'RESUMO-CURVA PREV'!B9,'RESUMO-CURVA GRÁFICO'!$AD$4:$AD$261)</f>
        <v>0.57562183860000005</v>
      </c>
      <c r="I9" s="591">
        <f>SUMIF('RESUMO-CURVA GRÁFICO'!$B$4:$B$261,'RESUMO-CURVA PREV'!A9,'RESUMO-CURVA GRÁFICO'!$X$4:$X$261)</f>
        <v>96713.2</v>
      </c>
      <c r="J9" s="591">
        <f>SUMIF('RESUMO-CURVA GRÁFICO'!$B$4:$B$261,'RESUMO-CURVA PREV'!B9,'RESUMO-CURVA GRÁFICO'!$AC$4:$AC$261)</f>
        <v>55670.230000889525</v>
      </c>
      <c r="K9" s="496"/>
    </row>
    <row r="10" spans="1:11" ht="19.899999999999999" customHeight="1">
      <c r="A10" s="585">
        <v>96</v>
      </c>
      <c r="B10" s="585">
        <v>97</v>
      </c>
      <c r="C10" s="586" t="s">
        <v>13</v>
      </c>
      <c r="D10" s="587" t="str">
        <f>"EQUIPAMENTOS DE INFORMÁTICA"</f>
        <v>EQUIPAMENTOS DE INFORMÁTICA</v>
      </c>
      <c r="E10" s="588">
        <f t="shared" si="0"/>
        <v>138086.16</v>
      </c>
      <c r="F10" s="588">
        <f t="shared" si="1"/>
        <v>138086.16</v>
      </c>
      <c r="G10" s="589">
        <v>14</v>
      </c>
      <c r="H10" s="590">
        <f>SUMIF('RESUMO-CURVA GRÁFICO'!$B$4:$B$261,'RESUMO-CURVA PREV'!B10,'RESUMO-CURVA GRÁFICO'!$AD$4:$AD$261)</f>
        <v>1</v>
      </c>
      <c r="I10" s="591">
        <f>SUMIF('RESUMO-CURVA GRÁFICO'!$B$4:$B$261,'RESUMO-CURVA PREV'!A10,'RESUMO-CURVA GRÁFICO'!$X$4:$X$261)</f>
        <v>138086.16</v>
      </c>
      <c r="J10" s="591">
        <f>SUMIF('RESUMO-CURVA GRÁFICO'!$B$4:$B$261,'RESUMO-CURVA PREV'!B10,'RESUMO-CURVA GRÁFICO'!$AC$4:$AC$261)</f>
        <v>138086.16</v>
      </c>
      <c r="K10" s="496"/>
    </row>
    <row r="11" spans="1:11" ht="19.899999999999999" customHeight="1">
      <c r="A11" s="585">
        <v>216</v>
      </c>
      <c r="B11" s="585">
        <v>217</v>
      </c>
      <c r="C11" s="586" t="s">
        <v>14</v>
      </c>
      <c r="D11" s="587" t="str">
        <f>"MANUTENÇÃO CIVIL - MATERIAIS CONSUMÍVEIS"</f>
        <v>MANUTENÇÃO CIVIL - MATERIAIS CONSUMÍVEIS</v>
      </c>
      <c r="E11" s="588">
        <f t="shared" si="0"/>
        <v>237025.32</v>
      </c>
      <c r="F11" s="588">
        <f t="shared" si="1"/>
        <v>237025.32</v>
      </c>
      <c r="G11" s="589">
        <v>13</v>
      </c>
      <c r="H11" s="590">
        <f>SUMIF('RESUMO-CURVA GRÁFICO'!$B$4:$B$261,'RESUMO-CURVA PREV'!B11,'RESUMO-CURVA GRÁFICO'!$AD$4:$AD$261)</f>
        <v>1</v>
      </c>
      <c r="I11" s="591">
        <f>SUMIF('RESUMO-CURVA GRÁFICO'!$B$4:$B$261,'RESUMO-CURVA PREV'!A11,'RESUMO-CURVA GRÁFICO'!$X$4:$X$261)</f>
        <v>237025.32</v>
      </c>
      <c r="J11" s="591">
        <f>SUMIF('RESUMO-CURVA GRÁFICO'!$B$4:$B$261,'RESUMO-CURVA PREV'!B11,'RESUMO-CURVA GRÁFICO'!$AC$4:$AC$261)</f>
        <v>237025.32</v>
      </c>
      <c r="K11" s="496"/>
    </row>
    <row r="12" spans="1:11" ht="19.899999999999999" customHeight="1">
      <c r="A12" s="585">
        <v>224</v>
      </c>
      <c r="B12" s="585">
        <v>225</v>
      </c>
      <c r="C12" s="586" t="s">
        <v>15</v>
      </c>
      <c r="D12" s="587" t="str">
        <f>"TRANSPORTE DE EQUIPAMENTOS"</f>
        <v>TRANSPORTE DE EQUIPAMENTOS</v>
      </c>
      <c r="E12" s="588">
        <f t="shared" si="0"/>
        <v>270788.7</v>
      </c>
      <c r="F12" s="588">
        <f t="shared" si="1"/>
        <v>0</v>
      </c>
      <c r="G12" s="589">
        <v>12</v>
      </c>
      <c r="H12" s="590">
        <f>SUMIF('RESUMO-CURVA GRÁFICO'!$B$4:$B$261,'RESUMO-CURVA PREV'!B12,'RESUMO-CURVA GRÁFICO'!$AD$4:$AD$261)</f>
        <v>0</v>
      </c>
      <c r="I12" s="591">
        <f>SUMIF('RESUMO-CURVA GRÁFICO'!$B$4:$B$261,'RESUMO-CURVA PREV'!A12,'RESUMO-CURVA GRÁFICO'!$X$4:$X$261)</f>
        <v>270788.7</v>
      </c>
      <c r="J12" s="591">
        <f>SUMIF('RESUMO-CURVA GRÁFICO'!$B$4:$B$261,'RESUMO-CURVA PREV'!B12,'RESUMO-CURVA GRÁFICO'!$AC$4:$AC$261)</f>
        <v>0</v>
      </c>
      <c r="K12" s="496"/>
    </row>
    <row r="13" spans="1:11" ht="19.899999999999999" customHeight="1">
      <c r="A13" s="585">
        <v>253</v>
      </c>
      <c r="B13" s="585">
        <v>254</v>
      </c>
      <c r="C13" s="586">
        <v>3</v>
      </c>
      <c r="D13" s="587" t="str">
        <f>"DESPESAS REEMBOLSÁVEIS"</f>
        <v>DESPESAS REEMBOLSÁVEIS</v>
      </c>
      <c r="E13" s="588">
        <f t="shared" si="0"/>
        <v>337157.91</v>
      </c>
      <c r="F13" s="588">
        <f t="shared" si="1"/>
        <v>290598.39428571425</v>
      </c>
      <c r="G13" s="589">
        <v>11</v>
      </c>
      <c r="H13" s="590">
        <f>SUMIF('RESUMO-CURVA GRÁFICO'!$B$4:$B$261,'RESUMO-CURVA PREV'!B13,'RESUMO-CURVA GRÁFICO'!$AD$4:$AD$261)</f>
        <v>0.86190590719260973</v>
      </c>
      <c r="I13" s="591">
        <f>SUMIF('RESUMO-CURVA GRÁFICO'!$B$4:$B$261,'RESUMO-CURVA PREV'!A13,'RESUMO-CURVA GRÁFICO'!$X$4:$X$261)</f>
        <v>337157.91</v>
      </c>
      <c r="J13" s="591">
        <f>SUMIF('RESUMO-CURVA GRÁFICO'!$B$4:$B$261,'RESUMO-CURVA PREV'!B13,'RESUMO-CURVA GRÁFICO'!$AC$4:$AC$261)</f>
        <v>290598.39428571425</v>
      </c>
      <c r="K13" s="496"/>
    </row>
    <row r="14" spans="1:11" ht="19.899999999999999" customHeight="1">
      <c r="A14" s="585">
        <v>84</v>
      </c>
      <c r="B14" s="585">
        <v>85</v>
      </c>
      <c r="C14" s="586" t="s">
        <v>16</v>
      </c>
      <c r="D14" s="587" t="str">
        <f>"VIAGENS"</f>
        <v>VIAGENS</v>
      </c>
      <c r="E14" s="588">
        <f t="shared" si="0"/>
        <v>382021.68000000005</v>
      </c>
      <c r="F14" s="588">
        <f t="shared" si="1"/>
        <v>95210.78</v>
      </c>
      <c r="G14" s="589">
        <v>10</v>
      </c>
      <c r="H14" s="590">
        <f>SUMIF('RESUMO-CURVA GRÁFICO'!$B$4:$B$261,'RESUMO-CURVA PREV'!B14,'RESUMO-CURVA GRÁFICO'!$AD$4:$AD$261)</f>
        <v>0.24922873487180094</v>
      </c>
      <c r="I14" s="591">
        <f>SUMIF('RESUMO-CURVA GRÁFICO'!$B$4:$B$261,'RESUMO-CURVA PREV'!A14,'RESUMO-CURVA GRÁFICO'!$X$4:$X$261)</f>
        <v>382021.68000000005</v>
      </c>
      <c r="J14" s="591">
        <f>SUMIF('RESUMO-CURVA GRÁFICO'!$B$4:$B$261,'RESUMO-CURVA PREV'!B14,'RESUMO-CURVA GRÁFICO'!$AC$4:$AC$261)</f>
        <v>95210.78</v>
      </c>
      <c r="K14" s="496"/>
    </row>
    <row r="15" spans="1:11" ht="19.899999999999999" customHeight="1">
      <c r="A15" s="585">
        <v>204</v>
      </c>
      <c r="B15" s="585">
        <v>205</v>
      </c>
      <c r="C15" s="586" t="s">
        <v>17</v>
      </c>
      <c r="D15" s="587" t="str">
        <f>"SOBRESSALENTES - ELÉTRICA"</f>
        <v>SOBRESSALENTES - ELÉTRICA</v>
      </c>
      <c r="E15" s="588">
        <f t="shared" si="0"/>
        <v>426502.24999999994</v>
      </c>
      <c r="F15" s="588">
        <f t="shared" si="1"/>
        <v>155801.50001840357</v>
      </c>
      <c r="G15" s="589">
        <v>9</v>
      </c>
      <c r="H15" s="590">
        <f>SUMIF('RESUMO-CURVA GRÁFICO'!$B$4:$B$261,'RESUMO-CURVA PREV'!B15,'RESUMO-CURVA GRÁFICO'!$AD$4:$AD$261)</f>
        <v>0.36530053480000069</v>
      </c>
      <c r="I15" s="591">
        <f>SUMIF('RESUMO-CURVA GRÁFICO'!$B$4:$B$261,'RESUMO-CURVA PREV'!A15,'RESUMO-CURVA GRÁFICO'!$X$4:$X$261)</f>
        <v>426502.24999999994</v>
      </c>
      <c r="J15" s="591">
        <f>SUMIF('RESUMO-CURVA GRÁFICO'!$B$4:$B$261,'RESUMO-CURVA PREV'!B15,'RESUMO-CURVA GRÁFICO'!$AC$4:$AC$261)</f>
        <v>155801.50001840357</v>
      </c>
      <c r="K15" s="496"/>
    </row>
    <row r="16" spans="1:11" ht="19.899999999999999" customHeight="1">
      <c r="A16" s="585">
        <v>208</v>
      </c>
      <c r="B16" s="585">
        <v>209</v>
      </c>
      <c r="C16" s="586" t="s">
        <v>18</v>
      </c>
      <c r="D16" s="587" t="str">
        <f>"SOBRESSALENTES - LINHA DE TRANSMISSÃO"</f>
        <v>SOBRESSALENTES - LINHA DE TRANSMISSÃO</v>
      </c>
      <c r="E16" s="588">
        <f t="shared" si="0"/>
        <v>469086.46</v>
      </c>
      <c r="F16" s="588">
        <f t="shared" si="1"/>
        <v>5393.0399812480628</v>
      </c>
      <c r="G16" s="589">
        <v>8</v>
      </c>
      <c r="H16" s="590">
        <f>SUMIF('RESUMO-CURVA GRÁFICO'!$B$4:$B$261,'RESUMO-CURVA PREV'!B16,'RESUMO-CURVA GRÁFICO'!$AD$4:$AD$261)</f>
        <v>1.14968997E-2</v>
      </c>
      <c r="I16" s="591">
        <f>SUMIF('RESUMO-CURVA GRÁFICO'!$B$4:$B$261,'RESUMO-CURVA PREV'!A16,'RESUMO-CURVA GRÁFICO'!$X$4:$X$261)</f>
        <v>469086.46</v>
      </c>
      <c r="J16" s="591">
        <f>SUMIF('RESUMO-CURVA GRÁFICO'!$B$4:$B$261,'RESUMO-CURVA PREV'!B16,'RESUMO-CURVA GRÁFICO'!$AC$4:$AC$261)</f>
        <v>5393.0399812480628</v>
      </c>
      <c r="K16" s="496"/>
    </row>
    <row r="17" spans="1:11" ht="19.899999999999999" customHeight="1">
      <c r="A17" s="585">
        <v>126</v>
      </c>
      <c r="B17" s="585">
        <v>127</v>
      </c>
      <c r="C17" s="586" t="s">
        <v>19</v>
      </c>
      <c r="D17" s="587" t="str">
        <f>"ESCRITÓRIO"</f>
        <v>ESCRITÓRIO</v>
      </c>
      <c r="E17" s="588">
        <f t="shared" si="0"/>
        <v>518209.67999999993</v>
      </c>
      <c r="F17" s="588">
        <f t="shared" si="1"/>
        <v>518209.67999999993</v>
      </c>
      <c r="G17" s="589">
        <v>7</v>
      </c>
      <c r="H17" s="590">
        <f>SUMIF('RESUMO-CURVA GRÁFICO'!$B$4:$B$261,'RESUMO-CURVA PREV'!B17,'RESUMO-CURVA GRÁFICO'!$AD$4:$AD$261)</f>
        <v>1</v>
      </c>
      <c r="I17" s="591">
        <f>SUMIF('RESUMO-CURVA GRÁFICO'!$B$4:$B$261,'RESUMO-CURVA PREV'!A17,'RESUMO-CURVA GRÁFICO'!$X$4:$X$261)</f>
        <v>518209.67999999993</v>
      </c>
      <c r="J17" s="591">
        <f>SUMIF('RESUMO-CURVA GRÁFICO'!$B$4:$B$261,'RESUMO-CURVA PREV'!B17,'RESUMO-CURVA GRÁFICO'!$AC$4:$AC$261)</f>
        <v>518209.67999999993</v>
      </c>
      <c r="K17" s="496"/>
    </row>
    <row r="18" spans="1:11" ht="19.899999999999999" customHeight="1">
      <c r="A18" s="585">
        <v>142</v>
      </c>
      <c r="B18" s="585">
        <v>143</v>
      </c>
      <c r="C18" s="586" t="s">
        <v>20</v>
      </c>
      <c r="D18" s="587" t="str">
        <f>"SISTEMA DE RÁDIO COMUNICAÇÃO"</f>
        <v>SISTEMA DE RÁDIO COMUNICAÇÃO</v>
      </c>
      <c r="E18" s="588">
        <f t="shared" si="0"/>
        <v>528013.08000000007</v>
      </c>
      <c r="F18" s="588">
        <f t="shared" si="1"/>
        <v>492055.56000000006</v>
      </c>
      <c r="G18" s="589">
        <v>6</v>
      </c>
      <c r="H18" s="590">
        <f>SUMIF('RESUMO-CURVA GRÁFICO'!$B$4:$B$261,'RESUMO-CURVA PREV'!B18,'RESUMO-CURVA GRÁFICO'!$AD$4:$AD$261)</f>
        <v>0.9319003233783526</v>
      </c>
      <c r="I18" s="591">
        <f>SUMIF('RESUMO-CURVA GRÁFICO'!$B$4:$B$261,'RESUMO-CURVA PREV'!A18,'RESUMO-CURVA GRÁFICO'!$X$4:$X$261)</f>
        <v>528013.08000000007</v>
      </c>
      <c r="J18" s="591">
        <f>SUMIF('RESUMO-CURVA GRÁFICO'!$B$4:$B$261,'RESUMO-CURVA PREV'!B18,'RESUMO-CURVA GRÁFICO'!$AC$4:$AC$261)</f>
        <v>492055.56000000006</v>
      </c>
      <c r="K18" s="496"/>
    </row>
    <row r="19" spans="1:11" ht="19.899999999999999" customHeight="1">
      <c r="A19" s="585">
        <v>158</v>
      </c>
      <c r="B19" s="585">
        <v>159</v>
      </c>
      <c r="C19" s="586" t="s">
        <v>21</v>
      </c>
      <c r="D19" s="587" t="str">
        <f>"INSTALAÇÃO DA EQUIPE"</f>
        <v>INSTALAÇÃO DA EQUIPE</v>
      </c>
      <c r="E19" s="588">
        <f t="shared" si="0"/>
        <v>685214.99640000006</v>
      </c>
      <c r="F19" s="588">
        <f t="shared" si="1"/>
        <v>685214.34499999997</v>
      </c>
      <c r="G19" s="589">
        <v>5</v>
      </c>
      <c r="H19" s="590">
        <f>SUMIF('RESUMO-CURVA GRÁFICO'!$B$4:$B$261,'RESUMO-CURVA PREV'!B19,'RESUMO-CURVA GRÁFICO'!$AD$4:$AD$261)</f>
        <v>0.99999904934946915</v>
      </c>
      <c r="I19" s="591">
        <f>SUMIF('RESUMO-CURVA GRÁFICO'!$B$4:$B$261,'RESUMO-CURVA PREV'!A19,'RESUMO-CURVA GRÁFICO'!$X$4:$X$261)</f>
        <v>685214.99640000006</v>
      </c>
      <c r="J19" s="591">
        <f>SUMIF('RESUMO-CURVA GRÁFICO'!$B$4:$B$261,'RESUMO-CURVA PREV'!B19,'RESUMO-CURVA GRÁFICO'!$AC$4:$AC$261)</f>
        <v>685214.34499999997</v>
      </c>
      <c r="K19" s="496"/>
    </row>
    <row r="20" spans="1:11" ht="19.899999999999999" customHeight="1">
      <c r="A20" s="585">
        <v>166</v>
      </c>
      <c r="B20" s="585">
        <v>167</v>
      </c>
      <c r="C20" s="586" t="s">
        <v>22</v>
      </c>
      <c r="D20" s="587" t="str">
        <f>"EQUIPAMENTOS PARA MANUTENÇÃO ELÉTRICA"</f>
        <v>EQUIPAMENTOS PARA MANUTENÇÃO ELÉTRICA</v>
      </c>
      <c r="E20" s="588">
        <f t="shared" ca="1" si="0"/>
        <v>4591811.13</v>
      </c>
      <c r="F20" s="588">
        <f t="shared" si="1"/>
        <v>4591811.13</v>
      </c>
      <c r="G20" s="589">
        <v>4</v>
      </c>
      <c r="H20" s="590">
        <f ca="1">SUMIF('RESUMO-CURVA GRÁFICO'!$B$4:$B$261,'RESUMO-CURVA PREV'!B20,'RESUMO-CURVA GRÁFICO'!$AD$4:$AD$261)</f>
        <v>1</v>
      </c>
      <c r="I20" s="591">
        <f ca="1">SUMIF('RESUMO-CURVA GRÁFICO'!$B$4:$B$261,'RESUMO-CURVA PREV'!A20,'RESUMO-CURVA GRÁFICO'!$X$4:$X$261)</f>
        <v>4591811.13</v>
      </c>
      <c r="J20" s="591">
        <f>SUMIF('RESUMO-CURVA GRÁFICO'!$B$4:$B$261,'RESUMO-CURVA PREV'!B20,'RESUMO-CURVA GRÁFICO'!$AC$4:$AC$261)</f>
        <v>4591811.13</v>
      </c>
      <c r="K20" s="496"/>
    </row>
    <row r="21" spans="1:11" ht="19.899999999999999" customHeight="1">
      <c r="A21" s="585">
        <v>112</v>
      </c>
      <c r="B21" s="585">
        <v>113</v>
      </c>
      <c r="C21" s="586" t="s">
        <v>23</v>
      </c>
      <c r="D21" s="587" t="str">
        <f>"VEÍCULOS, COMBUSTÍVEL E MANUTENÇÃO"</f>
        <v>VEÍCULOS, COMBUSTÍVEL E MANUTENÇÃO</v>
      </c>
      <c r="E21" s="588">
        <f t="shared" si="0"/>
        <v>3783418.92</v>
      </c>
      <c r="F21" s="588">
        <f t="shared" si="1"/>
        <v>3720309.92</v>
      </c>
      <c r="G21" s="589">
        <v>3</v>
      </c>
      <c r="H21" s="590">
        <f>SUMIF('RESUMO-CURVA GRÁFICO'!$B$4:$B$261,'RESUMO-CURVA PREV'!B21,'RESUMO-CURVA GRÁFICO'!$AD$4:$AD$261)</f>
        <v>0.98331958439326095</v>
      </c>
      <c r="I21" s="591">
        <f>SUMIF('RESUMO-CURVA GRÁFICO'!$B$4:$B$261,'RESUMO-CURVA PREV'!A21,'RESUMO-CURVA GRÁFICO'!$X$4:$X$261)</f>
        <v>3783418.92</v>
      </c>
      <c r="J21" s="591">
        <f>SUMIF('RESUMO-CURVA GRÁFICO'!$B$4:$B$261,'RESUMO-CURVA PREV'!B21,'RESUMO-CURVA GRÁFICO'!$AC$4:$AC$261)</f>
        <v>3720309.92</v>
      </c>
      <c r="K21" s="496"/>
    </row>
    <row r="22" spans="1:11" ht="19.899999999999999" customHeight="1">
      <c r="A22" s="585">
        <v>78</v>
      </c>
      <c r="B22" s="585">
        <v>79</v>
      </c>
      <c r="C22" s="586">
        <v>1</v>
      </c>
      <c r="D22" s="587" t="str">
        <f>"RESUMO DA MÃO DE OBRA"</f>
        <v>RESUMO DA MÃO DE OBRA</v>
      </c>
      <c r="E22" s="588">
        <f t="shared" si="0"/>
        <v>18310884.076674007</v>
      </c>
      <c r="F22" s="588">
        <f t="shared" si="1"/>
        <v>16541555.236</v>
      </c>
      <c r="G22" s="589">
        <v>1</v>
      </c>
      <c r="H22" s="590">
        <f>SUMIF('RESUMO-CURVA GRÁFICO'!$B$4:$B$261,'RESUMO-CURVA PREV'!B22,'RESUMO-CURVA GRÁFICO'!$AD$4:$AD$261)</f>
        <v>0.90337283370561383</v>
      </c>
      <c r="I22" s="591">
        <f>SUMIF('RESUMO-CURVA GRÁFICO'!$B$4:$B$261,'RESUMO-CURVA PREV'!A22,'RESUMO-CURVA GRÁFICO'!$X$4:$X$261)</f>
        <v>18310884.076674007</v>
      </c>
      <c r="J22" s="591">
        <f>SUMIF('RESUMO-CURVA GRÁFICO'!$B$4:$B$261,'RESUMO-CURVA PREV'!B22,'RESUMO-CURVA GRÁFICO'!$AC$4:$AC$261)</f>
        <v>16541555.236</v>
      </c>
      <c r="K22" s="496"/>
    </row>
    <row r="23" spans="1:11" ht="19.899999999999999" customHeight="1">
      <c r="A23" s="585">
        <v>249</v>
      </c>
      <c r="B23" s="585">
        <v>250</v>
      </c>
      <c r="C23" s="586">
        <v>2</v>
      </c>
      <c r="D23" s="587" t="str">
        <f>"CUSTOS DIRETOS"</f>
        <v>CUSTOS DIRETOS</v>
      </c>
      <c r="E23" s="588">
        <f t="shared" ca="1" si="0"/>
        <v>12317952.7564</v>
      </c>
      <c r="F23" s="588">
        <f t="shared" si="1"/>
        <v>10858667.13620151</v>
      </c>
      <c r="G23" s="589">
        <v>2</v>
      </c>
      <c r="H23" s="590">
        <f ca="1">SUMIF('RESUMO-CURVA GRÁFICO'!$B$4:$B$261,'RESUMO-CURVA PREV'!B23,'RESUMO-CURVA GRÁFICO'!$AD$4:$AD$261)</f>
        <v>0.88153180572637824</v>
      </c>
      <c r="I23" s="591">
        <f ca="1">SUMIF('RESUMO-CURVA GRÁFICO'!$B$4:$B$261,'RESUMO-CURVA PREV'!A23,'RESUMO-CURVA GRÁFICO'!$X$4:$X$261)</f>
        <v>12317952.7564</v>
      </c>
      <c r="J23" s="591">
        <f>SUMIF('RESUMO-CURVA GRÁFICO'!$B$4:$B$261,'RESUMO-CURVA PREV'!B23,'RESUMO-CURVA GRÁFICO'!$AC$4:$AC$261)</f>
        <v>10858667.13620151</v>
      </c>
      <c r="K23" s="496"/>
    </row>
    <row r="24" spans="1:11">
      <c r="E24" s="625">
        <f ca="1">SUM(E4:E12,E14:E21,E22,E13)</f>
        <v>30965994.743074007</v>
      </c>
      <c r="F24" s="625">
        <f>SUM(F4:F12,F14:F21,F22,F13)</f>
        <v>27690820.766487226</v>
      </c>
      <c r="H24" s="627">
        <f ca="1">F24/E24</f>
        <v>0.89423320633614323</v>
      </c>
      <c r="I24" s="625">
        <f ca="1">SUM(I4:I12,I14:I21,I22,I13)</f>
        <v>30965994.743074007</v>
      </c>
      <c r="J24" s="625">
        <f>SUM(J4:J12,J14:J21,J22,J13)</f>
        <v>27690820.766487226</v>
      </c>
    </row>
    <row r="25" spans="1:11">
      <c r="E25" s="625">
        <f ca="1">E24-I24</f>
        <v>0</v>
      </c>
      <c r="F25" s="625">
        <f>F24-J24</f>
        <v>0</v>
      </c>
      <c r="H25" s="626"/>
      <c r="I25" s="625">
        <f ca="1">I24-'Evolução Mensal'!AR12</f>
        <v>7.3425471782684326E-6</v>
      </c>
      <c r="J25" s="625">
        <f>J24-'Evolução Mensal'!AR13</f>
        <v>11801039.710762192</v>
      </c>
    </row>
  </sheetData>
  <pageMargins left="0.31496062992125984" right="0.31496062992125984" top="0.59055118110236227" bottom="0.78740157480314965" header="0.31496062992125984" footer="0.31496062992125984"/>
  <pageSetup paperSize="9" scale="77" fitToHeight="0" orientation="landscape" r:id="rId1"/>
  <headerFooter>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F152-80ED-44D0-AD12-81F34841ACA1}">
  <sheetPr codeName="Planilha3">
    <pageSetUpPr fitToPage="1"/>
  </sheetPr>
  <dimension ref="B3:AN139"/>
  <sheetViews>
    <sheetView showGridLines="0" topLeftCell="A3" zoomScale="50" zoomScaleNormal="50" zoomScaleSheetLayoutView="50" workbookViewId="0">
      <selection activeCell="B3" sqref="B3:AM63"/>
    </sheetView>
  </sheetViews>
  <sheetFormatPr defaultRowHeight="13.15"/>
  <cols>
    <col min="1" max="1" width="3.7109375" customWidth="1"/>
    <col min="2" max="38" width="10.7109375" customWidth="1"/>
    <col min="39" max="39" width="6.28515625" customWidth="1"/>
    <col min="40" max="40" width="10.7109375" customWidth="1"/>
    <col min="41" max="41" width="9.7109375" customWidth="1"/>
  </cols>
  <sheetData>
    <row r="3" spans="2:39">
      <c r="B3" s="684"/>
      <c r="C3" s="685"/>
      <c r="D3" s="685"/>
      <c r="E3" s="685"/>
      <c r="F3" s="685"/>
      <c r="G3" s="685"/>
      <c r="H3" s="685"/>
      <c r="I3" s="685"/>
      <c r="J3" s="685"/>
      <c r="K3" s="685"/>
      <c r="L3" s="685"/>
      <c r="M3" s="685"/>
      <c r="N3" s="685"/>
      <c r="O3" s="685"/>
      <c r="P3" s="685"/>
      <c r="Q3" s="685"/>
      <c r="R3" s="685"/>
      <c r="S3" s="685"/>
      <c r="T3" s="685"/>
      <c r="U3" s="685"/>
      <c r="V3" s="685"/>
      <c r="W3" s="685"/>
      <c r="X3" s="685"/>
      <c r="Y3" s="685"/>
      <c r="Z3" s="685"/>
      <c r="AA3" s="685"/>
      <c r="AB3" s="685"/>
      <c r="AC3" s="685"/>
      <c r="AD3" s="685"/>
      <c r="AE3" s="685"/>
      <c r="AF3" s="685"/>
      <c r="AG3" s="685"/>
      <c r="AH3" s="685"/>
      <c r="AI3" s="685"/>
      <c r="AJ3" s="685"/>
      <c r="AK3" s="685"/>
      <c r="AL3" s="685"/>
      <c r="AM3" s="686"/>
    </row>
    <row r="4" spans="2:39">
      <c r="B4" s="687"/>
      <c r="C4" s="688"/>
      <c r="D4" s="688"/>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9"/>
    </row>
    <row r="5" spans="2:39">
      <c r="B5" s="687"/>
      <c r="C5" s="688"/>
      <c r="D5" s="688"/>
      <c r="E5" s="688"/>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9"/>
    </row>
    <row r="6" spans="2:39">
      <c r="B6" s="687"/>
      <c r="C6" s="688"/>
      <c r="D6" s="688"/>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9"/>
    </row>
    <row r="7" spans="2:39">
      <c r="B7" s="687"/>
      <c r="C7" s="688"/>
      <c r="D7" s="688"/>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9"/>
    </row>
    <row r="8" spans="2:39">
      <c r="B8" s="687"/>
      <c r="C8" s="688"/>
      <c r="D8" s="688"/>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9"/>
    </row>
    <row r="9" spans="2:39">
      <c r="B9" s="477"/>
      <c r="C9" s="478"/>
      <c r="D9" s="478"/>
      <c r="E9" s="478"/>
      <c r="F9" s="478"/>
      <c r="G9" s="478"/>
      <c r="H9" s="478"/>
      <c r="I9" s="47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9"/>
    </row>
    <row r="10" spans="2:39">
      <c r="B10" s="477"/>
      <c r="C10" s="478"/>
      <c r="D10" s="478"/>
      <c r="E10" s="478"/>
      <c r="F10" s="478"/>
      <c r="G10" s="478"/>
      <c r="H10" s="478"/>
      <c r="I10" s="478"/>
      <c r="J10" s="478"/>
      <c r="K10" s="478"/>
      <c r="L10" s="478"/>
      <c r="M10" s="478"/>
      <c r="N10" s="478"/>
      <c r="O10" s="478"/>
      <c r="P10" s="478"/>
      <c r="Q10" s="478"/>
      <c r="R10" s="554"/>
      <c r="S10" s="554"/>
      <c r="T10" s="554"/>
      <c r="U10" s="554"/>
      <c r="V10" s="554"/>
      <c r="W10" s="478"/>
      <c r="X10" s="478"/>
      <c r="Y10" s="478"/>
      <c r="Z10" s="478"/>
      <c r="AA10" s="478"/>
      <c r="AB10" s="478"/>
      <c r="AC10" s="478"/>
      <c r="AD10" s="478"/>
      <c r="AE10" s="478"/>
      <c r="AF10" s="478"/>
      <c r="AG10" s="478"/>
      <c r="AH10" s="478"/>
      <c r="AI10" s="478"/>
      <c r="AJ10" s="478"/>
      <c r="AK10" s="478"/>
      <c r="AL10" s="478"/>
      <c r="AM10" s="479"/>
    </row>
    <row r="11" spans="2:39">
      <c r="B11" s="477"/>
      <c r="C11" s="478"/>
      <c r="D11" s="478"/>
      <c r="E11" s="478"/>
      <c r="F11" s="478"/>
      <c r="G11" s="478"/>
      <c r="H11" s="478"/>
      <c r="I11" s="478"/>
      <c r="J11" s="478"/>
      <c r="K11" s="478"/>
      <c r="L11" s="478"/>
      <c r="M11" s="478"/>
      <c r="N11" s="478"/>
      <c r="O11" s="478"/>
      <c r="P11" s="478"/>
      <c r="Q11" s="478"/>
      <c r="R11" s="554"/>
      <c r="S11" s="555"/>
      <c r="T11" s="554"/>
      <c r="U11" s="556"/>
      <c r="V11" s="554"/>
      <c r="W11" s="478"/>
      <c r="X11" s="478"/>
      <c r="Y11" s="478"/>
      <c r="Z11" s="478"/>
      <c r="AA11" s="478"/>
      <c r="AB11" s="478"/>
      <c r="AC11" s="478"/>
      <c r="AD11" s="478"/>
      <c r="AE11" s="478"/>
      <c r="AF11" s="478"/>
      <c r="AG11" s="478"/>
      <c r="AH11" s="478"/>
      <c r="AI11" s="478"/>
      <c r="AJ11" s="478"/>
      <c r="AK11" s="478"/>
      <c r="AL11" s="478"/>
      <c r="AM11" s="479"/>
    </row>
    <row r="12" spans="2:39">
      <c r="B12" s="477"/>
      <c r="C12" s="478"/>
      <c r="D12" s="478"/>
      <c r="E12" s="478"/>
      <c r="F12" s="478"/>
      <c r="G12" s="478"/>
      <c r="H12" s="478"/>
      <c r="I12" s="478"/>
      <c r="J12" s="478"/>
      <c r="K12" s="478"/>
      <c r="L12" s="478"/>
      <c r="M12" s="478"/>
      <c r="N12" s="478"/>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9"/>
    </row>
    <row r="13" spans="2:39">
      <c r="B13" s="477"/>
      <c r="C13" s="478"/>
      <c r="D13" s="478"/>
      <c r="E13" s="478"/>
      <c r="F13" s="478"/>
      <c r="G13" s="478"/>
      <c r="H13" s="478"/>
      <c r="I13" s="478"/>
      <c r="J13" s="478"/>
      <c r="K13" s="478"/>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9"/>
    </row>
    <row r="14" spans="2:39">
      <c r="B14" s="477"/>
      <c r="C14" s="478"/>
      <c r="D14" s="478"/>
      <c r="E14" s="478"/>
      <c r="F14" s="478"/>
      <c r="G14" s="478"/>
      <c r="H14" s="478"/>
      <c r="I14" s="478"/>
      <c r="J14" s="478"/>
      <c r="K14" s="478"/>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9"/>
    </row>
    <row r="15" spans="2:39">
      <c r="B15" s="477"/>
      <c r="C15" s="478"/>
      <c r="D15" s="478"/>
      <c r="E15" s="478"/>
      <c r="F15" s="478"/>
      <c r="G15" s="478"/>
      <c r="H15" s="478"/>
      <c r="I15" s="478"/>
      <c r="J15" s="478"/>
      <c r="K15" s="478"/>
      <c r="L15" s="478"/>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9"/>
    </row>
    <row r="16" spans="2:39">
      <c r="B16" s="477"/>
      <c r="C16" s="478"/>
      <c r="D16" s="478"/>
      <c r="E16" s="478"/>
      <c r="F16" s="478"/>
      <c r="G16" s="478"/>
      <c r="H16" s="478"/>
      <c r="I16" s="478"/>
      <c r="J16" s="478"/>
      <c r="K16" s="478"/>
      <c r="L16" s="478"/>
      <c r="M16" s="478"/>
      <c r="N16" s="478"/>
      <c r="O16" s="478"/>
      <c r="P16" s="478"/>
      <c r="Q16" s="478"/>
      <c r="R16" s="478"/>
      <c r="S16" s="478"/>
      <c r="T16" s="478"/>
      <c r="U16" s="478"/>
      <c r="V16" s="478"/>
      <c r="W16" s="478"/>
      <c r="X16" s="478"/>
      <c r="Y16" s="478"/>
      <c r="Z16" s="478"/>
      <c r="AA16" s="478"/>
      <c r="AB16" s="478"/>
      <c r="AC16" s="478"/>
      <c r="AD16" s="478"/>
      <c r="AE16" s="478"/>
      <c r="AF16" s="478"/>
      <c r="AG16" s="478"/>
      <c r="AH16" s="478"/>
      <c r="AI16" s="478"/>
      <c r="AJ16" s="478"/>
      <c r="AK16" s="478"/>
      <c r="AL16" s="478"/>
      <c r="AM16" s="479"/>
    </row>
    <row r="17" spans="2:39">
      <c r="B17" s="477"/>
      <c r="C17" s="478"/>
      <c r="D17" s="478"/>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8"/>
      <c r="AJ17" s="478"/>
      <c r="AK17" s="478"/>
      <c r="AL17" s="478"/>
      <c r="AM17" s="479"/>
    </row>
    <row r="18" spans="2:39">
      <c r="B18" s="477"/>
      <c r="C18" s="478"/>
      <c r="D18" s="478"/>
      <c r="E18" s="478"/>
      <c r="F18" s="478"/>
      <c r="G18" s="478"/>
      <c r="H18" s="478"/>
      <c r="I18" s="478"/>
      <c r="J18" s="478"/>
      <c r="K18" s="478"/>
      <c r="L18" s="478"/>
      <c r="M18" s="478"/>
      <c r="N18" s="478"/>
      <c r="O18" s="478"/>
      <c r="P18" s="478"/>
      <c r="Q18" s="478"/>
      <c r="R18" s="478"/>
      <c r="S18" s="478"/>
      <c r="T18" s="478"/>
      <c r="U18" s="478"/>
      <c r="V18" s="478"/>
      <c r="W18" s="478"/>
      <c r="X18" s="478"/>
      <c r="Y18" s="478"/>
      <c r="Z18" s="478"/>
      <c r="AA18" s="478"/>
      <c r="AB18" s="478"/>
      <c r="AC18" s="478"/>
      <c r="AD18" s="478"/>
      <c r="AE18" s="478"/>
      <c r="AF18" s="478"/>
      <c r="AG18" s="478"/>
      <c r="AH18" s="478"/>
      <c r="AI18" s="478"/>
      <c r="AJ18" s="478"/>
      <c r="AK18" s="478"/>
      <c r="AL18" s="478"/>
      <c r="AM18" s="479"/>
    </row>
    <row r="19" spans="2:39">
      <c r="B19" s="477"/>
      <c r="C19" s="478"/>
      <c r="D19" s="478"/>
      <c r="E19" s="478"/>
      <c r="F19" s="478"/>
      <c r="G19" s="478"/>
      <c r="H19" s="478"/>
      <c r="I19" s="478"/>
      <c r="J19" s="478"/>
      <c r="K19" s="478"/>
      <c r="L19" s="478"/>
      <c r="M19" s="478"/>
      <c r="N19" s="478"/>
      <c r="O19" s="478"/>
      <c r="P19" s="478"/>
      <c r="Q19" s="478"/>
      <c r="R19" s="478"/>
      <c r="S19" s="478"/>
      <c r="T19" s="478"/>
      <c r="U19" s="478"/>
      <c r="V19" s="478"/>
      <c r="W19" s="478"/>
      <c r="X19" s="478"/>
      <c r="Y19" s="478"/>
      <c r="Z19" s="478"/>
      <c r="AA19" s="478"/>
      <c r="AB19" s="478"/>
      <c r="AC19" s="478"/>
      <c r="AD19" s="478"/>
      <c r="AE19" s="478"/>
      <c r="AF19" s="478"/>
      <c r="AG19" s="478"/>
      <c r="AH19" s="478"/>
      <c r="AI19" s="478"/>
      <c r="AJ19" s="478"/>
      <c r="AK19" s="478"/>
      <c r="AL19" s="478"/>
      <c r="AM19" s="479"/>
    </row>
    <row r="20" spans="2:39">
      <c r="B20" s="477"/>
      <c r="C20" s="478"/>
      <c r="D20" s="478"/>
      <c r="E20" s="478"/>
      <c r="F20" s="478"/>
      <c r="G20" s="478"/>
      <c r="H20" s="478"/>
      <c r="I20" s="478"/>
      <c r="J20" s="478"/>
      <c r="K20" s="478"/>
      <c r="L20" s="478"/>
      <c r="M20" s="478"/>
      <c r="N20" s="478"/>
      <c r="O20" s="478"/>
      <c r="P20" s="478"/>
      <c r="Q20" s="478"/>
      <c r="R20" s="478"/>
      <c r="S20" s="478"/>
      <c r="T20" s="478"/>
      <c r="U20" s="478"/>
      <c r="V20" s="478"/>
      <c r="W20" s="478"/>
      <c r="X20" s="478"/>
      <c r="Y20" s="478"/>
      <c r="Z20" s="478"/>
      <c r="AA20" s="478"/>
      <c r="AB20" s="478"/>
      <c r="AC20" s="478"/>
      <c r="AD20" s="478"/>
      <c r="AE20" s="478"/>
      <c r="AF20" s="478"/>
      <c r="AG20" s="478"/>
      <c r="AH20" s="478"/>
      <c r="AI20" s="478"/>
      <c r="AJ20" s="478"/>
      <c r="AK20" s="478"/>
      <c r="AL20" s="478"/>
      <c r="AM20" s="479"/>
    </row>
    <row r="21" spans="2:39">
      <c r="B21" s="477"/>
      <c r="C21" s="478"/>
      <c r="D21" s="478"/>
      <c r="E21" s="478"/>
      <c r="F21" s="478"/>
      <c r="G21" s="478"/>
      <c r="H21" s="478"/>
      <c r="I21" s="478"/>
      <c r="J21" s="478"/>
      <c r="K21" s="478"/>
      <c r="L21" s="478"/>
      <c r="M21" s="478"/>
      <c r="N21" s="478"/>
      <c r="O21" s="478"/>
      <c r="P21" s="478"/>
      <c r="Q21" s="478"/>
      <c r="R21" s="478"/>
      <c r="S21" s="478"/>
      <c r="T21" s="478"/>
      <c r="U21" s="478"/>
      <c r="V21" s="478"/>
      <c r="W21" s="478"/>
      <c r="X21" s="478"/>
      <c r="Y21" s="478"/>
      <c r="Z21" s="478"/>
      <c r="AA21" s="478"/>
      <c r="AB21" s="478"/>
      <c r="AC21" s="478"/>
      <c r="AD21" s="478"/>
      <c r="AE21" s="478"/>
      <c r="AF21" s="478"/>
      <c r="AG21" s="478"/>
      <c r="AH21" s="478"/>
      <c r="AI21" s="478"/>
      <c r="AJ21" s="478"/>
      <c r="AK21" s="478"/>
      <c r="AL21" s="478"/>
      <c r="AM21" s="479"/>
    </row>
    <row r="22" spans="2:39">
      <c r="B22" s="477"/>
      <c r="C22" s="478"/>
      <c r="D22" s="478"/>
      <c r="E22" s="478"/>
      <c r="F22" s="478"/>
      <c r="G22" s="478"/>
      <c r="H22" s="478"/>
      <c r="I22" s="478"/>
      <c r="J22" s="478"/>
      <c r="K22" s="478"/>
      <c r="L22" s="478"/>
      <c r="M22" s="478"/>
      <c r="N22" s="478"/>
      <c r="O22" s="478"/>
      <c r="P22" s="478"/>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9"/>
    </row>
    <row r="23" spans="2:39">
      <c r="B23" s="477"/>
      <c r="C23" s="478"/>
      <c r="D23" s="478"/>
      <c r="E23" s="478"/>
      <c r="F23" s="478"/>
      <c r="G23" s="478"/>
      <c r="H23" s="478"/>
      <c r="I23" s="478"/>
      <c r="J23" s="478"/>
      <c r="K23" s="478"/>
      <c r="L23" s="478"/>
      <c r="M23" s="478"/>
      <c r="N23" s="478"/>
      <c r="O23" s="478"/>
      <c r="P23" s="478"/>
      <c r="Q23" s="478"/>
      <c r="R23" s="478"/>
      <c r="S23" s="478"/>
      <c r="T23" s="478"/>
      <c r="U23" s="478"/>
      <c r="V23" s="478"/>
      <c r="W23" s="478"/>
      <c r="X23" s="478"/>
      <c r="Y23" s="478"/>
      <c r="Z23" s="478"/>
      <c r="AA23" s="478"/>
      <c r="AB23" s="478"/>
      <c r="AC23" s="478"/>
      <c r="AD23" s="478"/>
      <c r="AE23" s="478"/>
      <c r="AF23" s="478"/>
      <c r="AG23" s="478"/>
      <c r="AH23" s="478"/>
      <c r="AI23" s="478"/>
      <c r="AJ23" s="478"/>
      <c r="AK23" s="478"/>
      <c r="AL23" s="478"/>
      <c r="AM23" s="479"/>
    </row>
    <row r="24" spans="2:39">
      <c r="B24" s="477"/>
      <c r="C24" s="478"/>
      <c r="D24" s="478"/>
      <c r="E24" s="478"/>
      <c r="F24" s="478"/>
      <c r="G24" s="478"/>
      <c r="H24" s="478"/>
      <c r="I24" s="478"/>
      <c r="J24" s="478"/>
      <c r="K24" s="478"/>
      <c r="L24" s="478"/>
      <c r="M24" s="478"/>
      <c r="N24" s="478"/>
      <c r="O24" s="478"/>
      <c r="P24" s="478"/>
      <c r="Q24" s="478"/>
      <c r="R24" s="478"/>
      <c r="S24" s="478"/>
      <c r="T24" s="478"/>
      <c r="U24" s="478"/>
      <c r="V24" s="478"/>
      <c r="W24" s="478"/>
      <c r="X24" s="478"/>
      <c r="Y24" s="478"/>
      <c r="Z24" s="478"/>
      <c r="AA24" s="478"/>
      <c r="AB24" s="478"/>
      <c r="AC24" s="478"/>
      <c r="AD24" s="478"/>
      <c r="AE24" s="478"/>
      <c r="AF24" s="478"/>
      <c r="AG24" s="478"/>
      <c r="AH24" s="478"/>
      <c r="AI24" s="478"/>
      <c r="AJ24" s="478"/>
      <c r="AK24" s="478"/>
      <c r="AL24" s="478"/>
      <c r="AM24" s="479"/>
    </row>
    <row r="25" spans="2:39">
      <c r="B25" s="477"/>
      <c r="C25" s="478"/>
      <c r="D25" s="478"/>
      <c r="E25" s="478"/>
      <c r="F25" s="478"/>
      <c r="G25" s="478"/>
      <c r="H25" s="478"/>
      <c r="I25" s="478"/>
      <c r="J25" s="478"/>
      <c r="K25" s="478"/>
      <c r="L25" s="478"/>
      <c r="M25" s="478"/>
      <c r="N25" s="478"/>
      <c r="O25" s="478"/>
      <c r="P25" s="478"/>
      <c r="Q25" s="478"/>
      <c r="R25" s="478"/>
      <c r="S25" s="478"/>
      <c r="T25" s="478"/>
      <c r="U25" s="478"/>
      <c r="V25" s="478"/>
      <c r="W25" s="478"/>
      <c r="X25" s="478"/>
      <c r="Y25" s="478"/>
      <c r="Z25" s="478"/>
      <c r="AA25" s="478"/>
      <c r="AB25" s="478"/>
      <c r="AC25" s="478"/>
      <c r="AD25" s="478"/>
      <c r="AE25" s="478"/>
      <c r="AF25" s="478"/>
      <c r="AG25" s="478"/>
      <c r="AH25" s="478"/>
      <c r="AI25" s="478"/>
      <c r="AJ25" s="478"/>
      <c r="AK25" s="478"/>
      <c r="AL25" s="478"/>
      <c r="AM25" s="479"/>
    </row>
    <row r="26" spans="2:39">
      <c r="B26" s="477"/>
      <c r="C26" s="478"/>
      <c r="D26" s="478"/>
      <c r="E26" s="478"/>
      <c r="F26" s="478"/>
      <c r="G26" s="478"/>
      <c r="H26" s="478"/>
      <c r="I26" s="478"/>
      <c r="J26" s="478"/>
      <c r="K26" s="478"/>
      <c r="L26" s="478"/>
      <c r="M26" s="478"/>
      <c r="N26" s="478"/>
      <c r="O26" s="478"/>
      <c r="P26" s="478"/>
      <c r="Q26" s="478"/>
      <c r="R26" s="478"/>
      <c r="S26" s="478"/>
      <c r="T26" s="478"/>
      <c r="U26" s="478"/>
      <c r="V26" s="478"/>
      <c r="W26" s="478"/>
      <c r="X26" s="478"/>
      <c r="Y26" s="478"/>
      <c r="Z26" s="478"/>
      <c r="AA26" s="478"/>
      <c r="AB26" s="478"/>
      <c r="AC26" s="478"/>
      <c r="AD26" s="478"/>
      <c r="AE26" s="478"/>
      <c r="AF26" s="478"/>
      <c r="AG26" s="478"/>
      <c r="AH26" s="478"/>
      <c r="AI26" s="478"/>
      <c r="AJ26" s="478"/>
      <c r="AK26" s="478"/>
      <c r="AL26" s="478"/>
      <c r="AM26" s="479"/>
    </row>
    <row r="27" spans="2:39">
      <c r="B27" s="477"/>
      <c r="C27" s="478"/>
      <c r="D27" s="478"/>
      <c r="E27" s="478"/>
      <c r="F27" s="478"/>
      <c r="G27" s="478"/>
      <c r="H27" s="478"/>
      <c r="I27" s="478"/>
      <c r="J27" s="478"/>
      <c r="K27" s="478"/>
      <c r="L27" s="478"/>
      <c r="M27" s="478"/>
      <c r="N27" s="478"/>
      <c r="O27" s="478"/>
      <c r="P27" s="478"/>
      <c r="Q27" s="478"/>
      <c r="R27" s="478"/>
      <c r="S27" s="478"/>
      <c r="T27" s="478"/>
      <c r="U27" s="478"/>
      <c r="V27" s="478"/>
      <c r="W27" s="478"/>
      <c r="X27" s="478"/>
      <c r="Y27" s="478"/>
      <c r="Z27" s="478"/>
      <c r="AA27" s="478"/>
      <c r="AB27" s="478"/>
      <c r="AC27" s="478"/>
      <c r="AD27" s="478"/>
      <c r="AE27" s="478"/>
      <c r="AF27" s="478"/>
      <c r="AG27" s="478"/>
      <c r="AH27" s="478"/>
      <c r="AI27" s="478"/>
      <c r="AJ27" s="478"/>
      <c r="AK27" s="478"/>
      <c r="AL27" s="478"/>
      <c r="AM27" s="479"/>
    </row>
    <row r="28" spans="2:39">
      <c r="B28" s="477"/>
      <c r="C28" s="478"/>
      <c r="D28" s="478"/>
      <c r="E28" s="478"/>
      <c r="F28" s="478"/>
      <c r="G28" s="478"/>
      <c r="H28" s="478"/>
      <c r="I28" s="478"/>
      <c r="J28" s="478"/>
      <c r="K28" s="478"/>
      <c r="L28" s="478"/>
      <c r="M28" s="478"/>
      <c r="N28" s="478"/>
      <c r="O28" s="478"/>
      <c r="P28" s="478"/>
      <c r="Q28" s="478"/>
      <c r="R28" s="478"/>
      <c r="S28" s="478"/>
      <c r="T28" s="478"/>
      <c r="U28" s="478"/>
      <c r="V28" s="478"/>
      <c r="W28" s="478"/>
      <c r="X28" s="478"/>
      <c r="Y28" s="478"/>
      <c r="Z28" s="478"/>
      <c r="AA28" s="478"/>
      <c r="AB28" s="478"/>
      <c r="AC28" s="478"/>
      <c r="AD28" s="478"/>
      <c r="AE28" s="478"/>
      <c r="AF28" s="478"/>
      <c r="AG28" s="478"/>
      <c r="AH28" s="478"/>
      <c r="AI28" s="478"/>
      <c r="AJ28" s="478"/>
      <c r="AK28" s="478"/>
      <c r="AL28" s="478"/>
      <c r="AM28" s="479"/>
    </row>
    <row r="29" spans="2:39">
      <c r="B29" s="477"/>
      <c r="C29" s="478"/>
      <c r="D29" s="478"/>
      <c r="E29" s="478"/>
      <c r="F29" s="478"/>
      <c r="G29" s="478"/>
      <c r="H29" s="478"/>
      <c r="I29" s="478"/>
      <c r="J29" s="478"/>
      <c r="K29" s="478"/>
      <c r="L29" s="478"/>
      <c r="M29" s="478"/>
      <c r="N29" s="478"/>
      <c r="O29" s="478"/>
      <c r="P29" s="478"/>
      <c r="Q29" s="478"/>
      <c r="R29" s="478"/>
      <c r="S29" s="478"/>
      <c r="T29" s="478"/>
      <c r="U29" s="478"/>
      <c r="V29" s="478"/>
      <c r="W29" s="478"/>
      <c r="X29" s="478"/>
      <c r="Y29" s="478"/>
      <c r="Z29" s="478"/>
      <c r="AA29" s="478"/>
      <c r="AB29" s="478"/>
      <c r="AC29" s="478"/>
      <c r="AD29" s="478"/>
      <c r="AE29" s="478"/>
      <c r="AF29" s="478"/>
      <c r="AG29" s="478"/>
      <c r="AH29" s="478"/>
      <c r="AI29" s="478"/>
      <c r="AJ29" s="478"/>
      <c r="AK29" s="478"/>
      <c r="AL29" s="478"/>
      <c r="AM29" s="479"/>
    </row>
    <row r="30" spans="2:39">
      <c r="B30" s="477"/>
      <c r="C30" s="478"/>
      <c r="D30" s="478"/>
      <c r="E30" s="478"/>
      <c r="F30" s="478"/>
      <c r="G30" s="478"/>
      <c r="H30" s="478"/>
      <c r="I30" s="478"/>
      <c r="J30" s="478"/>
      <c r="K30" s="478"/>
      <c r="L30" s="478"/>
      <c r="M30" s="478"/>
      <c r="N30" s="478"/>
      <c r="O30" s="478"/>
      <c r="P30" s="478"/>
      <c r="Q30" s="478"/>
      <c r="R30" s="478"/>
      <c r="S30" s="478"/>
      <c r="T30" s="478"/>
      <c r="U30" s="478"/>
      <c r="V30" s="478"/>
      <c r="W30" s="478"/>
      <c r="X30" s="478"/>
      <c r="Y30" s="478"/>
      <c r="Z30" s="478"/>
      <c r="AA30" s="478"/>
      <c r="AB30" s="478"/>
      <c r="AC30" s="478"/>
      <c r="AD30" s="478"/>
      <c r="AE30" s="478"/>
      <c r="AF30" s="478"/>
      <c r="AG30" s="478"/>
      <c r="AH30" s="478"/>
      <c r="AI30" s="478"/>
      <c r="AJ30" s="478"/>
      <c r="AK30" s="478"/>
      <c r="AL30" s="478"/>
      <c r="AM30" s="479"/>
    </row>
    <row r="31" spans="2:39">
      <c r="B31" s="477"/>
      <c r="C31" s="478"/>
      <c r="D31" s="478"/>
      <c r="E31" s="478"/>
      <c r="F31" s="478"/>
      <c r="G31" s="478"/>
      <c r="H31" s="478"/>
      <c r="I31" s="478"/>
      <c r="J31" s="478"/>
      <c r="K31" s="478"/>
      <c r="L31" s="478"/>
      <c r="M31" s="478"/>
      <c r="N31" s="478"/>
      <c r="O31" s="478"/>
      <c r="P31" s="478"/>
      <c r="Q31" s="478"/>
      <c r="R31" s="478"/>
      <c r="S31" s="478"/>
      <c r="T31" s="478"/>
      <c r="U31" s="478"/>
      <c r="V31" s="478"/>
      <c r="W31" s="478"/>
      <c r="X31" s="478"/>
      <c r="Y31" s="478"/>
      <c r="Z31" s="478"/>
      <c r="AA31" s="478"/>
      <c r="AB31" s="478"/>
      <c r="AC31" s="478"/>
      <c r="AD31" s="478"/>
      <c r="AE31" s="478"/>
      <c r="AF31" s="478"/>
      <c r="AG31" s="478"/>
      <c r="AH31" s="478"/>
      <c r="AI31" s="478"/>
      <c r="AJ31" s="478"/>
      <c r="AK31" s="478"/>
      <c r="AL31" s="478"/>
      <c r="AM31" s="479"/>
    </row>
    <row r="32" spans="2:39">
      <c r="B32" s="477"/>
      <c r="C32" s="478"/>
      <c r="D32" s="478"/>
      <c r="E32" s="478"/>
      <c r="F32" s="478"/>
      <c r="G32" s="478"/>
      <c r="H32" s="478"/>
      <c r="I32" s="478"/>
      <c r="J32" s="478"/>
      <c r="K32" s="478"/>
      <c r="L32" s="478"/>
      <c r="M32" s="478"/>
      <c r="N32" s="478"/>
      <c r="O32" s="478"/>
      <c r="P32" s="478"/>
      <c r="Q32" s="478"/>
      <c r="R32" s="478"/>
      <c r="S32" s="478"/>
      <c r="T32" s="478"/>
      <c r="U32" s="478"/>
      <c r="V32" s="478"/>
      <c r="W32" s="478"/>
      <c r="X32" s="478"/>
      <c r="Y32" s="478"/>
      <c r="Z32" s="478"/>
      <c r="AA32" s="478"/>
      <c r="AB32" s="478"/>
      <c r="AC32" s="478"/>
      <c r="AD32" s="478"/>
      <c r="AE32" s="478"/>
      <c r="AF32" s="478"/>
      <c r="AG32" s="478"/>
      <c r="AH32" s="478"/>
      <c r="AI32" s="478"/>
      <c r="AJ32" s="478"/>
      <c r="AK32" s="478"/>
      <c r="AL32" s="478"/>
      <c r="AM32" s="479"/>
    </row>
    <row r="33" spans="2:39">
      <c r="B33" s="477"/>
      <c r="C33" s="478"/>
      <c r="D33" s="478"/>
      <c r="E33" s="478"/>
      <c r="F33" s="478"/>
      <c r="G33" s="478"/>
      <c r="H33" s="478"/>
      <c r="I33" s="478"/>
      <c r="J33" s="478"/>
      <c r="K33" s="478"/>
      <c r="L33" s="478"/>
      <c r="M33" s="478"/>
      <c r="N33" s="478"/>
      <c r="O33" s="478"/>
      <c r="P33" s="478"/>
      <c r="Q33" s="478"/>
      <c r="R33" s="478"/>
      <c r="S33" s="478"/>
      <c r="T33" s="478"/>
      <c r="U33" s="478"/>
      <c r="V33" s="478"/>
      <c r="W33" s="478"/>
      <c r="X33" s="478"/>
      <c r="Y33" s="478"/>
      <c r="Z33" s="478"/>
      <c r="AA33" s="478"/>
      <c r="AB33" s="478"/>
      <c r="AC33" s="478"/>
      <c r="AD33" s="478"/>
      <c r="AE33" s="478"/>
      <c r="AF33" s="478"/>
      <c r="AG33" s="478"/>
      <c r="AH33" s="478"/>
      <c r="AI33" s="478"/>
      <c r="AJ33" s="478"/>
      <c r="AK33" s="478"/>
      <c r="AL33" s="478"/>
      <c r="AM33" s="479"/>
    </row>
    <row r="34" spans="2:39">
      <c r="B34" s="477"/>
      <c r="C34" s="478"/>
      <c r="D34" s="478"/>
      <c r="E34" s="478"/>
      <c r="F34" s="478"/>
      <c r="G34" s="478"/>
      <c r="H34" s="478"/>
      <c r="I34" s="478"/>
      <c r="J34" s="478"/>
      <c r="K34" s="478"/>
      <c r="L34" s="478"/>
      <c r="M34" s="478"/>
      <c r="N34" s="478"/>
      <c r="O34" s="478"/>
      <c r="P34" s="478"/>
      <c r="Q34" s="478"/>
      <c r="R34" s="478"/>
      <c r="S34" s="478"/>
      <c r="T34" s="478"/>
      <c r="U34" s="478"/>
      <c r="V34" s="478"/>
      <c r="W34" s="478"/>
      <c r="X34" s="478"/>
      <c r="Y34" s="478"/>
      <c r="Z34" s="478"/>
      <c r="AA34" s="478"/>
      <c r="AB34" s="478"/>
      <c r="AC34" s="478"/>
      <c r="AD34" s="478"/>
      <c r="AE34" s="478"/>
      <c r="AF34" s="478"/>
      <c r="AG34" s="478"/>
      <c r="AH34" s="478"/>
      <c r="AI34" s="478"/>
      <c r="AJ34" s="478"/>
      <c r="AK34" s="478"/>
      <c r="AL34" s="478"/>
      <c r="AM34" s="479"/>
    </row>
    <row r="35" spans="2:39">
      <c r="B35" s="477"/>
      <c r="C35" s="478"/>
      <c r="D35" s="478"/>
      <c r="E35" s="478"/>
      <c r="F35" s="478"/>
      <c r="G35" s="478"/>
      <c r="H35" s="478"/>
      <c r="I35" s="478"/>
      <c r="J35" s="478"/>
      <c r="K35" s="478"/>
      <c r="L35" s="478"/>
      <c r="M35" s="478"/>
      <c r="N35" s="478"/>
      <c r="O35" s="478"/>
      <c r="P35" s="478"/>
      <c r="Q35" s="478"/>
      <c r="R35" s="478"/>
      <c r="S35" s="478"/>
      <c r="T35" s="478"/>
      <c r="U35" s="478"/>
      <c r="V35" s="478"/>
      <c r="W35" s="478"/>
      <c r="X35" s="478"/>
      <c r="Y35" s="478"/>
      <c r="Z35" s="478"/>
      <c r="AA35" s="478"/>
      <c r="AB35" s="478"/>
      <c r="AC35" s="478"/>
      <c r="AD35" s="478"/>
      <c r="AE35" s="478"/>
      <c r="AF35" s="478"/>
      <c r="AG35" s="478"/>
      <c r="AH35" s="478"/>
      <c r="AI35" s="478"/>
      <c r="AJ35" s="478"/>
      <c r="AK35" s="478"/>
      <c r="AL35" s="478"/>
      <c r="AM35" s="479"/>
    </row>
    <row r="36" spans="2:39">
      <c r="B36" s="477"/>
      <c r="C36" s="478"/>
      <c r="D36" s="478"/>
      <c r="E36" s="478"/>
      <c r="F36" s="478"/>
      <c r="G36" s="478"/>
      <c r="H36" s="478"/>
      <c r="I36" s="478"/>
      <c r="J36" s="478"/>
      <c r="K36" s="478"/>
      <c r="L36" s="478"/>
      <c r="M36" s="478"/>
      <c r="N36" s="478"/>
      <c r="O36" s="478"/>
      <c r="P36" s="478"/>
      <c r="Q36" s="478"/>
      <c r="R36" s="478"/>
      <c r="S36" s="478"/>
      <c r="T36" s="478"/>
      <c r="U36" s="478"/>
      <c r="V36" s="478"/>
      <c r="W36" s="478"/>
      <c r="X36" s="478"/>
      <c r="Y36" s="478"/>
      <c r="Z36" s="478"/>
      <c r="AA36" s="478"/>
      <c r="AB36" s="478"/>
      <c r="AC36" s="478"/>
      <c r="AD36" s="478"/>
      <c r="AE36" s="478"/>
      <c r="AF36" s="478"/>
      <c r="AG36" s="478"/>
      <c r="AH36" s="478"/>
      <c r="AI36" s="478"/>
      <c r="AJ36" s="478"/>
      <c r="AK36" s="478"/>
      <c r="AL36" s="478"/>
      <c r="AM36" s="479"/>
    </row>
    <row r="37" spans="2:39">
      <c r="B37" s="477"/>
      <c r="C37" s="478"/>
      <c r="D37" s="478"/>
      <c r="E37" s="478"/>
      <c r="F37" s="478"/>
      <c r="G37" s="478"/>
      <c r="H37" s="478"/>
      <c r="I37" s="478"/>
      <c r="J37" s="478"/>
      <c r="K37" s="478"/>
      <c r="L37" s="478"/>
      <c r="M37" s="478"/>
      <c r="N37" s="478"/>
      <c r="O37" s="478"/>
      <c r="P37" s="478"/>
      <c r="Q37" s="478"/>
      <c r="R37" s="478"/>
      <c r="S37" s="478"/>
      <c r="T37" s="478"/>
      <c r="U37" s="478"/>
      <c r="V37" s="478"/>
      <c r="W37" s="478"/>
      <c r="X37" s="478"/>
      <c r="Y37" s="478"/>
      <c r="Z37" s="478"/>
      <c r="AA37" s="478"/>
      <c r="AB37" s="478"/>
      <c r="AC37" s="478"/>
      <c r="AD37" s="478"/>
      <c r="AE37" s="478"/>
      <c r="AF37" s="478"/>
      <c r="AG37" s="478"/>
      <c r="AH37" s="478"/>
      <c r="AI37" s="478"/>
      <c r="AJ37" s="478"/>
      <c r="AK37" s="478"/>
      <c r="AL37" s="478"/>
      <c r="AM37" s="479"/>
    </row>
    <row r="38" spans="2:39">
      <c r="B38" s="477"/>
      <c r="C38" s="478"/>
      <c r="D38" s="478"/>
      <c r="E38" s="478"/>
      <c r="F38" s="478"/>
      <c r="G38" s="478"/>
      <c r="H38" s="478"/>
      <c r="I38" s="478"/>
      <c r="J38" s="478"/>
      <c r="K38" s="478"/>
      <c r="L38" s="478"/>
      <c r="M38" s="478"/>
      <c r="N38" s="478"/>
      <c r="O38" s="478"/>
      <c r="P38" s="478"/>
      <c r="Q38" s="478"/>
      <c r="R38" s="478"/>
      <c r="S38" s="478"/>
      <c r="T38" s="478"/>
      <c r="U38" s="478"/>
      <c r="V38" s="478"/>
      <c r="W38" s="478"/>
      <c r="X38" s="478"/>
      <c r="Y38" s="478"/>
      <c r="Z38" s="478"/>
      <c r="AA38" s="478"/>
      <c r="AB38" s="478"/>
      <c r="AC38" s="478"/>
      <c r="AD38" s="478"/>
      <c r="AE38" s="478"/>
      <c r="AF38" s="478"/>
      <c r="AG38" s="478"/>
      <c r="AH38" s="478"/>
      <c r="AI38" s="478"/>
      <c r="AJ38" s="478"/>
      <c r="AK38" s="478"/>
      <c r="AL38" s="478"/>
      <c r="AM38" s="479"/>
    </row>
    <row r="39" spans="2:39">
      <c r="B39" s="477"/>
      <c r="C39" s="478"/>
      <c r="D39" s="478"/>
      <c r="E39" s="478"/>
      <c r="F39" s="478"/>
      <c r="G39" s="478"/>
      <c r="H39" s="478"/>
      <c r="I39" s="478"/>
      <c r="J39" s="478"/>
      <c r="K39" s="478"/>
      <c r="L39" s="478"/>
      <c r="M39" s="478"/>
      <c r="N39" s="478"/>
      <c r="O39" s="478"/>
      <c r="P39" s="478"/>
      <c r="Q39" s="478"/>
      <c r="R39" s="478"/>
      <c r="S39" s="478"/>
      <c r="T39" s="478"/>
      <c r="U39" s="478"/>
      <c r="V39" s="478"/>
      <c r="W39" s="478"/>
      <c r="X39" s="478"/>
      <c r="Y39" s="478"/>
      <c r="Z39" s="478"/>
      <c r="AA39" s="478"/>
      <c r="AB39" s="478"/>
      <c r="AC39" s="478"/>
      <c r="AD39" s="478"/>
      <c r="AE39" s="478"/>
      <c r="AF39" s="478"/>
      <c r="AG39" s="478"/>
      <c r="AH39" s="478"/>
      <c r="AI39" s="478"/>
      <c r="AJ39" s="478"/>
      <c r="AK39" s="478"/>
      <c r="AL39" s="478"/>
      <c r="AM39" s="479"/>
    </row>
    <row r="40" spans="2:39">
      <c r="B40" s="477"/>
      <c r="C40" s="478"/>
      <c r="D40" s="478"/>
      <c r="E40" s="478"/>
      <c r="F40" s="478"/>
      <c r="G40" s="478"/>
      <c r="H40" s="478"/>
      <c r="I40" s="478"/>
      <c r="J40" s="478"/>
      <c r="K40" s="478"/>
      <c r="L40" s="478"/>
      <c r="M40" s="478"/>
      <c r="N40" s="478"/>
      <c r="O40" s="478"/>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9"/>
    </row>
    <row r="41" spans="2:39">
      <c r="B41" s="477"/>
      <c r="C41" s="478"/>
      <c r="D41" s="478"/>
      <c r="E41" s="478"/>
      <c r="F41" s="478"/>
      <c r="G41" s="478"/>
      <c r="H41" s="478"/>
      <c r="I41" s="478"/>
      <c r="J41" s="478"/>
      <c r="K41" s="478"/>
      <c r="L41" s="478"/>
      <c r="M41" s="478"/>
      <c r="N41" s="478"/>
      <c r="O41" s="478"/>
      <c r="P41" s="478"/>
      <c r="Q41" s="478"/>
      <c r="R41" s="478"/>
      <c r="S41" s="478"/>
      <c r="T41" s="478"/>
      <c r="U41" s="478"/>
      <c r="V41" s="478"/>
      <c r="W41" s="478"/>
      <c r="X41" s="478"/>
      <c r="Y41" s="478"/>
      <c r="Z41" s="478"/>
      <c r="AA41" s="478"/>
      <c r="AB41" s="478"/>
      <c r="AC41" s="478"/>
      <c r="AD41" s="478"/>
      <c r="AE41" s="478"/>
      <c r="AF41" s="478"/>
      <c r="AG41" s="478"/>
      <c r="AH41" s="478"/>
      <c r="AI41" s="478"/>
      <c r="AJ41" s="478"/>
      <c r="AK41" s="478"/>
      <c r="AL41" s="478"/>
      <c r="AM41" s="479"/>
    </row>
    <row r="42" spans="2:39">
      <c r="B42" s="477"/>
      <c r="C42" s="478"/>
      <c r="D42" s="478"/>
      <c r="E42" s="478"/>
      <c r="F42" s="478"/>
      <c r="G42" s="478"/>
      <c r="H42" s="478"/>
      <c r="I42" s="478"/>
      <c r="J42" s="478"/>
      <c r="K42" s="478"/>
      <c r="L42" s="478"/>
      <c r="M42" s="478"/>
      <c r="N42" s="478"/>
      <c r="O42" s="478"/>
      <c r="P42" s="478"/>
      <c r="Q42" s="478"/>
      <c r="R42" s="478"/>
      <c r="S42" s="478"/>
      <c r="T42" s="478"/>
      <c r="U42" s="478"/>
      <c r="V42" s="478"/>
      <c r="W42" s="478"/>
      <c r="X42" s="478"/>
      <c r="Y42" s="478"/>
      <c r="Z42" s="478"/>
      <c r="AA42" s="478"/>
      <c r="AB42" s="478"/>
      <c r="AC42" s="478"/>
      <c r="AD42" s="478"/>
      <c r="AE42" s="478"/>
      <c r="AF42" s="478"/>
      <c r="AG42" s="478"/>
      <c r="AH42" s="478"/>
      <c r="AI42" s="478"/>
      <c r="AJ42" s="478"/>
      <c r="AK42" s="478"/>
      <c r="AL42" s="478"/>
      <c r="AM42" s="479"/>
    </row>
    <row r="43" spans="2:39">
      <c r="B43" s="477"/>
      <c r="C43" s="478"/>
      <c r="D43" s="478"/>
      <c r="E43" s="478"/>
      <c r="F43" s="478"/>
      <c r="G43" s="478"/>
      <c r="H43" s="478"/>
      <c r="I43" s="478"/>
      <c r="J43" s="478"/>
      <c r="K43" s="478"/>
      <c r="L43" s="478"/>
      <c r="M43" s="478"/>
      <c r="N43" s="478"/>
      <c r="O43" s="478"/>
      <c r="P43" s="478"/>
      <c r="Q43" s="478"/>
      <c r="R43" s="478"/>
      <c r="S43" s="478"/>
      <c r="T43" s="478"/>
      <c r="U43" s="478"/>
      <c r="V43" s="478"/>
      <c r="W43" s="478"/>
      <c r="X43" s="478"/>
      <c r="Y43" s="478"/>
      <c r="Z43" s="478"/>
      <c r="AA43" s="478"/>
      <c r="AB43" s="478"/>
      <c r="AC43" s="478"/>
      <c r="AD43" s="478"/>
      <c r="AE43" s="478"/>
      <c r="AF43" s="478"/>
      <c r="AG43" s="478"/>
      <c r="AH43" s="478"/>
      <c r="AI43" s="478"/>
      <c r="AJ43" s="478"/>
      <c r="AK43" s="478"/>
      <c r="AL43" s="478"/>
      <c r="AM43" s="479"/>
    </row>
    <row r="44" spans="2:39">
      <c r="B44" s="477"/>
      <c r="C44" s="478"/>
      <c r="D44" s="478"/>
      <c r="E44" s="478"/>
      <c r="F44" s="478"/>
      <c r="G44" s="478"/>
      <c r="H44" s="478"/>
      <c r="I44" s="478"/>
      <c r="J44" s="478"/>
      <c r="K44" s="478"/>
      <c r="L44" s="478"/>
      <c r="M44" s="478"/>
      <c r="N44" s="478"/>
      <c r="O44" s="478"/>
      <c r="P44" s="478"/>
      <c r="Q44" s="478"/>
      <c r="R44" s="478"/>
      <c r="S44" s="478"/>
      <c r="T44" s="478"/>
      <c r="U44" s="478"/>
      <c r="V44" s="478"/>
      <c r="W44" s="478"/>
      <c r="X44" s="478"/>
      <c r="Y44" s="478"/>
      <c r="Z44" s="478"/>
      <c r="AA44" s="478"/>
      <c r="AB44" s="478"/>
      <c r="AC44" s="478"/>
      <c r="AD44" s="478"/>
      <c r="AE44" s="478"/>
      <c r="AF44" s="478"/>
      <c r="AG44" s="478"/>
      <c r="AH44" s="478"/>
      <c r="AI44" s="478"/>
      <c r="AJ44" s="478"/>
      <c r="AK44" s="478"/>
      <c r="AL44" s="478"/>
      <c r="AM44" s="479"/>
    </row>
    <row r="45" spans="2:39">
      <c r="B45" s="477"/>
      <c r="C45" s="478"/>
      <c r="D45" s="478"/>
      <c r="E45" s="478"/>
      <c r="F45" s="478"/>
      <c r="G45" s="478"/>
      <c r="H45" s="478"/>
      <c r="I45" s="478"/>
      <c r="J45" s="478"/>
      <c r="K45" s="478"/>
      <c r="L45" s="478"/>
      <c r="M45" s="478"/>
      <c r="N45" s="478"/>
      <c r="O45" s="478"/>
      <c r="P45" s="478"/>
      <c r="Q45" s="478"/>
      <c r="R45" s="478"/>
      <c r="S45" s="478"/>
      <c r="T45" s="478"/>
      <c r="U45" s="478"/>
      <c r="V45" s="478"/>
      <c r="W45" s="478"/>
      <c r="X45" s="478"/>
      <c r="Y45" s="478"/>
      <c r="Z45" s="478"/>
      <c r="AA45" s="478"/>
      <c r="AB45" s="478"/>
      <c r="AC45" s="478"/>
      <c r="AD45" s="478"/>
      <c r="AE45" s="478"/>
      <c r="AF45" s="478"/>
      <c r="AG45" s="478"/>
      <c r="AH45" s="478"/>
      <c r="AI45" s="478"/>
      <c r="AJ45" s="478"/>
      <c r="AK45" s="478"/>
      <c r="AL45" s="478"/>
      <c r="AM45" s="479"/>
    </row>
    <row r="46" spans="2:39">
      <c r="B46" s="477"/>
      <c r="C46" s="478"/>
      <c r="D46" s="478"/>
      <c r="E46" s="478"/>
      <c r="F46" s="478"/>
      <c r="G46" s="478"/>
      <c r="H46" s="478"/>
      <c r="I46" s="478"/>
      <c r="J46" s="478"/>
      <c r="K46" s="478"/>
      <c r="L46" s="478"/>
      <c r="M46" s="478"/>
      <c r="N46" s="478"/>
      <c r="O46" s="478"/>
      <c r="P46" s="478"/>
      <c r="Q46" s="478"/>
      <c r="R46" s="478"/>
      <c r="S46" s="478"/>
      <c r="T46" s="478"/>
      <c r="U46" s="478"/>
      <c r="V46" s="478"/>
      <c r="W46" s="478"/>
      <c r="X46" s="478"/>
      <c r="Y46" s="478"/>
      <c r="Z46" s="478"/>
      <c r="AA46" s="478"/>
      <c r="AB46" s="478"/>
      <c r="AC46" s="478"/>
      <c r="AD46" s="478"/>
      <c r="AE46" s="478"/>
      <c r="AF46" s="478"/>
      <c r="AG46" s="478"/>
      <c r="AH46" s="478"/>
      <c r="AI46" s="478"/>
      <c r="AJ46" s="478"/>
      <c r="AK46" s="478"/>
      <c r="AL46" s="478"/>
      <c r="AM46" s="479"/>
    </row>
    <row r="47" spans="2:39">
      <c r="B47" s="477"/>
      <c r="C47" s="478"/>
      <c r="D47" s="478"/>
      <c r="E47" s="478"/>
      <c r="F47" s="478"/>
      <c r="G47" s="478"/>
      <c r="H47" s="478"/>
      <c r="I47" s="478"/>
      <c r="J47" s="478"/>
      <c r="K47" s="478"/>
      <c r="L47" s="478"/>
      <c r="M47" s="478"/>
      <c r="N47" s="478"/>
      <c r="O47" s="478"/>
      <c r="P47" s="478"/>
      <c r="Q47" s="478"/>
      <c r="R47" s="478"/>
      <c r="S47" s="478"/>
      <c r="T47" s="478"/>
      <c r="U47" s="478"/>
      <c r="V47" s="478"/>
      <c r="W47" s="478"/>
      <c r="X47" s="478"/>
      <c r="Y47" s="478"/>
      <c r="Z47" s="478"/>
      <c r="AA47" s="478"/>
      <c r="AB47" s="478"/>
      <c r="AC47" s="478"/>
      <c r="AD47" s="478"/>
      <c r="AE47" s="478"/>
      <c r="AF47" s="478"/>
      <c r="AG47" s="478"/>
      <c r="AH47" s="478"/>
      <c r="AI47" s="478"/>
      <c r="AJ47" s="478"/>
      <c r="AK47" s="478"/>
      <c r="AL47" s="478"/>
      <c r="AM47" s="479"/>
    </row>
    <row r="48" spans="2:39">
      <c r="B48" s="477"/>
      <c r="C48" s="478"/>
      <c r="D48" s="478"/>
      <c r="E48" s="478"/>
      <c r="F48" s="478"/>
      <c r="G48" s="478"/>
      <c r="H48" s="478"/>
      <c r="I48" s="478"/>
      <c r="J48" s="478"/>
      <c r="K48" s="478"/>
      <c r="L48" s="478"/>
      <c r="M48" s="478"/>
      <c r="N48" s="478"/>
      <c r="O48" s="478"/>
      <c r="P48" s="478"/>
      <c r="Q48" s="478"/>
      <c r="R48" s="478"/>
      <c r="S48" s="478"/>
      <c r="T48" s="478"/>
      <c r="U48" s="478"/>
      <c r="V48" s="478"/>
      <c r="W48" s="478"/>
      <c r="X48" s="478"/>
      <c r="Y48" s="478"/>
      <c r="Z48" s="478"/>
      <c r="AA48" s="478"/>
      <c r="AB48" s="478"/>
      <c r="AC48" s="478"/>
      <c r="AD48" s="478"/>
      <c r="AE48" s="478"/>
      <c r="AF48" s="478"/>
      <c r="AG48" s="478"/>
      <c r="AH48" s="478"/>
      <c r="AI48" s="478"/>
      <c r="AJ48" s="478"/>
      <c r="AK48" s="478"/>
      <c r="AL48" s="478"/>
      <c r="AM48" s="479"/>
    </row>
    <row r="49" spans="2:39">
      <c r="B49" s="477"/>
      <c r="C49" s="478"/>
      <c r="D49" s="478"/>
      <c r="E49" s="478"/>
      <c r="F49" s="478"/>
      <c r="G49" s="478"/>
      <c r="H49" s="478"/>
      <c r="I49" s="478"/>
      <c r="J49" s="478"/>
      <c r="K49" s="478"/>
      <c r="L49" s="478"/>
      <c r="M49" s="478"/>
      <c r="N49" s="478"/>
      <c r="O49" s="478"/>
      <c r="P49" s="478"/>
      <c r="Q49" s="478"/>
      <c r="R49" s="478"/>
      <c r="S49" s="478"/>
      <c r="T49" s="478"/>
      <c r="U49" s="478"/>
      <c r="V49" s="478"/>
      <c r="W49" s="478"/>
      <c r="X49" s="478"/>
      <c r="Y49" s="478"/>
      <c r="Z49" s="478"/>
      <c r="AA49" s="478"/>
      <c r="AB49" s="478"/>
      <c r="AC49" s="478"/>
      <c r="AD49" s="478"/>
      <c r="AE49" s="478"/>
      <c r="AF49" s="478"/>
      <c r="AG49" s="478"/>
      <c r="AH49" s="478"/>
      <c r="AI49" s="478"/>
      <c r="AJ49" s="478"/>
      <c r="AK49" s="478"/>
      <c r="AL49" s="478"/>
      <c r="AM49" s="479"/>
    </row>
    <row r="50" spans="2:39">
      <c r="B50" s="477"/>
      <c r="C50" s="478"/>
      <c r="D50" s="478"/>
      <c r="E50" s="478"/>
      <c r="F50" s="478"/>
      <c r="G50" s="478"/>
      <c r="H50" s="478"/>
      <c r="I50" s="478"/>
      <c r="J50" s="478"/>
      <c r="K50" s="478"/>
      <c r="L50" s="478"/>
      <c r="M50" s="478"/>
      <c r="N50" s="478"/>
      <c r="O50" s="478"/>
      <c r="P50" s="478"/>
      <c r="Q50" s="478"/>
      <c r="R50" s="478"/>
      <c r="S50" s="478"/>
      <c r="T50" s="478"/>
      <c r="U50" s="478"/>
      <c r="V50" s="478"/>
      <c r="W50" s="478"/>
      <c r="X50" s="478"/>
      <c r="Y50" s="478"/>
      <c r="Z50" s="478"/>
      <c r="AA50" s="478"/>
      <c r="AB50" s="478"/>
      <c r="AC50" s="478"/>
      <c r="AD50" s="478"/>
      <c r="AE50" s="478"/>
      <c r="AF50" s="478"/>
      <c r="AG50" s="478"/>
      <c r="AH50" s="478"/>
      <c r="AI50" s="478"/>
      <c r="AJ50" s="478"/>
      <c r="AK50" s="478"/>
      <c r="AL50" s="478"/>
      <c r="AM50" s="479"/>
    </row>
    <row r="51" spans="2:39">
      <c r="B51" s="477"/>
      <c r="C51" s="478"/>
      <c r="D51" s="478"/>
      <c r="E51" s="478"/>
      <c r="F51" s="478"/>
      <c r="G51" s="478"/>
      <c r="H51" s="478"/>
      <c r="I51" s="478"/>
      <c r="J51" s="478"/>
      <c r="K51" s="478"/>
      <c r="L51" s="478"/>
      <c r="M51" s="478"/>
      <c r="N51" s="478"/>
      <c r="O51" s="478"/>
      <c r="P51" s="478"/>
      <c r="Q51" s="478"/>
      <c r="R51" s="478"/>
      <c r="S51" s="478"/>
      <c r="T51" s="478"/>
      <c r="U51" s="478"/>
      <c r="V51" s="478"/>
      <c r="W51" s="478"/>
      <c r="X51" s="478"/>
      <c r="Y51" s="478"/>
      <c r="Z51" s="478"/>
      <c r="AA51" s="478"/>
      <c r="AB51" s="478"/>
      <c r="AC51" s="478"/>
      <c r="AD51" s="478"/>
      <c r="AE51" s="478"/>
      <c r="AF51" s="478"/>
      <c r="AG51" s="478"/>
      <c r="AH51" s="478"/>
      <c r="AI51" s="478"/>
      <c r="AJ51" s="478"/>
      <c r="AK51" s="478"/>
      <c r="AL51" s="478"/>
      <c r="AM51" s="479"/>
    </row>
    <row r="52" spans="2:39">
      <c r="B52" s="477"/>
      <c r="C52" s="478"/>
      <c r="D52" s="478"/>
      <c r="E52" s="478"/>
      <c r="F52" s="478"/>
      <c r="G52" s="478"/>
      <c r="H52" s="478"/>
      <c r="I52" s="478"/>
      <c r="J52" s="478"/>
      <c r="K52" s="478"/>
      <c r="L52" s="478"/>
      <c r="M52" s="478"/>
      <c r="N52" s="478"/>
      <c r="O52" s="478"/>
      <c r="P52" s="478"/>
      <c r="Q52" s="478"/>
      <c r="R52" s="478"/>
      <c r="S52" s="478"/>
      <c r="T52" s="478"/>
      <c r="U52" s="478"/>
      <c r="V52" s="478"/>
      <c r="W52" s="478"/>
      <c r="X52" s="478"/>
      <c r="Y52" s="478"/>
      <c r="Z52" s="478"/>
      <c r="AA52" s="478"/>
      <c r="AB52" s="478"/>
      <c r="AC52" s="478"/>
      <c r="AD52" s="478"/>
      <c r="AE52" s="478"/>
      <c r="AF52" s="478"/>
      <c r="AG52" s="478"/>
      <c r="AH52" s="478"/>
      <c r="AI52" s="478"/>
      <c r="AJ52" s="478"/>
      <c r="AK52" s="478"/>
      <c r="AL52" s="478"/>
      <c r="AM52" s="479"/>
    </row>
    <row r="53" spans="2:39">
      <c r="B53" s="477"/>
      <c r="C53" s="478"/>
      <c r="D53" s="478"/>
      <c r="E53" s="478"/>
      <c r="F53" s="478"/>
      <c r="G53" s="478"/>
      <c r="H53" s="478"/>
      <c r="I53" s="478"/>
      <c r="J53" s="478"/>
      <c r="K53" s="478"/>
      <c r="L53" s="478"/>
      <c r="M53" s="478"/>
      <c r="N53" s="478"/>
      <c r="O53" s="478"/>
      <c r="P53" s="478"/>
      <c r="Q53" s="478"/>
      <c r="R53" s="478"/>
      <c r="S53" s="478"/>
      <c r="T53" s="478"/>
      <c r="U53" s="478"/>
      <c r="V53" s="478"/>
      <c r="W53" s="478"/>
      <c r="X53" s="478"/>
      <c r="Y53" s="478"/>
      <c r="Z53" s="478"/>
      <c r="AA53" s="478"/>
      <c r="AB53" s="478"/>
      <c r="AC53" s="478"/>
      <c r="AD53" s="478"/>
      <c r="AE53" s="478"/>
      <c r="AF53" s="478"/>
      <c r="AG53" s="478"/>
      <c r="AH53" s="478"/>
      <c r="AI53" s="478"/>
      <c r="AJ53" s="478"/>
      <c r="AK53" s="478"/>
      <c r="AL53" s="478"/>
      <c r="AM53" s="479"/>
    </row>
    <row r="54" spans="2:39">
      <c r="B54" s="477"/>
      <c r="C54" s="478"/>
      <c r="D54" s="478"/>
      <c r="E54" s="478"/>
      <c r="F54" s="478"/>
      <c r="G54" s="478"/>
      <c r="H54" s="478"/>
      <c r="I54" s="478"/>
      <c r="J54" s="478"/>
      <c r="K54" s="478"/>
      <c r="L54" s="478"/>
      <c r="M54" s="478"/>
      <c r="N54" s="478"/>
      <c r="O54" s="478"/>
      <c r="P54" s="478"/>
      <c r="Q54" s="478"/>
      <c r="R54" s="478"/>
      <c r="S54" s="478"/>
      <c r="T54" s="478"/>
      <c r="U54" s="478"/>
      <c r="V54" s="478"/>
      <c r="W54" s="478"/>
      <c r="X54" s="478"/>
      <c r="Y54" s="478"/>
      <c r="Z54" s="478"/>
      <c r="AA54" s="478"/>
      <c r="AB54" s="478"/>
      <c r="AC54" s="478"/>
      <c r="AD54" s="478"/>
      <c r="AE54" s="478"/>
      <c r="AF54" s="478"/>
      <c r="AG54" s="478"/>
      <c r="AH54" s="478"/>
      <c r="AI54" s="478"/>
      <c r="AJ54" s="478"/>
      <c r="AK54" s="478"/>
      <c r="AL54" s="478"/>
      <c r="AM54" s="479"/>
    </row>
    <row r="55" spans="2:39">
      <c r="B55" s="477"/>
      <c r="C55" s="478"/>
      <c r="D55" s="478"/>
      <c r="E55" s="478"/>
      <c r="F55" s="478"/>
      <c r="G55" s="478"/>
      <c r="H55" s="478"/>
      <c r="I55" s="478"/>
      <c r="J55" s="478"/>
      <c r="K55" s="478"/>
      <c r="L55" s="478"/>
      <c r="M55" s="478"/>
      <c r="N55" s="478"/>
      <c r="O55" s="478"/>
      <c r="P55" s="478"/>
      <c r="Q55" s="478"/>
      <c r="R55" s="478"/>
      <c r="S55" s="478"/>
      <c r="T55" s="478"/>
      <c r="U55" s="478"/>
      <c r="V55" s="478"/>
      <c r="W55" s="478"/>
      <c r="X55" s="478"/>
      <c r="Y55" s="478"/>
      <c r="Z55" s="478"/>
      <c r="AA55" s="478"/>
      <c r="AB55" s="478"/>
      <c r="AC55" s="478"/>
      <c r="AD55" s="478"/>
      <c r="AE55" s="478"/>
      <c r="AF55" s="478"/>
      <c r="AG55" s="478"/>
      <c r="AH55" s="478"/>
      <c r="AI55" s="478"/>
      <c r="AJ55" s="478"/>
      <c r="AK55" s="478"/>
      <c r="AL55" s="478"/>
      <c r="AM55" s="479"/>
    </row>
    <row r="56" spans="2:39">
      <c r="B56" s="477"/>
      <c r="C56" s="478"/>
      <c r="D56" s="478"/>
      <c r="E56" s="478"/>
      <c r="F56" s="478"/>
      <c r="G56" s="478"/>
      <c r="H56" s="478"/>
      <c r="I56" s="478"/>
      <c r="J56" s="478"/>
      <c r="K56" s="478"/>
      <c r="L56" s="478"/>
      <c r="M56" s="478"/>
      <c r="N56" s="478"/>
      <c r="O56" s="478"/>
      <c r="P56" s="478"/>
      <c r="Q56" s="478"/>
      <c r="R56" s="478"/>
      <c r="S56" s="478"/>
      <c r="T56" s="478"/>
      <c r="U56" s="478"/>
      <c r="V56" s="478"/>
      <c r="W56" s="478"/>
      <c r="X56" s="478"/>
      <c r="Y56" s="478"/>
      <c r="Z56" s="478"/>
      <c r="AA56" s="478"/>
      <c r="AB56" s="478"/>
      <c r="AC56" s="478"/>
      <c r="AD56" s="478"/>
      <c r="AE56" s="478"/>
      <c r="AF56" s="478"/>
      <c r="AG56" s="478"/>
      <c r="AH56" s="478"/>
      <c r="AI56" s="478"/>
      <c r="AJ56" s="478"/>
      <c r="AK56" s="478"/>
      <c r="AL56" s="478"/>
      <c r="AM56" s="479"/>
    </row>
    <row r="57" spans="2:39">
      <c r="B57" s="477"/>
      <c r="C57" s="478"/>
      <c r="D57" s="478"/>
      <c r="E57" s="478"/>
      <c r="F57" s="478"/>
      <c r="G57" s="478"/>
      <c r="H57" s="478"/>
      <c r="I57" s="478"/>
      <c r="J57" s="478"/>
      <c r="K57" s="478"/>
      <c r="L57" s="478"/>
      <c r="M57" s="478"/>
      <c r="N57" s="478"/>
      <c r="O57" s="478"/>
      <c r="P57" s="478"/>
      <c r="Q57" s="478"/>
      <c r="R57" s="478"/>
      <c r="S57" s="478"/>
      <c r="T57" s="478"/>
      <c r="U57" s="478"/>
      <c r="V57" s="478"/>
      <c r="W57" s="478"/>
      <c r="X57" s="478"/>
      <c r="Y57" s="478"/>
      <c r="Z57" s="478"/>
      <c r="AA57" s="478"/>
      <c r="AB57" s="478"/>
      <c r="AC57" s="478"/>
      <c r="AD57" s="478"/>
      <c r="AE57" s="478"/>
      <c r="AF57" s="478"/>
      <c r="AG57" s="478"/>
      <c r="AH57" s="478"/>
      <c r="AI57" s="478"/>
      <c r="AJ57" s="478"/>
      <c r="AK57" s="478"/>
      <c r="AL57" s="478"/>
      <c r="AM57" s="479"/>
    </row>
    <row r="58" spans="2:39">
      <c r="B58" s="477"/>
      <c r="C58" s="478"/>
      <c r="D58" s="478"/>
      <c r="E58" s="478"/>
      <c r="F58" s="478"/>
      <c r="G58" s="478"/>
      <c r="H58" s="478"/>
      <c r="I58" s="478"/>
      <c r="J58" s="478"/>
      <c r="K58" s="478"/>
      <c r="L58" s="478"/>
      <c r="M58" s="478"/>
      <c r="N58" s="478"/>
      <c r="O58" s="478"/>
      <c r="P58" s="478"/>
      <c r="Q58" s="478"/>
      <c r="R58" s="478"/>
      <c r="S58" s="478"/>
      <c r="T58" s="478"/>
      <c r="U58" s="478"/>
      <c r="V58" s="478"/>
      <c r="W58" s="478"/>
      <c r="X58" s="478"/>
      <c r="Y58" s="478"/>
      <c r="Z58" s="478"/>
      <c r="AA58" s="478"/>
      <c r="AB58" s="478"/>
      <c r="AC58" s="478"/>
      <c r="AD58" s="478"/>
      <c r="AE58" s="478"/>
      <c r="AF58" s="478"/>
      <c r="AG58" s="478"/>
      <c r="AH58" s="478"/>
      <c r="AI58" s="478"/>
      <c r="AJ58" s="478"/>
      <c r="AK58" s="478"/>
      <c r="AL58" s="478"/>
      <c r="AM58" s="479"/>
    </row>
    <row r="59" spans="2:39">
      <c r="B59" s="477"/>
      <c r="C59" s="478"/>
      <c r="D59" s="478"/>
      <c r="E59" s="478"/>
      <c r="F59" s="478"/>
      <c r="G59" s="478"/>
      <c r="H59" s="478"/>
      <c r="I59" s="478"/>
      <c r="J59" s="478"/>
      <c r="K59" s="478"/>
      <c r="L59" s="478"/>
      <c r="M59" s="478"/>
      <c r="N59" s="478"/>
      <c r="O59" s="478"/>
      <c r="P59" s="478"/>
      <c r="Q59" s="478"/>
      <c r="R59" s="478"/>
      <c r="S59" s="478"/>
      <c r="T59" s="478"/>
      <c r="U59" s="478"/>
      <c r="V59" s="478"/>
      <c r="W59" s="478"/>
      <c r="X59" s="478"/>
      <c r="Y59" s="478"/>
      <c r="Z59" s="478"/>
      <c r="AA59" s="478"/>
      <c r="AB59" s="478"/>
      <c r="AC59" s="478"/>
      <c r="AD59" s="478"/>
      <c r="AE59" s="478"/>
      <c r="AF59" s="478"/>
      <c r="AG59" s="478"/>
      <c r="AH59" s="478"/>
      <c r="AI59" s="478"/>
      <c r="AJ59" s="478"/>
      <c r="AK59" s="478"/>
      <c r="AL59" s="478"/>
      <c r="AM59" s="479"/>
    </row>
    <row r="60" spans="2:39">
      <c r="B60" s="477"/>
      <c r="C60" s="478"/>
      <c r="D60" s="478"/>
      <c r="E60" s="478"/>
      <c r="F60" s="478"/>
      <c r="G60" s="478"/>
      <c r="H60" s="478"/>
      <c r="I60" s="478"/>
      <c r="J60" s="478"/>
      <c r="K60" s="478"/>
      <c r="L60" s="478"/>
      <c r="M60" s="478"/>
      <c r="N60" s="478"/>
      <c r="O60" s="478"/>
      <c r="P60" s="478"/>
      <c r="Q60" s="478"/>
      <c r="R60" s="478"/>
      <c r="S60" s="478"/>
      <c r="T60" s="478"/>
      <c r="U60" s="478"/>
      <c r="V60" s="478"/>
      <c r="W60" s="478"/>
      <c r="X60" s="478"/>
      <c r="Y60" s="478"/>
      <c r="Z60" s="478"/>
      <c r="AA60" s="478"/>
      <c r="AB60" s="478"/>
      <c r="AC60" s="478"/>
      <c r="AD60" s="478"/>
      <c r="AE60" s="478"/>
      <c r="AF60" s="478"/>
      <c r="AG60" s="478"/>
      <c r="AH60" s="478"/>
      <c r="AI60" s="478"/>
      <c r="AJ60" s="478"/>
      <c r="AK60" s="478"/>
      <c r="AL60" s="478"/>
      <c r="AM60" s="479"/>
    </row>
    <row r="61" spans="2:39">
      <c r="B61" s="477"/>
      <c r="C61" s="478"/>
      <c r="D61" s="478"/>
      <c r="E61" s="478"/>
      <c r="F61" s="478"/>
      <c r="G61" s="478"/>
      <c r="H61" s="478"/>
      <c r="I61" s="478"/>
      <c r="J61" s="478"/>
      <c r="K61" s="478"/>
      <c r="L61" s="478"/>
      <c r="M61" s="478"/>
      <c r="N61" s="478"/>
      <c r="O61" s="478"/>
      <c r="P61" s="478"/>
      <c r="Q61" s="478"/>
      <c r="R61" s="478"/>
      <c r="S61" s="478"/>
      <c r="T61" s="478"/>
      <c r="U61" s="478"/>
      <c r="V61" s="478"/>
      <c r="W61" s="478"/>
      <c r="X61" s="478"/>
      <c r="Y61" s="478"/>
      <c r="Z61" s="478"/>
      <c r="AA61" s="478"/>
      <c r="AB61" s="478"/>
      <c r="AC61" s="478"/>
      <c r="AD61" s="478"/>
      <c r="AE61" s="478"/>
      <c r="AF61" s="478"/>
      <c r="AG61" s="478"/>
      <c r="AH61" s="478"/>
      <c r="AI61" s="478"/>
      <c r="AJ61" s="478"/>
      <c r="AK61" s="478"/>
      <c r="AL61" s="478"/>
      <c r="AM61" s="479"/>
    </row>
    <row r="62" spans="2:39">
      <c r="B62" s="477"/>
      <c r="C62" s="478"/>
      <c r="D62" s="478"/>
      <c r="E62" s="478"/>
      <c r="F62" s="478"/>
      <c r="G62" s="478"/>
      <c r="H62" s="478"/>
      <c r="I62" s="478"/>
      <c r="J62" s="478"/>
      <c r="K62" s="478"/>
      <c r="L62" s="478"/>
      <c r="M62" s="478"/>
      <c r="N62" s="478"/>
      <c r="O62" s="478"/>
      <c r="P62" s="478"/>
      <c r="Q62" s="478"/>
      <c r="R62" s="478"/>
      <c r="S62" s="478"/>
      <c r="T62" s="478"/>
      <c r="U62" s="478"/>
      <c r="V62" s="478"/>
      <c r="W62" s="478"/>
      <c r="X62" s="478"/>
      <c r="Y62" s="478"/>
      <c r="Z62" s="478"/>
      <c r="AA62" s="478"/>
      <c r="AB62" s="478"/>
      <c r="AC62" s="478"/>
      <c r="AD62" s="478"/>
      <c r="AE62" s="478"/>
      <c r="AF62" s="478"/>
      <c r="AG62" s="478"/>
      <c r="AH62" s="478"/>
      <c r="AI62" s="478"/>
      <c r="AJ62" s="478"/>
      <c r="AK62" s="478"/>
      <c r="AL62" s="478"/>
      <c r="AM62" s="479"/>
    </row>
    <row r="63" spans="2:39">
      <c r="B63" s="480"/>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c r="AA63" s="481"/>
      <c r="AB63" s="481"/>
      <c r="AC63" s="481"/>
      <c r="AD63" s="481"/>
      <c r="AE63" s="481"/>
      <c r="AF63" s="481"/>
      <c r="AG63" s="481"/>
      <c r="AH63" s="481"/>
      <c r="AI63" s="481"/>
      <c r="AJ63" s="481"/>
      <c r="AK63" s="481"/>
      <c r="AL63" s="481"/>
      <c r="AM63" s="482"/>
    </row>
    <row r="67" spans="2:40">
      <c r="R67" s="431"/>
    </row>
    <row r="76" spans="2:40">
      <c r="B76" s="684"/>
      <c r="C76" s="685"/>
      <c r="D76" s="685"/>
      <c r="E76" s="685"/>
      <c r="F76" s="685"/>
      <c r="G76" s="685"/>
      <c r="H76" s="685"/>
      <c r="I76" s="685"/>
      <c r="J76" s="685"/>
      <c r="K76" s="685"/>
      <c r="L76" s="685"/>
      <c r="M76" s="685"/>
      <c r="N76" s="685"/>
      <c r="O76" s="685"/>
      <c r="P76" s="685"/>
      <c r="Q76" s="685"/>
      <c r="R76" s="685"/>
      <c r="S76" s="685"/>
      <c r="T76" s="685"/>
      <c r="U76" s="685"/>
      <c r="V76" s="685"/>
      <c r="W76" s="685"/>
      <c r="X76" s="685"/>
      <c r="Y76" s="685"/>
      <c r="Z76" s="685"/>
      <c r="AA76" s="685"/>
      <c r="AB76" s="685"/>
      <c r="AC76" s="685"/>
      <c r="AD76" s="685"/>
      <c r="AE76" s="685"/>
      <c r="AF76" s="685"/>
      <c r="AG76" s="685"/>
      <c r="AH76" s="685"/>
      <c r="AI76" s="685"/>
      <c r="AJ76" s="685"/>
      <c r="AK76" s="685"/>
      <c r="AL76" s="685"/>
      <c r="AM76" s="686"/>
      <c r="AN76" s="477"/>
    </row>
    <row r="77" spans="2:40">
      <c r="B77" s="687"/>
      <c r="C77" s="688"/>
      <c r="D77" s="688"/>
      <c r="E77" s="688"/>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9"/>
      <c r="AN77" s="477"/>
    </row>
    <row r="78" spans="2:40">
      <c r="B78" s="687"/>
      <c r="C78" s="688"/>
      <c r="D78" s="688"/>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9"/>
      <c r="AN78" s="477"/>
    </row>
    <row r="79" spans="2:40">
      <c r="B79" s="687"/>
      <c r="C79" s="688"/>
      <c r="D79" s="688"/>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9"/>
      <c r="AN79" s="477"/>
    </row>
    <row r="80" spans="2:40">
      <c r="B80" s="687"/>
      <c r="C80" s="688"/>
      <c r="D80" s="688"/>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9"/>
      <c r="AN80" s="477"/>
    </row>
    <row r="81" spans="2:40">
      <c r="B81" s="687"/>
      <c r="C81" s="688"/>
      <c r="D81" s="688"/>
      <c r="E81" s="688"/>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9"/>
      <c r="AN81" s="477"/>
    </row>
    <row r="82" spans="2:40">
      <c r="B82" s="477"/>
      <c r="C82" s="478"/>
      <c r="D82" s="478"/>
      <c r="E82" s="478"/>
      <c r="F82" s="478"/>
      <c r="G82" s="478"/>
      <c r="H82" s="478"/>
      <c r="I82" s="478"/>
      <c r="J82" s="478"/>
      <c r="K82" s="478"/>
      <c r="L82" s="478"/>
      <c r="M82" s="478"/>
      <c r="N82" s="478"/>
      <c r="O82" s="478"/>
      <c r="P82" s="478"/>
      <c r="Q82" s="478"/>
      <c r="R82" s="478"/>
      <c r="S82" s="478"/>
      <c r="T82" s="478"/>
      <c r="U82" s="478"/>
      <c r="V82" s="478"/>
      <c r="W82" s="478"/>
      <c r="X82" s="478"/>
      <c r="Y82" s="478"/>
      <c r="Z82" s="478"/>
      <c r="AA82" s="478"/>
      <c r="AB82" s="478"/>
      <c r="AC82" s="478"/>
      <c r="AD82" s="478"/>
      <c r="AE82" s="478"/>
      <c r="AF82" s="478"/>
      <c r="AG82" s="478"/>
      <c r="AH82" s="478"/>
      <c r="AI82" s="478"/>
      <c r="AJ82" s="478"/>
      <c r="AK82" s="478"/>
      <c r="AL82" s="478"/>
      <c r="AM82" s="479"/>
      <c r="AN82" s="477"/>
    </row>
    <row r="83" spans="2:40">
      <c r="B83" s="477"/>
      <c r="C83" s="478"/>
      <c r="D83" s="478"/>
      <c r="E83" s="478"/>
      <c r="F83" s="478"/>
      <c r="G83" s="478"/>
      <c r="H83" s="478"/>
      <c r="I83" s="478"/>
      <c r="J83" s="478"/>
      <c r="K83" s="478"/>
      <c r="L83" s="478"/>
      <c r="M83" s="478"/>
      <c r="N83" s="478"/>
      <c r="O83" s="478"/>
      <c r="P83" s="478"/>
      <c r="Q83" s="478"/>
      <c r="R83" s="478"/>
      <c r="S83" s="554"/>
      <c r="T83" s="554"/>
      <c r="U83" s="554"/>
      <c r="V83" s="478"/>
      <c r="W83" s="478"/>
      <c r="X83" s="478"/>
      <c r="Y83" s="478"/>
      <c r="Z83" s="478"/>
      <c r="AA83" s="478"/>
      <c r="AB83" s="478"/>
      <c r="AC83" s="478"/>
      <c r="AD83" s="478"/>
      <c r="AE83" s="478"/>
      <c r="AF83" s="478"/>
      <c r="AG83" s="478"/>
      <c r="AH83" s="478"/>
      <c r="AI83" s="478"/>
      <c r="AJ83" s="478"/>
      <c r="AK83" s="478"/>
      <c r="AL83" s="478"/>
      <c r="AM83" s="479"/>
      <c r="AN83" s="477"/>
    </row>
    <row r="84" spans="2:40">
      <c r="B84" s="477"/>
      <c r="C84" s="478"/>
      <c r="D84" s="478"/>
      <c r="E84" s="478"/>
      <c r="F84" s="478"/>
      <c r="G84" s="478"/>
      <c r="H84" s="478"/>
      <c r="I84" s="478"/>
      <c r="J84" s="478"/>
      <c r="K84" s="478"/>
      <c r="L84" s="478"/>
      <c r="M84" s="478"/>
      <c r="N84" s="478"/>
      <c r="O84" s="478"/>
      <c r="P84" s="478"/>
      <c r="Q84" s="478"/>
      <c r="R84" s="478"/>
      <c r="S84" s="494"/>
      <c r="T84" s="478"/>
      <c r="U84" s="495"/>
      <c r="V84" s="478"/>
      <c r="W84" s="478"/>
      <c r="X84" s="478"/>
      <c r="Y84" s="478"/>
      <c r="Z84" s="478"/>
      <c r="AA84" s="478"/>
      <c r="AB84" s="478"/>
      <c r="AC84" s="478"/>
      <c r="AD84" s="478"/>
      <c r="AE84" s="478"/>
      <c r="AF84" s="478"/>
      <c r="AG84" s="478"/>
      <c r="AH84" s="478"/>
      <c r="AI84" s="478"/>
      <c r="AJ84" s="478"/>
      <c r="AK84" s="478"/>
      <c r="AL84" s="478"/>
      <c r="AM84" s="479"/>
      <c r="AN84" s="477"/>
    </row>
    <row r="85" spans="2:40">
      <c r="B85" s="477"/>
      <c r="C85" s="478"/>
      <c r="D85" s="478"/>
      <c r="E85" s="478"/>
      <c r="F85" s="478"/>
      <c r="G85" s="478"/>
      <c r="H85" s="478"/>
      <c r="I85" s="478"/>
      <c r="J85" s="478"/>
      <c r="K85" s="478"/>
      <c r="L85" s="478"/>
      <c r="M85" s="478"/>
      <c r="N85" s="478"/>
      <c r="O85" s="478"/>
      <c r="P85" s="478"/>
      <c r="Q85" s="478"/>
      <c r="R85" s="478"/>
      <c r="S85" s="478"/>
      <c r="T85" s="478"/>
      <c r="U85" s="478"/>
      <c r="V85" s="478"/>
      <c r="W85" s="478"/>
      <c r="X85" s="478"/>
      <c r="Y85" s="478"/>
      <c r="Z85" s="478"/>
      <c r="AA85" s="478"/>
      <c r="AB85" s="478"/>
      <c r="AC85" s="478"/>
      <c r="AD85" s="478"/>
      <c r="AE85" s="478"/>
      <c r="AF85" s="478"/>
      <c r="AG85" s="478"/>
      <c r="AH85" s="478"/>
      <c r="AI85" s="478"/>
      <c r="AJ85" s="478"/>
      <c r="AK85" s="478"/>
      <c r="AL85" s="478"/>
      <c r="AM85" s="479"/>
      <c r="AN85" s="477"/>
    </row>
    <row r="86" spans="2:40">
      <c r="B86" s="477"/>
      <c r="C86" s="478"/>
      <c r="D86" s="478"/>
      <c r="E86" s="478"/>
      <c r="F86" s="478"/>
      <c r="G86" s="478"/>
      <c r="H86" s="478"/>
      <c r="I86" s="478"/>
      <c r="J86" s="478"/>
      <c r="K86" s="478"/>
      <c r="L86" s="478"/>
      <c r="M86" s="478"/>
      <c r="N86" s="478"/>
      <c r="O86" s="478"/>
      <c r="P86" s="478"/>
      <c r="Q86" s="478"/>
      <c r="R86" s="478"/>
      <c r="S86" s="478"/>
      <c r="T86" s="478"/>
      <c r="U86" s="478"/>
      <c r="V86" s="478"/>
      <c r="W86" s="478"/>
      <c r="X86" s="478"/>
      <c r="Y86" s="478"/>
      <c r="Z86" s="478"/>
      <c r="AA86" s="478"/>
      <c r="AB86" s="478"/>
      <c r="AC86" s="478"/>
      <c r="AD86" s="478"/>
      <c r="AE86" s="478"/>
      <c r="AF86" s="478"/>
      <c r="AG86" s="478"/>
      <c r="AH86" s="478"/>
      <c r="AI86" s="478"/>
      <c r="AJ86" s="478"/>
      <c r="AK86" s="478"/>
      <c r="AL86" s="478"/>
      <c r="AM86" s="479"/>
      <c r="AN86" s="477"/>
    </row>
    <row r="87" spans="2:40">
      <c r="B87" s="477"/>
      <c r="C87" s="478"/>
      <c r="D87" s="478"/>
      <c r="E87" s="478"/>
      <c r="F87" s="478"/>
      <c r="G87" s="478"/>
      <c r="H87" s="478"/>
      <c r="I87" s="478"/>
      <c r="J87" s="478"/>
      <c r="K87" s="478"/>
      <c r="L87" s="478"/>
      <c r="M87" s="478"/>
      <c r="N87" s="478"/>
      <c r="O87" s="478"/>
      <c r="P87" s="478"/>
      <c r="Q87" s="478"/>
      <c r="R87" s="478"/>
      <c r="S87" s="478"/>
      <c r="T87" s="478"/>
      <c r="U87" s="478"/>
      <c r="V87" s="478"/>
      <c r="W87" s="478"/>
      <c r="X87" s="478"/>
      <c r="Y87" s="478"/>
      <c r="Z87" s="478"/>
      <c r="AA87" s="478"/>
      <c r="AB87" s="478"/>
      <c r="AC87" s="478"/>
      <c r="AD87" s="478"/>
      <c r="AE87" s="478"/>
      <c r="AF87" s="478"/>
      <c r="AG87" s="478"/>
      <c r="AH87" s="478"/>
      <c r="AI87" s="478"/>
      <c r="AJ87" s="478"/>
      <c r="AK87" s="478"/>
      <c r="AL87" s="478"/>
      <c r="AM87" s="479"/>
      <c r="AN87" s="477"/>
    </row>
    <row r="88" spans="2:40">
      <c r="B88" s="477"/>
      <c r="C88" s="478"/>
      <c r="D88" s="478"/>
      <c r="E88" s="478"/>
      <c r="F88" s="478"/>
      <c r="G88" s="478"/>
      <c r="H88" s="478"/>
      <c r="I88" s="478"/>
      <c r="J88" s="478"/>
      <c r="K88" s="478"/>
      <c r="L88" s="478"/>
      <c r="M88" s="478"/>
      <c r="N88" s="478"/>
      <c r="O88" s="478"/>
      <c r="P88" s="478"/>
      <c r="Q88" s="478"/>
      <c r="R88" s="478"/>
      <c r="S88" s="478"/>
      <c r="T88" s="478"/>
      <c r="U88" s="478"/>
      <c r="V88" s="478"/>
      <c r="W88" s="478"/>
      <c r="X88" s="478"/>
      <c r="Y88" s="478"/>
      <c r="Z88" s="478"/>
      <c r="AA88" s="478"/>
      <c r="AB88" s="478"/>
      <c r="AC88" s="478"/>
      <c r="AD88" s="478"/>
      <c r="AE88" s="478"/>
      <c r="AF88" s="478"/>
      <c r="AG88" s="478"/>
      <c r="AH88" s="478"/>
      <c r="AI88" s="478"/>
      <c r="AJ88" s="478"/>
      <c r="AK88" s="478"/>
      <c r="AL88" s="478"/>
      <c r="AM88" s="479"/>
      <c r="AN88" s="477"/>
    </row>
    <row r="89" spans="2:40">
      <c r="B89" s="477"/>
      <c r="C89" s="478"/>
      <c r="D89" s="478"/>
      <c r="E89" s="478"/>
      <c r="F89" s="478"/>
      <c r="G89" s="478"/>
      <c r="H89" s="478"/>
      <c r="I89" s="478"/>
      <c r="J89" s="478"/>
      <c r="K89" s="478"/>
      <c r="L89" s="478"/>
      <c r="M89" s="478"/>
      <c r="N89" s="478"/>
      <c r="O89" s="478"/>
      <c r="P89" s="478"/>
      <c r="Q89" s="478"/>
      <c r="R89" s="478"/>
      <c r="S89" s="478"/>
      <c r="T89" s="478"/>
      <c r="U89" s="478"/>
      <c r="V89" s="478"/>
      <c r="W89" s="478"/>
      <c r="X89" s="478"/>
      <c r="Y89" s="478"/>
      <c r="Z89" s="478"/>
      <c r="AA89" s="478"/>
      <c r="AB89" s="478"/>
      <c r="AC89" s="478"/>
      <c r="AD89" s="478"/>
      <c r="AE89" s="478"/>
      <c r="AF89" s="478"/>
      <c r="AG89" s="478"/>
      <c r="AH89" s="478"/>
      <c r="AI89" s="478"/>
      <c r="AJ89" s="478"/>
      <c r="AK89" s="478"/>
      <c r="AL89" s="478"/>
      <c r="AM89" s="479"/>
      <c r="AN89" s="477"/>
    </row>
    <row r="90" spans="2:40">
      <c r="B90" s="477"/>
      <c r="C90" s="478"/>
      <c r="D90" s="478"/>
      <c r="E90" s="478"/>
      <c r="F90" s="478"/>
      <c r="G90" s="478"/>
      <c r="H90" s="478"/>
      <c r="I90" s="478"/>
      <c r="J90" s="478"/>
      <c r="K90" s="478"/>
      <c r="L90" s="478"/>
      <c r="M90" s="478"/>
      <c r="N90" s="478"/>
      <c r="O90" s="478"/>
      <c r="P90" s="478"/>
      <c r="Q90" s="478"/>
      <c r="R90" s="478"/>
      <c r="S90" s="478"/>
      <c r="T90" s="478"/>
      <c r="U90" s="478"/>
      <c r="V90" s="478"/>
      <c r="W90" s="478"/>
      <c r="X90" s="478"/>
      <c r="Y90" s="478"/>
      <c r="Z90" s="478"/>
      <c r="AA90" s="478"/>
      <c r="AB90" s="478"/>
      <c r="AC90" s="478"/>
      <c r="AD90" s="478"/>
      <c r="AE90" s="478"/>
      <c r="AF90" s="478"/>
      <c r="AG90" s="478"/>
      <c r="AH90" s="478"/>
      <c r="AI90" s="478"/>
      <c r="AJ90" s="478"/>
      <c r="AK90" s="478"/>
      <c r="AL90" s="478"/>
      <c r="AM90" s="479"/>
      <c r="AN90" s="477"/>
    </row>
    <row r="91" spans="2:40">
      <c r="B91" s="477"/>
      <c r="C91" s="478"/>
      <c r="D91" s="478"/>
      <c r="E91" s="478"/>
      <c r="F91" s="478"/>
      <c r="G91" s="478"/>
      <c r="H91" s="478"/>
      <c r="I91" s="478"/>
      <c r="J91" s="478"/>
      <c r="K91" s="478"/>
      <c r="L91" s="478"/>
      <c r="M91" s="478"/>
      <c r="N91" s="478"/>
      <c r="O91" s="478"/>
      <c r="P91" s="478"/>
      <c r="Q91" s="478"/>
      <c r="R91" s="478"/>
      <c r="S91" s="478"/>
      <c r="T91" s="478"/>
      <c r="U91" s="478"/>
      <c r="V91" s="478"/>
      <c r="W91" s="478"/>
      <c r="X91" s="478"/>
      <c r="Y91" s="478"/>
      <c r="Z91" s="478"/>
      <c r="AA91" s="478"/>
      <c r="AB91" s="478"/>
      <c r="AC91" s="478"/>
      <c r="AD91" s="478"/>
      <c r="AE91" s="478"/>
      <c r="AF91" s="478"/>
      <c r="AG91" s="478"/>
      <c r="AH91" s="478"/>
      <c r="AI91" s="478"/>
      <c r="AJ91" s="478"/>
      <c r="AK91" s="478"/>
      <c r="AL91" s="478"/>
      <c r="AM91" s="479"/>
      <c r="AN91" s="477"/>
    </row>
    <row r="92" spans="2:40">
      <c r="B92" s="477"/>
      <c r="C92" s="478"/>
      <c r="D92" s="478"/>
      <c r="E92" s="478"/>
      <c r="F92" s="478"/>
      <c r="G92" s="478"/>
      <c r="H92" s="478"/>
      <c r="I92" s="478"/>
      <c r="J92" s="478"/>
      <c r="K92" s="478"/>
      <c r="L92" s="478"/>
      <c r="M92" s="478"/>
      <c r="N92" s="478"/>
      <c r="O92" s="478"/>
      <c r="P92" s="478"/>
      <c r="Q92" s="478"/>
      <c r="R92" s="478"/>
      <c r="S92" s="478"/>
      <c r="T92" s="478"/>
      <c r="U92" s="478"/>
      <c r="V92" s="478"/>
      <c r="W92" s="478"/>
      <c r="X92" s="478"/>
      <c r="Y92" s="478"/>
      <c r="Z92" s="478"/>
      <c r="AA92" s="478"/>
      <c r="AB92" s="478"/>
      <c r="AC92" s="478"/>
      <c r="AD92" s="478"/>
      <c r="AE92" s="478"/>
      <c r="AF92" s="478"/>
      <c r="AG92" s="478"/>
      <c r="AH92" s="478"/>
      <c r="AI92" s="478"/>
      <c r="AJ92" s="478"/>
      <c r="AK92" s="478"/>
      <c r="AL92" s="478"/>
      <c r="AM92" s="479"/>
      <c r="AN92" s="477"/>
    </row>
    <row r="93" spans="2:40">
      <c r="B93" s="477"/>
      <c r="C93" s="478"/>
      <c r="D93" s="478"/>
      <c r="E93" s="478"/>
      <c r="F93" s="478"/>
      <c r="G93" s="478"/>
      <c r="H93" s="478"/>
      <c r="I93" s="478"/>
      <c r="J93" s="478"/>
      <c r="K93" s="478"/>
      <c r="L93" s="478"/>
      <c r="M93" s="478"/>
      <c r="N93" s="478"/>
      <c r="O93" s="478"/>
      <c r="P93" s="478"/>
      <c r="Q93" s="478"/>
      <c r="R93" s="478"/>
      <c r="S93" s="478"/>
      <c r="T93" s="478"/>
      <c r="U93" s="478"/>
      <c r="V93" s="478"/>
      <c r="W93" s="478"/>
      <c r="X93" s="478"/>
      <c r="Y93" s="478"/>
      <c r="Z93" s="478"/>
      <c r="AA93" s="478"/>
      <c r="AB93" s="478"/>
      <c r="AC93" s="478"/>
      <c r="AD93" s="478"/>
      <c r="AE93" s="478"/>
      <c r="AF93" s="478"/>
      <c r="AG93" s="478"/>
      <c r="AH93" s="478"/>
      <c r="AI93" s="478"/>
      <c r="AJ93" s="478"/>
      <c r="AK93" s="478"/>
      <c r="AL93" s="478"/>
      <c r="AM93" s="479"/>
      <c r="AN93" s="477"/>
    </row>
    <row r="94" spans="2:40">
      <c r="B94" s="477"/>
      <c r="C94" s="478"/>
      <c r="D94" s="478"/>
      <c r="E94" s="478"/>
      <c r="F94" s="478"/>
      <c r="G94" s="478"/>
      <c r="H94" s="478"/>
      <c r="I94" s="478"/>
      <c r="J94" s="478"/>
      <c r="K94" s="478"/>
      <c r="L94" s="478"/>
      <c r="M94" s="478"/>
      <c r="N94" s="478"/>
      <c r="O94" s="478"/>
      <c r="P94" s="478"/>
      <c r="Q94" s="478"/>
      <c r="R94" s="478"/>
      <c r="S94" s="478"/>
      <c r="T94" s="478"/>
      <c r="U94" s="478"/>
      <c r="V94" s="478"/>
      <c r="W94" s="478"/>
      <c r="X94" s="478"/>
      <c r="Y94" s="478"/>
      <c r="Z94" s="478"/>
      <c r="AA94" s="478"/>
      <c r="AB94" s="478"/>
      <c r="AC94" s="478"/>
      <c r="AD94" s="478"/>
      <c r="AE94" s="478"/>
      <c r="AF94" s="478"/>
      <c r="AG94" s="478"/>
      <c r="AH94" s="478"/>
      <c r="AI94" s="478"/>
      <c r="AJ94" s="478"/>
      <c r="AK94" s="478"/>
      <c r="AL94" s="478"/>
      <c r="AM94" s="479"/>
      <c r="AN94" s="477"/>
    </row>
    <row r="95" spans="2:40">
      <c r="B95" s="477"/>
      <c r="C95" s="478"/>
      <c r="D95" s="478"/>
      <c r="E95" s="478"/>
      <c r="F95" s="478"/>
      <c r="G95" s="478"/>
      <c r="H95" s="478"/>
      <c r="I95" s="478"/>
      <c r="J95" s="478"/>
      <c r="K95" s="478"/>
      <c r="L95" s="478"/>
      <c r="M95" s="478"/>
      <c r="N95" s="478"/>
      <c r="O95" s="478"/>
      <c r="P95" s="478"/>
      <c r="Q95" s="478"/>
      <c r="R95" s="478"/>
      <c r="S95" s="478"/>
      <c r="T95" s="478"/>
      <c r="U95" s="478"/>
      <c r="V95" s="478"/>
      <c r="W95" s="478"/>
      <c r="X95" s="478"/>
      <c r="Y95" s="478"/>
      <c r="Z95" s="478"/>
      <c r="AA95" s="478"/>
      <c r="AB95" s="478"/>
      <c r="AC95" s="478"/>
      <c r="AD95" s="478"/>
      <c r="AE95" s="478"/>
      <c r="AF95" s="478"/>
      <c r="AG95" s="478"/>
      <c r="AH95" s="478"/>
      <c r="AI95" s="478"/>
      <c r="AJ95" s="478"/>
      <c r="AK95" s="478"/>
      <c r="AL95" s="478"/>
      <c r="AM95" s="479"/>
      <c r="AN95" s="477"/>
    </row>
    <row r="96" spans="2:40">
      <c r="B96" s="477"/>
      <c r="C96" s="478"/>
      <c r="D96" s="478"/>
      <c r="E96" s="478"/>
      <c r="F96" s="478"/>
      <c r="G96" s="478"/>
      <c r="H96" s="478"/>
      <c r="I96" s="478"/>
      <c r="J96" s="478"/>
      <c r="K96" s="478"/>
      <c r="L96" s="478"/>
      <c r="M96" s="478"/>
      <c r="N96" s="478"/>
      <c r="O96" s="478"/>
      <c r="P96" s="478"/>
      <c r="Q96" s="478"/>
      <c r="R96" s="478"/>
      <c r="S96" s="478"/>
      <c r="T96" s="478"/>
      <c r="U96" s="478"/>
      <c r="V96" s="478"/>
      <c r="W96" s="478"/>
      <c r="X96" s="478"/>
      <c r="Y96" s="478"/>
      <c r="Z96" s="478"/>
      <c r="AA96" s="478"/>
      <c r="AB96" s="478"/>
      <c r="AC96" s="478"/>
      <c r="AD96" s="478"/>
      <c r="AE96" s="478"/>
      <c r="AF96" s="478"/>
      <c r="AG96" s="478"/>
      <c r="AH96" s="478"/>
      <c r="AI96" s="478"/>
      <c r="AJ96" s="478"/>
      <c r="AK96" s="478"/>
      <c r="AL96" s="478"/>
      <c r="AM96" s="479"/>
      <c r="AN96" s="477"/>
    </row>
    <row r="97" spans="2:40">
      <c r="B97" s="477"/>
      <c r="C97" s="478"/>
      <c r="D97" s="478"/>
      <c r="E97" s="478"/>
      <c r="F97" s="478"/>
      <c r="G97" s="478"/>
      <c r="H97" s="478"/>
      <c r="I97" s="478"/>
      <c r="J97" s="478"/>
      <c r="K97" s="478"/>
      <c r="L97" s="478"/>
      <c r="M97" s="478"/>
      <c r="N97" s="478"/>
      <c r="O97" s="478"/>
      <c r="P97" s="478"/>
      <c r="Q97" s="478"/>
      <c r="R97" s="478"/>
      <c r="S97" s="478"/>
      <c r="T97" s="478"/>
      <c r="U97" s="478"/>
      <c r="V97" s="478"/>
      <c r="W97" s="478"/>
      <c r="X97" s="478"/>
      <c r="Y97" s="478"/>
      <c r="Z97" s="478"/>
      <c r="AA97" s="478"/>
      <c r="AB97" s="478"/>
      <c r="AC97" s="478"/>
      <c r="AD97" s="478"/>
      <c r="AE97" s="478"/>
      <c r="AF97" s="478"/>
      <c r="AG97" s="478"/>
      <c r="AH97" s="478"/>
      <c r="AI97" s="478"/>
      <c r="AJ97" s="478"/>
      <c r="AK97" s="478"/>
      <c r="AL97" s="478"/>
      <c r="AM97" s="479"/>
      <c r="AN97" s="477"/>
    </row>
    <row r="98" spans="2:40">
      <c r="B98" s="477"/>
      <c r="C98" s="478"/>
      <c r="D98" s="478"/>
      <c r="E98" s="478"/>
      <c r="F98" s="478"/>
      <c r="G98" s="478"/>
      <c r="H98" s="478"/>
      <c r="I98" s="478"/>
      <c r="J98" s="478"/>
      <c r="K98" s="478"/>
      <c r="L98" s="478"/>
      <c r="M98" s="478"/>
      <c r="N98" s="478"/>
      <c r="O98" s="478"/>
      <c r="P98" s="478"/>
      <c r="Q98" s="478"/>
      <c r="R98" s="478"/>
      <c r="S98" s="478"/>
      <c r="T98" s="478"/>
      <c r="U98" s="478"/>
      <c r="V98" s="478"/>
      <c r="W98" s="478"/>
      <c r="X98" s="478"/>
      <c r="Y98" s="478"/>
      <c r="Z98" s="478"/>
      <c r="AA98" s="478"/>
      <c r="AB98" s="478"/>
      <c r="AC98" s="478"/>
      <c r="AD98" s="478"/>
      <c r="AE98" s="478"/>
      <c r="AF98" s="478"/>
      <c r="AG98" s="478"/>
      <c r="AH98" s="478"/>
      <c r="AI98" s="478"/>
      <c r="AJ98" s="478"/>
      <c r="AK98" s="478"/>
      <c r="AL98" s="478"/>
      <c r="AM98" s="479"/>
      <c r="AN98" s="477"/>
    </row>
    <row r="99" spans="2:40">
      <c r="B99" s="477"/>
      <c r="C99" s="478"/>
      <c r="D99" s="478"/>
      <c r="E99" s="478"/>
      <c r="F99" s="478"/>
      <c r="G99" s="478"/>
      <c r="H99" s="478"/>
      <c r="I99" s="478"/>
      <c r="J99" s="478"/>
      <c r="K99" s="478"/>
      <c r="L99" s="478"/>
      <c r="M99" s="478"/>
      <c r="N99" s="478"/>
      <c r="O99" s="478"/>
      <c r="P99" s="478"/>
      <c r="Q99" s="478"/>
      <c r="R99" s="478"/>
      <c r="S99" s="478"/>
      <c r="T99" s="478"/>
      <c r="U99" s="478"/>
      <c r="V99" s="478"/>
      <c r="W99" s="478"/>
      <c r="X99" s="478"/>
      <c r="Y99" s="478"/>
      <c r="Z99" s="478"/>
      <c r="AA99" s="478"/>
      <c r="AB99" s="478"/>
      <c r="AC99" s="478"/>
      <c r="AD99" s="478"/>
      <c r="AE99" s="478"/>
      <c r="AF99" s="478"/>
      <c r="AG99" s="478"/>
      <c r="AH99" s="478"/>
      <c r="AI99" s="478"/>
      <c r="AJ99" s="478"/>
      <c r="AK99" s="478"/>
      <c r="AL99" s="478"/>
      <c r="AM99" s="479"/>
      <c r="AN99" s="477"/>
    </row>
    <row r="100" spans="2:40">
      <c r="B100" s="477"/>
      <c r="C100" s="478"/>
      <c r="D100" s="478"/>
      <c r="E100" s="478"/>
      <c r="F100" s="478"/>
      <c r="G100" s="478"/>
      <c r="H100" s="478"/>
      <c r="I100" s="478"/>
      <c r="J100" s="478"/>
      <c r="K100" s="478"/>
      <c r="L100" s="478"/>
      <c r="M100" s="478"/>
      <c r="N100" s="478"/>
      <c r="O100" s="478"/>
      <c r="P100" s="478"/>
      <c r="Q100" s="478"/>
      <c r="R100" s="478"/>
      <c r="S100" s="478"/>
      <c r="T100" s="478"/>
      <c r="U100" s="478"/>
      <c r="V100" s="478"/>
      <c r="W100" s="478"/>
      <c r="X100" s="478"/>
      <c r="Y100" s="478"/>
      <c r="Z100" s="478"/>
      <c r="AA100" s="478"/>
      <c r="AB100" s="478"/>
      <c r="AC100" s="478"/>
      <c r="AD100" s="478"/>
      <c r="AE100" s="478"/>
      <c r="AF100" s="478"/>
      <c r="AG100" s="478"/>
      <c r="AH100" s="478"/>
      <c r="AI100" s="478"/>
      <c r="AJ100" s="478"/>
      <c r="AK100" s="478"/>
      <c r="AL100" s="478"/>
      <c r="AM100" s="479"/>
      <c r="AN100" s="477"/>
    </row>
    <row r="101" spans="2:40">
      <c r="B101" s="477"/>
      <c r="C101" s="478"/>
      <c r="D101" s="478"/>
      <c r="E101" s="478"/>
      <c r="F101" s="478"/>
      <c r="G101" s="478"/>
      <c r="H101" s="478"/>
      <c r="I101" s="478"/>
      <c r="J101" s="478"/>
      <c r="K101" s="478"/>
      <c r="L101" s="478"/>
      <c r="M101" s="478"/>
      <c r="N101" s="478"/>
      <c r="O101" s="478"/>
      <c r="P101" s="478"/>
      <c r="Q101" s="478"/>
      <c r="R101" s="478"/>
      <c r="S101" s="478"/>
      <c r="T101" s="478"/>
      <c r="U101" s="478"/>
      <c r="V101" s="478"/>
      <c r="W101" s="478"/>
      <c r="X101" s="478"/>
      <c r="Y101" s="478"/>
      <c r="Z101" s="478"/>
      <c r="AA101" s="478"/>
      <c r="AB101" s="478"/>
      <c r="AC101" s="478"/>
      <c r="AD101" s="478"/>
      <c r="AE101" s="478"/>
      <c r="AF101" s="478"/>
      <c r="AG101" s="478"/>
      <c r="AH101" s="478"/>
      <c r="AI101" s="478"/>
      <c r="AJ101" s="478"/>
      <c r="AK101" s="478"/>
      <c r="AL101" s="478"/>
      <c r="AM101" s="479"/>
      <c r="AN101" s="477"/>
    </row>
    <row r="102" spans="2:40">
      <c r="B102" s="477"/>
      <c r="C102" s="478"/>
      <c r="D102" s="478"/>
      <c r="E102" s="478"/>
      <c r="F102" s="478"/>
      <c r="G102" s="478"/>
      <c r="H102" s="478"/>
      <c r="I102" s="478"/>
      <c r="J102" s="478"/>
      <c r="K102" s="478"/>
      <c r="L102" s="478"/>
      <c r="M102" s="478"/>
      <c r="N102" s="478"/>
      <c r="O102" s="478"/>
      <c r="P102" s="478"/>
      <c r="Q102" s="478"/>
      <c r="R102" s="478"/>
      <c r="S102" s="478"/>
      <c r="T102" s="478"/>
      <c r="U102" s="478"/>
      <c r="V102" s="478"/>
      <c r="W102" s="478"/>
      <c r="X102" s="478"/>
      <c r="Y102" s="478"/>
      <c r="Z102" s="478"/>
      <c r="AA102" s="478"/>
      <c r="AB102" s="478"/>
      <c r="AC102" s="478"/>
      <c r="AD102" s="478"/>
      <c r="AE102" s="478"/>
      <c r="AF102" s="478"/>
      <c r="AG102" s="478"/>
      <c r="AH102" s="478"/>
      <c r="AI102" s="478"/>
      <c r="AJ102" s="478"/>
      <c r="AK102" s="478"/>
      <c r="AL102" s="478"/>
      <c r="AM102" s="479"/>
      <c r="AN102" s="477"/>
    </row>
    <row r="103" spans="2:40">
      <c r="B103" s="477"/>
      <c r="C103" s="478"/>
      <c r="D103" s="478"/>
      <c r="E103" s="478"/>
      <c r="F103" s="478"/>
      <c r="G103" s="478"/>
      <c r="H103" s="478"/>
      <c r="I103" s="478"/>
      <c r="J103" s="478"/>
      <c r="K103" s="478"/>
      <c r="L103" s="478"/>
      <c r="M103" s="478"/>
      <c r="N103" s="478"/>
      <c r="O103" s="478"/>
      <c r="P103" s="478"/>
      <c r="Q103" s="478"/>
      <c r="R103" s="478"/>
      <c r="S103" s="478"/>
      <c r="T103" s="478"/>
      <c r="U103" s="478"/>
      <c r="V103" s="478"/>
      <c r="W103" s="478"/>
      <c r="X103" s="478"/>
      <c r="Y103" s="478"/>
      <c r="Z103" s="478"/>
      <c r="AA103" s="478"/>
      <c r="AB103" s="478"/>
      <c r="AC103" s="478"/>
      <c r="AD103" s="478"/>
      <c r="AE103" s="478"/>
      <c r="AF103" s="478"/>
      <c r="AG103" s="478"/>
      <c r="AH103" s="478"/>
      <c r="AI103" s="478"/>
      <c r="AJ103" s="478"/>
      <c r="AK103" s="478"/>
      <c r="AL103" s="478"/>
      <c r="AM103" s="479"/>
      <c r="AN103" s="477"/>
    </row>
    <row r="104" spans="2:40">
      <c r="B104" s="477"/>
      <c r="C104" s="478"/>
      <c r="D104" s="478"/>
      <c r="E104" s="478"/>
      <c r="F104" s="478"/>
      <c r="G104" s="478"/>
      <c r="H104" s="478"/>
      <c r="I104" s="478"/>
      <c r="J104" s="478"/>
      <c r="K104" s="478"/>
      <c r="L104" s="478"/>
      <c r="M104" s="478"/>
      <c r="N104" s="478"/>
      <c r="O104" s="478"/>
      <c r="P104" s="478"/>
      <c r="Q104" s="478"/>
      <c r="R104" s="478"/>
      <c r="S104" s="478"/>
      <c r="T104" s="478"/>
      <c r="U104" s="478"/>
      <c r="V104" s="478"/>
      <c r="W104" s="478"/>
      <c r="X104" s="478"/>
      <c r="Y104" s="478"/>
      <c r="Z104" s="478"/>
      <c r="AA104" s="478"/>
      <c r="AB104" s="478"/>
      <c r="AC104" s="478"/>
      <c r="AD104" s="478"/>
      <c r="AE104" s="478"/>
      <c r="AF104" s="478"/>
      <c r="AG104" s="478"/>
      <c r="AH104" s="478"/>
      <c r="AI104" s="478"/>
      <c r="AJ104" s="478"/>
      <c r="AK104" s="478"/>
      <c r="AL104" s="478"/>
      <c r="AM104" s="479"/>
      <c r="AN104" s="477"/>
    </row>
    <row r="105" spans="2:40">
      <c r="B105" s="477"/>
      <c r="C105" s="478"/>
      <c r="D105" s="478"/>
      <c r="E105" s="478"/>
      <c r="F105" s="478"/>
      <c r="G105" s="478"/>
      <c r="H105" s="478"/>
      <c r="I105" s="478"/>
      <c r="J105" s="478"/>
      <c r="K105" s="478"/>
      <c r="L105" s="478"/>
      <c r="M105" s="478"/>
      <c r="N105" s="478"/>
      <c r="O105" s="478"/>
      <c r="P105" s="478"/>
      <c r="Q105" s="478"/>
      <c r="R105" s="478"/>
      <c r="S105" s="478"/>
      <c r="T105" s="478"/>
      <c r="U105" s="478"/>
      <c r="V105" s="478"/>
      <c r="W105" s="478"/>
      <c r="X105" s="478"/>
      <c r="Y105" s="478"/>
      <c r="Z105" s="478"/>
      <c r="AA105" s="478"/>
      <c r="AB105" s="478"/>
      <c r="AC105" s="478"/>
      <c r="AD105" s="478"/>
      <c r="AE105" s="478"/>
      <c r="AF105" s="478"/>
      <c r="AG105" s="478"/>
      <c r="AH105" s="478"/>
      <c r="AI105" s="478"/>
      <c r="AJ105" s="478"/>
      <c r="AK105" s="478"/>
      <c r="AL105" s="478"/>
      <c r="AM105" s="479"/>
      <c r="AN105" s="477"/>
    </row>
    <row r="106" spans="2:40">
      <c r="B106" s="477"/>
      <c r="C106" s="478"/>
      <c r="D106" s="478"/>
      <c r="E106" s="478"/>
      <c r="F106" s="478"/>
      <c r="G106" s="478"/>
      <c r="H106" s="478"/>
      <c r="I106" s="478"/>
      <c r="J106" s="478"/>
      <c r="K106" s="478"/>
      <c r="L106" s="478"/>
      <c r="M106" s="478"/>
      <c r="N106" s="478"/>
      <c r="O106" s="478"/>
      <c r="P106" s="478"/>
      <c r="Q106" s="478"/>
      <c r="R106" s="478"/>
      <c r="S106" s="478"/>
      <c r="T106" s="478"/>
      <c r="U106" s="478"/>
      <c r="V106" s="478"/>
      <c r="W106" s="478"/>
      <c r="X106" s="478"/>
      <c r="Y106" s="478"/>
      <c r="Z106" s="478"/>
      <c r="AA106" s="478"/>
      <c r="AB106" s="478"/>
      <c r="AC106" s="478"/>
      <c r="AD106" s="478"/>
      <c r="AE106" s="478"/>
      <c r="AF106" s="478"/>
      <c r="AG106" s="478"/>
      <c r="AH106" s="478"/>
      <c r="AI106" s="478"/>
      <c r="AJ106" s="478"/>
      <c r="AK106" s="478"/>
      <c r="AL106" s="478"/>
      <c r="AM106" s="479"/>
      <c r="AN106" s="477"/>
    </row>
    <row r="107" spans="2:40">
      <c r="B107" s="477"/>
      <c r="C107" s="478"/>
      <c r="D107" s="478"/>
      <c r="E107" s="478"/>
      <c r="F107" s="478"/>
      <c r="G107" s="478"/>
      <c r="H107" s="478"/>
      <c r="I107" s="478"/>
      <c r="J107" s="478"/>
      <c r="K107" s="478"/>
      <c r="L107" s="478"/>
      <c r="M107" s="478"/>
      <c r="N107" s="478"/>
      <c r="O107" s="478"/>
      <c r="P107" s="478"/>
      <c r="Q107" s="478"/>
      <c r="R107" s="478"/>
      <c r="S107" s="478"/>
      <c r="T107" s="478"/>
      <c r="U107" s="478"/>
      <c r="V107" s="478"/>
      <c r="W107" s="478"/>
      <c r="X107" s="478"/>
      <c r="Y107" s="478"/>
      <c r="Z107" s="478"/>
      <c r="AA107" s="478"/>
      <c r="AB107" s="478"/>
      <c r="AC107" s="478"/>
      <c r="AD107" s="478"/>
      <c r="AE107" s="478"/>
      <c r="AF107" s="478"/>
      <c r="AG107" s="478"/>
      <c r="AH107" s="478"/>
      <c r="AI107" s="478"/>
      <c r="AJ107" s="478"/>
      <c r="AK107" s="478"/>
      <c r="AL107" s="478"/>
      <c r="AM107" s="479"/>
      <c r="AN107" s="477"/>
    </row>
    <row r="108" spans="2:40">
      <c r="B108" s="477"/>
      <c r="C108" s="478"/>
      <c r="D108" s="478"/>
      <c r="E108" s="478"/>
      <c r="F108" s="478"/>
      <c r="G108" s="478"/>
      <c r="H108" s="478"/>
      <c r="I108" s="478"/>
      <c r="J108" s="478"/>
      <c r="K108" s="478"/>
      <c r="L108" s="478"/>
      <c r="M108" s="478"/>
      <c r="N108" s="478"/>
      <c r="O108" s="478"/>
      <c r="P108" s="478"/>
      <c r="Q108" s="478"/>
      <c r="R108" s="478"/>
      <c r="S108" s="478"/>
      <c r="T108" s="478"/>
      <c r="U108" s="478"/>
      <c r="V108" s="478"/>
      <c r="W108" s="478"/>
      <c r="X108" s="478"/>
      <c r="Y108" s="478"/>
      <c r="Z108" s="478"/>
      <c r="AA108" s="478"/>
      <c r="AB108" s="478"/>
      <c r="AC108" s="478"/>
      <c r="AD108" s="478"/>
      <c r="AE108" s="478"/>
      <c r="AF108" s="478"/>
      <c r="AG108" s="478"/>
      <c r="AH108" s="478"/>
      <c r="AI108" s="478"/>
      <c r="AJ108" s="478"/>
      <c r="AK108" s="478"/>
      <c r="AL108" s="478"/>
      <c r="AM108" s="479"/>
      <c r="AN108" s="477"/>
    </row>
    <row r="109" spans="2:40">
      <c r="B109" s="477"/>
      <c r="C109" s="478"/>
      <c r="D109" s="478"/>
      <c r="E109" s="478"/>
      <c r="F109" s="478"/>
      <c r="G109" s="478"/>
      <c r="H109" s="478"/>
      <c r="I109" s="478"/>
      <c r="J109" s="478"/>
      <c r="K109" s="478"/>
      <c r="L109" s="478"/>
      <c r="M109" s="478"/>
      <c r="N109" s="478"/>
      <c r="O109" s="478"/>
      <c r="P109" s="478"/>
      <c r="Q109" s="478"/>
      <c r="R109" s="478"/>
      <c r="S109" s="478"/>
      <c r="T109" s="478"/>
      <c r="U109" s="478"/>
      <c r="V109" s="478"/>
      <c r="W109" s="478"/>
      <c r="X109" s="478"/>
      <c r="Y109" s="478"/>
      <c r="Z109" s="478"/>
      <c r="AA109" s="478"/>
      <c r="AB109" s="478"/>
      <c r="AC109" s="478"/>
      <c r="AD109" s="478"/>
      <c r="AE109" s="478"/>
      <c r="AF109" s="478"/>
      <c r="AG109" s="478"/>
      <c r="AH109" s="478"/>
      <c r="AI109" s="478"/>
      <c r="AJ109" s="478"/>
      <c r="AK109" s="478"/>
      <c r="AL109" s="478"/>
      <c r="AM109" s="479"/>
      <c r="AN109" s="477"/>
    </row>
    <row r="110" spans="2:40">
      <c r="B110" s="477"/>
      <c r="C110" s="478"/>
      <c r="D110" s="478"/>
      <c r="E110" s="478"/>
      <c r="F110" s="478"/>
      <c r="G110" s="478"/>
      <c r="H110" s="478"/>
      <c r="I110" s="478"/>
      <c r="J110" s="478"/>
      <c r="K110" s="478"/>
      <c r="L110" s="478"/>
      <c r="M110" s="478"/>
      <c r="N110" s="478"/>
      <c r="O110" s="478"/>
      <c r="P110" s="478"/>
      <c r="Q110" s="478"/>
      <c r="R110" s="478"/>
      <c r="S110" s="478"/>
      <c r="T110" s="478"/>
      <c r="U110" s="478"/>
      <c r="V110" s="478"/>
      <c r="W110" s="478"/>
      <c r="X110" s="478"/>
      <c r="Y110" s="478"/>
      <c r="Z110" s="478"/>
      <c r="AA110" s="478"/>
      <c r="AB110" s="478"/>
      <c r="AC110" s="478"/>
      <c r="AD110" s="478"/>
      <c r="AE110" s="478"/>
      <c r="AF110" s="478"/>
      <c r="AG110" s="478"/>
      <c r="AH110" s="478"/>
      <c r="AI110" s="478"/>
      <c r="AJ110" s="478"/>
      <c r="AK110" s="478"/>
      <c r="AL110" s="478"/>
      <c r="AM110" s="479"/>
      <c r="AN110" s="477"/>
    </row>
    <row r="111" spans="2:40">
      <c r="B111" s="477"/>
      <c r="C111" s="478"/>
      <c r="D111" s="478"/>
      <c r="E111" s="478"/>
      <c r="F111" s="478"/>
      <c r="G111" s="478"/>
      <c r="H111" s="478"/>
      <c r="I111" s="478"/>
      <c r="J111" s="478"/>
      <c r="K111" s="478"/>
      <c r="L111" s="478"/>
      <c r="M111" s="478"/>
      <c r="N111" s="478"/>
      <c r="O111" s="478"/>
      <c r="P111" s="478"/>
      <c r="Q111" s="478"/>
      <c r="R111" s="478"/>
      <c r="S111" s="478"/>
      <c r="T111" s="478"/>
      <c r="U111" s="478"/>
      <c r="V111" s="478"/>
      <c r="W111" s="478"/>
      <c r="X111" s="478"/>
      <c r="Y111" s="478"/>
      <c r="Z111" s="478"/>
      <c r="AA111" s="478"/>
      <c r="AB111" s="478"/>
      <c r="AC111" s="478"/>
      <c r="AD111" s="478"/>
      <c r="AE111" s="478"/>
      <c r="AF111" s="478"/>
      <c r="AG111" s="478"/>
      <c r="AH111" s="478"/>
      <c r="AI111" s="478"/>
      <c r="AJ111" s="478"/>
      <c r="AK111" s="478"/>
      <c r="AL111" s="478"/>
      <c r="AM111" s="479"/>
      <c r="AN111" s="477"/>
    </row>
    <row r="112" spans="2:40">
      <c r="B112" s="477"/>
      <c r="C112" s="478"/>
      <c r="D112" s="478"/>
      <c r="E112" s="478"/>
      <c r="F112" s="478"/>
      <c r="G112" s="478"/>
      <c r="H112" s="478"/>
      <c r="I112" s="478"/>
      <c r="J112" s="478"/>
      <c r="K112" s="478"/>
      <c r="L112" s="478"/>
      <c r="M112" s="478"/>
      <c r="N112" s="478"/>
      <c r="O112" s="478"/>
      <c r="P112" s="478"/>
      <c r="Q112" s="478"/>
      <c r="R112" s="478"/>
      <c r="S112" s="478"/>
      <c r="T112" s="478"/>
      <c r="U112" s="478"/>
      <c r="V112" s="478"/>
      <c r="W112" s="478"/>
      <c r="X112" s="478"/>
      <c r="Y112" s="478"/>
      <c r="Z112" s="478"/>
      <c r="AA112" s="478"/>
      <c r="AB112" s="478"/>
      <c r="AC112" s="478"/>
      <c r="AD112" s="478"/>
      <c r="AE112" s="478"/>
      <c r="AF112" s="478"/>
      <c r="AG112" s="478"/>
      <c r="AH112" s="478"/>
      <c r="AI112" s="478"/>
      <c r="AJ112" s="478"/>
      <c r="AK112" s="478"/>
      <c r="AL112" s="478"/>
      <c r="AM112" s="479"/>
      <c r="AN112" s="477"/>
    </row>
    <row r="113" spans="2:40">
      <c r="B113" s="477"/>
      <c r="C113" s="478"/>
      <c r="D113" s="478"/>
      <c r="E113" s="478"/>
      <c r="F113" s="478"/>
      <c r="G113" s="478"/>
      <c r="H113" s="478"/>
      <c r="I113" s="478"/>
      <c r="J113" s="478"/>
      <c r="K113" s="478"/>
      <c r="L113" s="478"/>
      <c r="M113" s="478"/>
      <c r="N113" s="478"/>
      <c r="O113" s="478"/>
      <c r="P113" s="478"/>
      <c r="Q113" s="478"/>
      <c r="R113" s="478"/>
      <c r="S113" s="478"/>
      <c r="T113" s="478"/>
      <c r="U113" s="478"/>
      <c r="V113" s="478"/>
      <c r="W113" s="478"/>
      <c r="X113" s="478"/>
      <c r="Y113" s="478"/>
      <c r="Z113" s="478"/>
      <c r="AA113" s="478"/>
      <c r="AB113" s="478"/>
      <c r="AC113" s="478"/>
      <c r="AD113" s="478"/>
      <c r="AE113" s="478"/>
      <c r="AF113" s="478"/>
      <c r="AG113" s="478"/>
      <c r="AH113" s="478"/>
      <c r="AI113" s="478"/>
      <c r="AJ113" s="478"/>
      <c r="AK113" s="478"/>
      <c r="AL113" s="478"/>
      <c r="AM113" s="479"/>
      <c r="AN113" s="477"/>
    </row>
    <row r="114" spans="2:40">
      <c r="B114" s="477"/>
      <c r="C114" s="478"/>
      <c r="D114" s="478"/>
      <c r="E114" s="478"/>
      <c r="F114" s="478"/>
      <c r="G114" s="478"/>
      <c r="H114" s="478"/>
      <c r="I114" s="478"/>
      <c r="J114" s="478"/>
      <c r="K114" s="478"/>
      <c r="L114" s="478"/>
      <c r="M114" s="478"/>
      <c r="N114" s="478"/>
      <c r="O114" s="478"/>
      <c r="P114" s="478"/>
      <c r="Q114" s="478"/>
      <c r="R114" s="478"/>
      <c r="S114" s="478"/>
      <c r="T114" s="478"/>
      <c r="U114" s="478"/>
      <c r="V114" s="478"/>
      <c r="W114" s="478"/>
      <c r="X114" s="478"/>
      <c r="Y114" s="478"/>
      <c r="Z114" s="478"/>
      <c r="AA114" s="478"/>
      <c r="AB114" s="478"/>
      <c r="AC114" s="478"/>
      <c r="AD114" s="478"/>
      <c r="AE114" s="478"/>
      <c r="AF114" s="478"/>
      <c r="AG114" s="478"/>
      <c r="AH114" s="478"/>
      <c r="AI114" s="478"/>
      <c r="AJ114" s="478"/>
      <c r="AK114" s="478"/>
      <c r="AL114" s="478"/>
      <c r="AM114" s="479"/>
      <c r="AN114" s="477"/>
    </row>
    <row r="115" spans="2:40">
      <c r="B115" s="477"/>
      <c r="C115" s="478"/>
      <c r="D115" s="478"/>
      <c r="E115" s="478"/>
      <c r="F115" s="478"/>
      <c r="G115" s="478"/>
      <c r="H115" s="478"/>
      <c r="I115" s="478"/>
      <c r="J115" s="478"/>
      <c r="K115" s="478"/>
      <c r="L115" s="478"/>
      <c r="M115" s="478"/>
      <c r="N115" s="478"/>
      <c r="O115" s="478"/>
      <c r="P115" s="478"/>
      <c r="Q115" s="478"/>
      <c r="R115" s="478"/>
      <c r="S115" s="478"/>
      <c r="T115" s="478"/>
      <c r="U115" s="478"/>
      <c r="V115" s="478"/>
      <c r="W115" s="478"/>
      <c r="X115" s="478"/>
      <c r="Y115" s="478"/>
      <c r="Z115" s="478"/>
      <c r="AA115" s="478"/>
      <c r="AB115" s="478"/>
      <c r="AC115" s="478"/>
      <c r="AD115" s="478"/>
      <c r="AE115" s="478"/>
      <c r="AF115" s="478"/>
      <c r="AG115" s="478"/>
      <c r="AH115" s="478"/>
      <c r="AI115" s="478"/>
      <c r="AJ115" s="478"/>
      <c r="AK115" s="478"/>
      <c r="AL115" s="478"/>
      <c r="AM115" s="479"/>
      <c r="AN115" s="477"/>
    </row>
    <row r="116" spans="2:40">
      <c r="B116" s="477"/>
      <c r="C116" s="478"/>
      <c r="D116" s="478"/>
      <c r="E116" s="478"/>
      <c r="F116" s="478"/>
      <c r="G116" s="478"/>
      <c r="H116" s="478"/>
      <c r="I116" s="478"/>
      <c r="J116" s="478"/>
      <c r="K116" s="478"/>
      <c r="L116" s="478"/>
      <c r="M116" s="478"/>
      <c r="N116" s="478"/>
      <c r="O116" s="478"/>
      <c r="P116" s="478"/>
      <c r="Q116" s="478"/>
      <c r="R116" s="478"/>
      <c r="S116" s="478"/>
      <c r="T116" s="478"/>
      <c r="U116" s="478"/>
      <c r="V116" s="478"/>
      <c r="W116" s="478"/>
      <c r="X116" s="478"/>
      <c r="Y116" s="478"/>
      <c r="Z116" s="478"/>
      <c r="AA116" s="478"/>
      <c r="AB116" s="478"/>
      <c r="AC116" s="478"/>
      <c r="AD116" s="478"/>
      <c r="AE116" s="478"/>
      <c r="AF116" s="478"/>
      <c r="AG116" s="478"/>
      <c r="AH116" s="478"/>
      <c r="AI116" s="478"/>
      <c r="AJ116" s="478"/>
      <c r="AK116" s="478"/>
      <c r="AL116" s="478"/>
      <c r="AM116" s="479"/>
      <c r="AN116" s="477"/>
    </row>
    <row r="117" spans="2:40">
      <c r="B117" s="477"/>
      <c r="C117" s="478"/>
      <c r="D117" s="478"/>
      <c r="E117" s="478"/>
      <c r="F117" s="478"/>
      <c r="G117" s="478"/>
      <c r="H117" s="478"/>
      <c r="I117" s="478"/>
      <c r="J117" s="478"/>
      <c r="K117" s="478"/>
      <c r="L117" s="478"/>
      <c r="M117" s="478"/>
      <c r="N117" s="478"/>
      <c r="O117" s="478"/>
      <c r="P117" s="478"/>
      <c r="Q117" s="478"/>
      <c r="R117" s="478"/>
      <c r="S117" s="478"/>
      <c r="T117" s="478"/>
      <c r="U117" s="478"/>
      <c r="V117" s="478"/>
      <c r="W117" s="478"/>
      <c r="X117" s="478"/>
      <c r="Y117" s="478"/>
      <c r="Z117" s="478"/>
      <c r="AA117" s="478"/>
      <c r="AB117" s="478"/>
      <c r="AC117" s="478"/>
      <c r="AD117" s="478"/>
      <c r="AE117" s="478"/>
      <c r="AF117" s="478"/>
      <c r="AG117" s="478"/>
      <c r="AH117" s="478"/>
      <c r="AI117" s="478"/>
      <c r="AJ117" s="478"/>
      <c r="AK117" s="478"/>
      <c r="AL117" s="478"/>
      <c r="AM117" s="479"/>
      <c r="AN117" s="477"/>
    </row>
    <row r="118" spans="2:40">
      <c r="B118" s="477"/>
      <c r="C118" s="478"/>
      <c r="D118" s="478"/>
      <c r="E118" s="478"/>
      <c r="F118" s="478"/>
      <c r="G118" s="478"/>
      <c r="H118" s="478"/>
      <c r="I118" s="478"/>
      <c r="J118" s="478"/>
      <c r="K118" s="478"/>
      <c r="L118" s="478"/>
      <c r="M118" s="478"/>
      <c r="N118" s="478"/>
      <c r="O118" s="478"/>
      <c r="P118" s="478"/>
      <c r="Q118" s="478"/>
      <c r="R118" s="478"/>
      <c r="S118" s="478"/>
      <c r="T118" s="478"/>
      <c r="U118" s="478"/>
      <c r="V118" s="478"/>
      <c r="W118" s="478"/>
      <c r="X118" s="478"/>
      <c r="Y118" s="478"/>
      <c r="Z118" s="478"/>
      <c r="AA118" s="478"/>
      <c r="AB118" s="478"/>
      <c r="AC118" s="478"/>
      <c r="AD118" s="478"/>
      <c r="AE118" s="478"/>
      <c r="AF118" s="478"/>
      <c r="AG118" s="478"/>
      <c r="AH118" s="478"/>
      <c r="AI118" s="478"/>
      <c r="AJ118" s="478"/>
      <c r="AK118" s="478"/>
      <c r="AL118" s="478"/>
      <c r="AM118" s="479"/>
      <c r="AN118" s="477"/>
    </row>
    <row r="119" spans="2:40">
      <c r="B119" s="477"/>
      <c r="C119" s="478"/>
      <c r="D119" s="478"/>
      <c r="E119" s="478"/>
      <c r="F119" s="478"/>
      <c r="G119" s="478"/>
      <c r="H119" s="478"/>
      <c r="I119" s="478"/>
      <c r="J119" s="478"/>
      <c r="K119" s="478"/>
      <c r="L119" s="478"/>
      <c r="M119" s="478"/>
      <c r="N119" s="478"/>
      <c r="O119" s="478"/>
      <c r="P119" s="478"/>
      <c r="Q119" s="478"/>
      <c r="R119" s="478"/>
      <c r="S119" s="478"/>
      <c r="T119" s="478"/>
      <c r="U119" s="478"/>
      <c r="V119" s="478"/>
      <c r="W119" s="478"/>
      <c r="X119" s="478"/>
      <c r="Y119" s="478"/>
      <c r="Z119" s="478"/>
      <c r="AA119" s="478"/>
      <c r="AB119" s="478"/>
      <c r="AC119" s="478"/>
      <c r="AD119" s="478"/>
      <c r="AE119" s="478"/>
      <c r="AF119" s="478"/>
      <c r="AG119" s="478"/>
      <c r="AH119" s="478"/>
      <c r="AI119" s="478"/>
      <c r="AJ119" s="478"/>
      <c r="AK119" s="478"/>
      <c r="AL119" s="478"/>
      <c r="AM119" s="479"/>
      <c r="AN119" s="477"/>
    </row>
    <row r="120" spans="2:40">
      <c r="B120" s="477"/>
      <c r="C120" s="478"/>
      <c r="D120" s="478"/>
      <c r="E120" s="478"/>
      <c r="F120" s="478"/>
      <c r="G120" s="478"/>
      <c r="H120" s="478"/>
      <c r="I120" s="478"/>
      <c r="J120" s="478"/>
      <c r="K120" s="478"/>
      <c r="L120" s="478"/>
      <c r="M120" s="478"/>
      <c r="N120" s="478"/>
      <c r="O120" s="478"/>
      <c r="P120" s="478"/>
      <c r="Q120" s="478"/>
      <c r="R120" s="478"/>
      <c r="S120" s="478"/>
      <c r="T120" s="478"/>
      <c r="U120" s="478"/>
      <c r="V120" s="478"/>
      <c r="W120" s="478"/>
      <c r="X120" s="478"/>
      <c r="Y120" s="478"/>
      <c r="Z120" s="478"/>
      <c r="AA120" s="478"/>
      <c r="AB120" s="478"/>
      <c r="AC120" s="478"/>
      <c r="AD120" s="478"/>
      <c r="AE120" s="478"/>
      <c r="AF120" s="478"/>
      <c r="AG120" s="478"/>
      <c r="AH120" s="478"/>
      <c r="AI120" s="478"/>
      <c r="AJ120" s="478"/>
      <c r="AK120" s="478"/>
      <c r="AL120" s="478"/>
      <c r="AM120" s="479"/>
      <c r="AN120" s="477"/>
    </row>
    <row r="121" spans="2:40">
      <c r="B121" s="477"/>
      <c r="C121" s="478"/>
      <c r="D121" s="478"/>
      <c r="E121" s="478"/>
      <c r="F121" s="478"/>
      <c r="G121" s="478"/>
      <c r="H121" s="478"/>
      <c r="I121" s="478"/>
      <c r="J121" s="478"/>
      <c r="K121" s="478"/>
      <c r="L121" s="478"/>
      <c r="M121" s="478"/>
      <c r="N121" s="478"/>
      <c r="O121" s="478"/>
      <c r="P121" s="478"/>
      <c r="Q121" s="478"/>
      <c r="R121" s="478"/>
      <c r="S121" s="478"/>
      <c r="T121" s="478"/>
      <c r="U121" s="478"/>
      <c r="V121" s="478"/>
      <c r="W121" s="478"/>
      <c r="X121" s="478"/>
      <c r="Y121" s="478"/>
      <c r="Z121" s="478"/>
      <c r="AA121" s="478"/>
      <c r="AB121" s="478"/>
      <c r="AC121" s="478"/>
      <c r="AD121" s="478"/>
      <c r="AE121" s="478"/>
      <c r="AF121" s="478"/>
      <c r="AG121" s="478"/>
      <c r="AH121" s="478"/>
      <c r="AI121" s="478"/>
      <c r="AJ121" s="478"/>
      <c r="AK121" s="478"/>
      <c r="AL121" s="478"/>
      <c r="AM121" s="479"/>
      <c r="AN121" s="477"/>
    </row>
    <row r="122" spans="2:40">
      <c r="B122" s="477"/>
      <c r="C122" s="478"/>
      <c r="D122" s="478"/>
      <c r="E122" s="478"/>
      <c r="F122" s="478"/>
      <c r="G122" s="478"/>
      <c r="H122" s="478"/>
      <c r="I122" s="478"/>
      <c r="J122" s="478"/>
      <c r="K122" s="478"/>
      <c r="L122" s="478"/>
      <c r="M122" s="478"/>
      <c r="N122" s="478"/>
      <c r="O122" s="478"/>
      <c r="P122" s="478"/>
      <c r="Q122" s="478"/>
      <c r="R122" s="478"/>
      <c r="S122" s="478"/>
      <c r="T122" s="478"/>
      <c r="U122" s="478"/>
      <c r="V122" s="478"/>
      <c r="W122" s="478"/>
      <c r="X122" s="478"/>
      <c r="Y122" s="478"/>
      <c r="Z122" s="478"/>
      <c r="AA122" s="478"/>
      <c r="AB122" s="478"/>
      <c r="AC122" s="478"/>
      <c r="AD122" s="478"/>
      <c r="AE122" s="478"/>
      <c r="AF122" s="478"/>
      <c r="AG122" s="478"/>
      <c r="AH122" s="478"/>
      <c r="AI122" s="478"/>
      <c r="AJ122" s="478"/>
      <c r="AK122" s="478"/>
      <c r="AL122" s="478"/>
      <c r="AM122" s="479"/>
      <c r="AN122" s="477"/>
    </row>
    <row r="123" spans="2:40">
      <c r="B123" s="477"/>
      <c r="C123" s="478"/>
      <c r="D123" s="478"/>
      <c r="E123" s="478"/>
      <c r="F123" s="478"/>
      <c r="G123" s="478"/>
      <c r="H123" s="478"/>
      <c r="I123" s="478"/>
      <c r="J123" s="478"/>
      <c r="K123" s="478"/>
      <c r="L123" s="478"/>
      <c r="M123" s="478"/>
      <c r="N123" s="478"/>
      <c r="O123" s="478"/>
      <c r="P123" s="478"/>
      <c r="Q123" s="478"/>
      <c r="R123" s="478"/>
      <c r="S123" s="478"/>
      <c r="T123" s="478"/>
      <c r="U123" s="478"/>
      <c r="V123" s="478"/>
      <c r="W123" s="478"/>
      <c r="X123" s="478"/>
      <c r="Y123" s="478"/>
      <c r="Z123" s="478"/>
      <c r="AA123" s="478"/>
      <c r="AB123" s="478"/>
      <c r="AC123" s="478"/>
      <c r="AD123" s="478"/>
      <c r="AE123" s="478"/>
      <c r="AF123" s="478"/>
      <c r="AG123" s="478"/>
      <c r="AH123" s="478"/>
      <c r="AI123" s="478"/>
      <c r="AJ123" s="478"/>
      <c r="AK123" s="478"/>
      <c r="AL123" s="478"/>
      <c r="AM123" s="479"/>
      <c r="AN123" s="477"/>
    </row>
    <row r="124" spans="2:40">
      <c r="B124" s="477"/>
      <c r="C124" s="478"/>
      <c r="D124" s="478"/>
      <c r="E124" s="478"/>
      <c r="F124" s="478"/>
      <c r="G124" s="478"/>
      <c r="H124" s="478"/>
      <c r="I124" s="478"/>
      <c r="J124" s="478"/>
      <c r="K124" s="478"/>
      <c r="L124" s="478"/>
      <c r="M124" s="478"/>
      <c r="N124" s="478"/>
      <c r="O124" s="478"/>
      <c r="P124" s="478"/>
      <c r="Q124" s="478"/>
      <c r="R124" s="478"/>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9"/>
      <c r="AN124" s="477"/>
    </row>
    <row r="125" spans="2:40">
      <c r="B125" s="477"/>
      <c r="C125" s="478"/>
      <c r="D125" s="478"/>
      <c r="E125" s="478"/>
      <c r="F125" s="478"/>
      <c r="G125" s="478"/>
      <c r="H125" s="478"/>
      <c r="I125" s="478"/>
      <c r="J125" s="478"/>
      <c r="K125" s="478"/>
      <c r="L125" s="478"/>
      <c r="M125" s="478"/>
      <c r="N125" s="478"/>
      <c r="O125" s="478"/>
      <c r="P125" s="478"/>
      <c r="Q125" s="478"/>
      <c r="R125" s="478"/>
      <c r="S125" s="478"/>
      <c r="T125" s="478"/>
      <c r="U125" s="478"/>
      <c r="V125" s="478"/>
      <c r="W125" s="478"/>
      <c r="X125" s="478"/>
      <c r="Y125" s="478"/>
      <c r="Z125" s="478"/>
      <c r="AA125" s="478"/>
      <c r="AB125" s="478"/>
      <c r="AC125" s="478"/>
      <c r="AD125" s="478"/>
      <c r="AE125" s="478"/>
      <c r="AF125" s="478"/>
      <c r="AG125" s="478"/>
      <c r="AH125" s="478"/>
      <c r="AI125" s="478"/>
      <c r="AJ125" s="478"/>
      <c r="AK125" s="478"/>
      <c r="AL125" s="478"/>
      <c r="AM125" s="479"/>
      <c r="AN125" s="477"/>
    </row>
    <row r="126" spans="2:40">
      <c r="B126" s="477"/>
      <c r="C126" s="478"/>
      <c r="D126" s="478"/>
      <c r="E126" s="478"/>
      <c r="F126" s="478"/>
      <c r="G126" s="478"/>
      <c r="H126" s="478"/>
      <c r="I126" s="478"/>
      <c r="J126" s="478"/>
      <c r="K126" s="478"/>
      <c r="L126" s="478"/>
      <c r="M126" s="478"/>
      <c r="N126" s="478"/>
      <c r="O126" s="478"/>
      <c r="P126" s="478"/>
      <c r="Q126" s="478"/>
      <c r="R126" s="478"/>
      <c r="S126" s="478"/>
      <c r="T126" s="478"/>
      <c r="U126" s="478"/>
      <c r="V126" s="478"/>
      <c r="W126" s="478"/>
      <c r="X126" s="478"/>
      <c r="Y126" s="478"/>
      <c r="Z126" s="478"/>
      <c r="AA126" s="478"/>
      <c r="AB126" s="478"/>
      <c r="AC126" s="478"/>
      <c r="AD126" s="478"/>
      <c r="AE126" s="478"/>
      <c r="AF126" s="478"/>
      <c r="AG126" s="478"/>
      <c r="AH126" s="478"/>
      <c r="AI126" s="478"/>
      <c r="AJ126" s="478"/>
      <c r="AK126" s="478"/>
      <c r="AL126" s="478"/>
      <c r="AM126" s="479"/>
      <c r="AN126" s="477"/>
    </row>
    <row r="127" spans="2:40">
      <c r="B127" s="477"/>
      <c r="C127" s="478"/>
      <c r="D127" s="478"/>
      <c r="E127" s="478"/>
      <c r="F127" s="478"/>
      <c r="G127" s="478"/>
      <c r="H127" s="478"/>
      <c r="I127" s="478"/>
      <c r="J127" s="478"/>
      <c r="K127" s="478"/>
      <c r="L127" s="478"/>
      <c r="M127" s="478"/>
      <c r="N127" s="478"/>
      <c r="O127" s="478"/>
      <c r="P127" s="478"/>
      <c r="Q127" s="478"/>
      <c r="R127" s="478"/>
      <c r="S127" s="478"/>
      <c r="T127" s="478"/>
      <c r="U127" s="478"/>
      <c r="V127" s="478"/>
      <c r="W127" s="478"/>
      <c r="X127" s="478"/>
      <c r="Y127" s="478"/>
      <c r="Z127" s="478"/>
      <c r="AA127" s="478"/>
      <c r="AB127" s="478"/>
      <c r="AC127" s="478"/>
      <c r="AD127" s="478"/>
      <c r="AE127" s="478"/>
      <c r="AF127" s="478"/>
      <c r="AG127" s="478"/>
      <c r="AH127" s="478"/>
      <c r="AI127" s="478"/>
      <c r="AJ127" s="478"/>
      <c r="AK127" s="478"/>
      <c r="AL127" s="478"/>
      <c r="AM127" s="479"/>
      <c r="AN127" s="477"/>
    </row>
    <row r="128" spans="2:40">
      <c r="B128" s="477"/>
      <c r="C128" s="478"/>
      <c r="D128" s="478"/>
      <c r="E128" s="478"/>
      <c r="F128" s="478"/>
      <c r="G128" s="478"/>
      <c r="H128" s="478"/>
      <c r="I128" s="478"/>
      <c r="J128" s="478"/>
      <c r="K128" s="478"/>
      <c r="L128" s="478"/>
      <c r="M128" s="478"/>
      <c r="N128" s="478"/>
      <c r="O128" s="478"/>
      <c r="P128" s="478"/>
      <c r="Q128" s="478"/>
      <c r="R128" s="478"/>
      <c r="S128" s="478"/>
      <c r="T128" s="478"/>
      <c r="U128" s="478"/>
      <c r="V128" s="478"/>
      <c r="W128" s="478"/>
      <c r="X128" s="478"/>
      <c r="Y128" s="478"/>
      <c r="Z128" s="478"/>
      <c r="AA128" s="478"/>
      <c r="AB128" s="478"/>
      <c r="AC128" s="478"/>
      <c r="AD128" s="478"/>
      <c r="AE128" s="478"/>
      <c r="AF128" s="478"/>
      <c r="AG128" s="478"/>
      <c r="AH128" s="478"/>
      <c r="AI128" s="478"/>
      <c r="AJ128" s="478"/>
      <c r="AK128" s="478"/>
      <c r="AL128" s="478"/>
      <c r="AM128" s="479"/>
      <c r="AN128" s="477"/>
    </row>
    <row r="129" spans="2:40">
      <c r="B129" s="477"/>
      <c r="C129" s="478"/>
      <c r="D129" s="478"/>
      <c r="E129" s="478"/>
      <c r="F129" s="478"/>
      <c r="G129" s="478"/>
      <c r="H129" s="478"/>
      <c r="I129" s="478"/>
      <c r="J129" s="478"/>
      <c r="K129" s="478"/>
      <c r="L129" s="478"/>
      <c r="M129" s="478"/>
      <c r="N129" s="478"/>
      <c r="O129" s="478"/>
      <c r="P129" s="478"/>
      <c r="Q129" s="478"/>
      <c r="R129" s="478"/>
      <c r="S129" s="478"/>
      <c r="T129" s="478"/>
      <c r="U129" s="478"/>
      <c r="V129" s="478"/>
      <c r="W129" s="478"/>
      <c r="X129" s="478"/>
      <c r="Y129" s="478"/>
      <c r="Z129" s="478"/>
      <c r="AA129" s="478"/>
      <c r="AB129" s="478"/>
      <c r="AC129" s="478"/>
      <c r="AD129" s="478"/>
      <c r="AE129" s="478"/>
      <c r="AF129" s="478"/>
      <c r="AG129" s="478"/>
      <c r="AH129" s="478"/>
      <c r="AI129" s="478"/>
      <c r="AJ129" s="478"/>
      <c r="AK129" s="478"/>
      <c r="AL129" s="478"/>
      <c r="AM129" s="479"/>
      <c r="AN129" s="477"/>
    </row>
    <row r="130" spans="2:40">
      <c r="B130" s="477"/>
      <c r="C130" s="478"/>
      <c r="D130" s="478"/>
      <c r="E130" s="478"/>
      <c r="F130" s="478"/>
      <c r="G130" s="478"/>
      <c r="H130" s="478"/>
      <c r="I130" s="478"/>
      <c r="J130" s="478"/>
      <c r="K130" s="478"/>
      <c r="L130" s="478"/>
      <c r="M130" s="478"/>
      <c r="N130" s="478"/>
      <c r="O130" s="478"/>
      <c r="P130" s="478"/>
      <c r="Q130" s="478"/>
      <c r="R130" s="478"/>
      <c r="S130" s="478"/>
      <c r="T130" s="478"/>
      <c r="U130" s="478"/>
      <c r="V130" s="478"/>
      <c r="W130" s="478"/>
      <c r="X130" s="478"/>
      <c r="Y130" s="478"/>
      <c r="Z130" s="478"/>
      <c r="AA130" s="478"/>
      <c r="AB130" s="478"/>
      <c r="AC130" s="478"/>
      <c r="AD130" s="478"/>
      <c r="AE130" s="478"/>
      <c r="AF130" s="478"/>
      <c r="AG130" s="478"/>
      <c r="AH130" s="478"/>
      <c r="AI130" s="478"/>
      <c r="AJ130" s="478"/>
      <c r="AK130" s="478"/>
      <c r="AL130" s="478"/>
      <c r="AM130" s="479"/>
      <c r="AN130" s="477"/>
    </row>
    <row r="131" spans="2:40">
      <c r="B131" s="477"/>
      <c r="C131" s="478"/>
      <c r="D131" s="478"/>
      <c r="E131" s="478"/>
      <c r="F131" s="478"/>
      <c r="G131" s="478"/>
      <c r="H131" s="478"/>
      <c r="I131" s="478"/>
      <c r="J131" s="478"/>
      <c r="K131" s="478"/>
      <c r="L131" s="478"/>
      <c r="M131" s="478"/>
      <c r="N131" s="478"/>
      <c r="O131" s="478"/>
      <c r="P131" s="478"/>
      <c r="Q131" s="478"/>
      <c r="R131" s="478"/>
      <c r="S131" s="478"/>
      <c r="T131" s="478"/>
      <c r="U131" s="478"/>
      <c r="V131" s="478"/>
      <c r="W131" s="478"/>
      <c r="X131" s="478"/>
      <c r="Y131" s="478"/>
      <c r="Z131" s="478"/>
      <c r="AA131" s="478"/>
      <c r="AB131" s="478"/>
      <c r="AC131" s="478"/>
      <c r="AD131" s="478"/>
      <c r="AE131" s="478"/>
      <c r="AF131" s="478"/>
      <c r="AG131" s="478"/>
      <c r="AH131" s="478"/>
      <c r="AI131" s="478"/>
      <c r="AJ131" s="478"/>
      <c r="AK131" s="478"/>
      <c r="AL131" s="478"/>
      <c r="AM131" s="479"/>
      <c r="AN131" s="477"/>
    </row>
    <row r="132" spans="2:40">
      <c r="B132" s="477"/>
      <c r="C132" s="478"/>
      <c r="D132" s="478"/>
      <c r="E132" s="478"/>
      <c r="F132" s="478"/>
      <c r="G132" s="478"/>
      <c r="H132" s="478"/>
      <c r="I132" s="478"/>
      <c r="J132" s="478"/>
      <c r="K132" s="478"/>
      <c r="L132" s="478"/>
      <c r="M132" s="478"/>
      <c r="N132" s="478"/>
      <c r="O132" s="478"/>
      <c r="P132" s="478"/>
      <c r="Q132" s="478"/>
      <c r="R132" s="478"/>
      <c r="S132" s="478"/>
      <c r="T132" s="478"/>
      <c r="U132" s="478"/>
      <c r="V132" s="478"/>
      <c r="W132" s="478"/>
      <c r="X132" s="478"/>
      <c r="Y132" s="478"/>
      <c r="Z132" s="478"/>
      <c r="AA132" s="478"/>
      <c r="AB132" s="478"/>
      <c r="AC132" s="478"/>
      <c r="AD132" s="478"/>
      <c r="AE132" s="478"/>
      <c r="AF132" s="478"/>
      <c r="AG132" s="478"/>
      <c r="AH132" s="478"/>
      <c r="AI132" s="478"/>
      <c r="AJ132" s="478"/>
      <c r="AK132" s="478"/>
      <c r="AL132" s="478"/>
      <c r="AM132" s="479"/>
      <c r="AN132" s="477"/>
    </row>
    <row r="133" spans="2:40">
      <c r="B133" s="477"/>
      <c r="C133" s="478"/>
      <c r="D133" s="478"/>
      <c r="E133" s="478"/>
      <c r="F133" s="478"/>
      <c r="G133" s="478"/>
      <c r="H133" s="478"/>
      <c r="I133" s="478"/>
      <c r="J133" s="478"/>
      <c r="K133" s="478"/>
      <c r="L133" s="478"/>
      <c r="M133" s="478"/>
      <c r="N133" s="478"/>
      <c r="O133" s="478"/>
      <c r="P133" s="478"/>
      <c r="Q133" s="478"/>
      <c r="R133" s="478"/>
      <c r="S133" s="478"/>
      <c r="T133" s="478"/>
      <c r="U133" s="478"/>
      <c r="V133" s="478"/>
      <c r="W133" s="478"/>
      <c r="X133" s="478"/>
      <c r="Y133" s="478"/>
      <c r="Z133" s="478"/>
      <c r="AA133" s="478"/>
      <c r="AB133" s="478"/>
      <c r="AC133" s="478"/>
      <c r="AD133" s="478"/>
      <c r="AE133" s="478"/>
      <c r="AF133" s="478"/>
      <c r="AG133" s="478"/>
      <c r="AH133" s="478"/>
      <c r="AI133" s="478"/>
      <c r="AJ133" s="478"/>
      <c r="AK133" s="478"/>
      <c r="AL133" s="478"/>
      <c r="AM133" s="479"/>
      <c r="AN133" s="477"/>
    </row>
    <row r="134" spans="2:40">
      <c r="B134" s="477"/>
      <c r="C134" s="478"/>
      <c r="D134" s="478"/>
      <c r="E134" s="478"/>
      <c r="F134" s="478"/>
      <c r="G134" s="478"/>
      <c r="H134" s="478"/>
      <c r="I134" s="478"/>
      <c r="J134" s="478"/>
      <c r="K134" s="478"/>
      <c r="L134" s="478"/>
      <c r="M134" s="478"/>
      <c r="N134" s="478"/>
      <c r="O134" s="478"/>
      <c r="P134" s="478"/>
      <c r="Q134" s="478"/>
      <c r="R134" s="478"/>
      <c r="S134" s="478"/>
      <c r="T134" s="478"/>
      <c r="U134" s="478"/>
      <c r="V134" s="478"/>
      <c r="W134" s="478"/>
      <c r="X134" s="478"/>
      <c r="Y134" s="478"/>
      <c r="Z134" s="478"/>
      <c r="AA134" s="478"/>
      <c r="AB134" s="478"/>
      <c r="AC134" s="478"/>
      <c r="AD134" s="478"/>
      <c r="AE134" s="478"/>
      <c r="AF134" s="478"/>
      <c r="AG134" s="478"/>
      <c r="AH134" s="478"/>
      <c r="AI134" s="478"/>
      <c r="AJ134" s="478"/>
      <c r="AK134" s="478"/>
      <c r="AL134" s="478"/>
      <c r="AM134" s="479"/>
      <c r="AN134" s="477"/>
    </row>
    <row r="135" spans="2:40">
      <c r="B135" s="477"/>
      <c r="C135" s="478"/>
      <c r="D135" s="478"/>
      <c r="E135" s="478"/>
      <c r="F135" s="478"/>
      <c r="G135" s="478"/>
      <c r="H135" s="478"/>
      <c r="I135" s="478"/>
      <c r="J135" s="478"/>
      <c r="K135" s="478"/>
      <c r="L135" s="478"/>
      <c r="M135" s="478"/>
      <c r="N135" s="478"/>
      <c r="O135" s="478"/>
      <c r="P135" s="478"/>
      <c r="Q135" s="478"/>
      <c r="R135" s="478"/>
      <c r="S135" s="478"/>
      <c r="T135" s="478"/>
      <c r="U135" s="478"/>
      <c r="V135" s="478"/>
      <c r="W135" s="478"/>
      <c r="X135" s="478"/>
      <c r="Y135" s="478"/>
      <c r="Z135" s="478"/>
      <c r="AA135" s="478"/>
      <c r="AB135" s="478"/>
      <c r="AC135" s="478"/>
      <c r="AD135" s="478"/>
      <c r="AE135" s="478"/>
      <c r="AF135" s="478"/>
      <c r="AG135" s="478"/>
      <c r="AH135" s="478"/>
      <c r="AI135" s="478"/>
      <c r="AJ135" s="478"/>
      <c r="AK135" s="478"/>
      <c r="AL135" s="478"/>
      <c r="AM135" s="479"/>
      <c r="AN135" s="477"/>
    </row>
    <row r="136" spans="2:40">
      <c r="B136" s="477"/>
      <c r="C136" s="478"/>
      <c r="D136" s="478"/>
      <c r="E136" s="478"/>
      <c r="F136" s="478"/>
      <c r="G136" s="478"/>
      <c r="H136" s="478"/>
      <c r="I136" s="478"/>
      <c r="J136" s="478"/>
      <c r="K136" s="478"/>
      <c r="L136" s="478"/>
      <c r="M136" s="478"/>
      <c r="N136" s="478"/>
      <c r="O136" s="478"/>
      <c r="P136" s="478"/>
      <c r="Q136" s="478"/>
      <c r="R136" s="478"/>
      <c r="S136" s="478"/>
      <c r="T136" s="478"/>
      <c r="U136" s="478"/>
      <c r="V136" s="478"/>
      <c r="W136" s="478"/>
      <c r="X136" s="478"/>
      <c r="Y136" s="478"/>
      <c r="Z136" s="478"/>
      <c r="AA136" s="478"/>
      <c r="AB136" s="478"/>
      <c r="AC136" s="478"/>
      <c r="AD136" s="478"/>
      <c r="AE136" s="478"/>
      <c r="AF136" s="478"/>
      <c r="AG136" s="478"/>
      <c r="AH136" s="478"/>
      <c r="AI136" s="478"/>
      <c r="AJ136" s="478"/>
      <c r="AK136" s="478"/>
      <c r="AL136" s="478"/>
      <c r="AM136" s="479"/>
      <c r="AN136" s="477"/>
    </row>
    <row r="137" spans="2:40">
      <c r="B137" s="477"/>
      <c r="C137" s="478"/>
      <c r="D137" s="478"/>
      <c r="E137" s="478"/>
      <c r="F137" s="478"/>
      <c r="G137" s="478"/>
      <c r="H137" s="478"/>
      <c r="I137" s="478"/>
      <c r="J137" s="478"/>
      <c r="K137" s="478"/>
      <c r="L137" s="478"/>
      <c r="M137" s="478"/>
      <c r="N137" s="478"/>
      <c r="O137" s="478"/>
      <c r="P137" s="478"/>
      <c r="Q137" s="478"/>
      <c r="R137" s="478"/>
      <c r="S137" s="478"/>
      <c r="T137" s="478"/>
      <c r="U137" s="478"/>
      <c r="V137" s="478"/>
      <c r="W137" s="478"/>
      <c r="X137" s="478"/>
      <c r="Y137" s="478"/>
      <c r="Z137" s="478"/>
      <c r="AA137" s="478"/>
      <c r="AB137" s="478"/>
      <c r="AC137" s="478"/>
      <c r="AD137" s="478"/>
      <c r="AE137" s="478"/>
      <c r="AF137" s="478"/>
      <c r="AG137" s="478"/>
      <c r="AH137" s="478"/>
      <c r="AI137" s="478"/>
      <c r="AJ137" s="478"/>
      <c r="AK137" s="478"/>
      <c r="AL137" s="478"/>
      <c r="AM137" s="479"/>
      <c r="AN137" s="477"/>
    </row>
    <row r="138" spans="2:40">
      <c r="B138" s="477"/>
      <c r="C138" s="478"/>
      <c r="D138" s="478"/>
      <c r="E138" s="478"/>
      <c r="F138" s="478"/>
      <c r="G138" s="478"/>
      <c r="H138" s="478"/>
      <c r="I138" s="478"/>
      <c r="J138" s="478"/>
      <c r="K138" s="478"/>
      <c r="L138" s="478"/>
      <c r="M138" s="478"/>
      <c r="N138" s="478"/>
      <c r="O138" s="478"/>
      <c r="P138" s="478"/>
      <c r="Q138" s="478"/>
      <c r="R138" s="478"/>
      <c r="S138" s="478"/>
      <c r="T138" s="478"/>
      <c r="U138" s="478"/>
      <c r="V138" s="478"/>
      <c r="W138" s="478"/>
      <c r="X138" s="478"/>
      <c r="Y138" s="478"/>
      <c r="Z138" s="478"/>
      <c r="AA138" s="478"/>
      <c r="AB138" s="478"/>
      <c r="AC138" s="478"/>
      <c r="AD138" s="478"/>
      <c r="AE138" s="478"/>
      <c r="AF138" s="478"/>
      <c r="AG138" s="478"/>
      <c r="AH138" s="478"/>
      <c r="AI138" s="478"/>
      <c r="AJ138" s="478"/>
      <c r="AK138" s="478"/>
      <c r="AL138" s="478"/>
      <c r="AM138" s="479"/>
      <c r="AN138" s="477"/>
    </row>
    <row r="139" spans="2:40">
      <c r="B139" s="480"/>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c r="AA139" s="481"/>
      <c r="AB139" s="481"/>
      <c r="AC139" s="481"/>
      <c r="AD139" s="481"/>
      <c r="AE139" s="481"/>
      <c r="AF139" s="481"/>
      <c r="AG139" s="481"/>
      <c r="AH139" s="481"/>
      <c r="AI139" s="481"/>
      <c r="AJ139" s="481"/>
      <c r="AK139" s="481"/>
      <c r="AL139" s="481"/>
      <c r="AM139" s="482"/>
      <c r="AN139" s="477"/>
    </row>
  </sheetData>
  <mergeCells count="2">
    <mergeCell ref="B3:AM8"/>
    <mergeCell ref="B76:AM81"/>
  </mergeCells>
  <printOptions horizontalCentered="1" verticalCentered="1"/>
  <pageMargins left="0.23622047244094491" right="0.23622047244094491" top="0.74803149606299213" bottom="0.74803149606299213" header="0.31496062992125984" footer="0.31496062992125984"/>
  <pageSetup paperSize="9" scale="27"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BC30-3832-41DC-AC89-59121ADE621E}">
  <sheetPr>
    <pageSetUpPr fitToPage="1"/>
  </sheetPr>
  <dimension ref="A1:AW318"/>
  <sheetViews>
    <sheetView view="pageBreakPreview" zoomScale="60" zoomScaleNormal="70" workbookViewId="0">
      <selection activeCell="AS16" sqref="AS16"/>
    </sheetView>
  </sheetViews>
  <sheetFormatPr defaultRowHeight="13.15" outlineLevelRow="1"/>
  <cols>
    <col min="2" max="2" width="21.42578125" customWidth="1"/>
    <col min="3" max="3" width="7.5703125" customWidth="1"/>
    <col min="4" max="4" width="11.5703125" hidden="1" customWidth="1"/>
    <col min="5" max="5" width="12.42578125" hidden="1" customWidth="1"/>
    <col min="6" max="6" width="13.5703125" style="428" hidden="1" customWidth="1"/>
    <col min="7" max="8" width="13" hidden="1" customWidth="1"/>
    <col min="9" max="9" width="12.42578125" hidden="1" customWidth="1"/>
    <col min="10" max="12" width="13.5703125" hidden="1" customWidth="1"/>
    <col min="13" max="16" width="14.42578125" hidden="1" customWidth="1"/>
    <col min="17" max="29" width="14.28515625" hidden="1" customWidth="1"/>
    <col min="30" max="38" width="15.140625" customWidth="1"/>
    <col min="39" max="39" width="15.140625" style="642" customWidth="1"/>
    <col min="40" max="41" width="15.140625" style="643" customWidth="1"/>
    <col min="42" max="43" width="15.140625" style="642" customWidth="1"/>
    <col min="44" max="44" width="13.7109375" style="642" customWidth="1"/>
    <col min="45" max="49" width="13.7109375" customWidth="1"/>
  </cols>
  <sheetData>
    <row r="1" spans="1:49" ht="18" customHeight="1">
      <c r="AA1" s="413"/>
      <c r="AB1" s="429"/>
      <c r="AE1" s="413"/>
      <c r="AF1" s="429"/>
    </row>
    <row r="2" spans="1:49" ht="37.15" customHeight="1">
      <c r="AD2" s="692" t="s">
        <v>25</v>
      </c>
      <c r="AE2" s="692"/>
      <c r="AF2" s="692"/>
      <c r="AG2" s="692"/>
      <c r="AH2" s="692"/>
      <c r="AI2" s="692"/>
      <c r="AJ2" s="692"/>
      <c r="AK2" s="692"/>
      <c r="AL2" s="692"/>
      <c r="AM2" s="692"/>
      <c r="AN2" s="692"/>
      <c r="AO2" s="692"/>
      <c r="AP2" s="692"/>
    </row>
    <row r="3" spans="1:49" ht="23.45" customHeight="1">
      <c r="C3" s="430"/>
      <c r="D3" s="430"/>
      <c r="E3" s="430"/>
      <c r="F3" s="430"/>
      <c r="G3" s="430"/>
      <c r="H3" s="430"/>
      <c r="I3" s="430"/>
      <c r="J3" s="430"/>
      <c r="K3" s="430"/>
      <c r="L3" s="430"/>
      <c r="M3" s="430"/>
      <c r="N3" s="430"/>
      <c r="O3" s="430"/>
      <c r="AD3" s="693" t="s">
        <v>26</v>
      </c>
      <c r="AE3" s="693"/>
      <c r="AF3" s="693"/>
      <c r="AG3" s="693"/>
      <c r="AH3" s="693"/>
      <c r="AI3" s="693"/>
      <c r="AJ3" s="693"/>
      <c r="AK3" s="693"/>
      <c r="AL3" s="693"/>
      <c r="AM3" s="693"/>
      <c r="AN3" s="693"/>
      <c r="AO3" s="693"/>
      <c r="AP3" s="693"/>
    </row>
    <row r="4" spans="1:49" s="431" customFormat="1" ht="23.45" customHeight="1" outlineLevel="1">
      <c r="C4" s="432"/>
      <c r="D4" s="432"/>
      <c r="E4" s="432">
        <v>1</v>
      </c>
      <c r="F4" s="432">
        <v>2</v>
      </c>
      <c r="G4" s="432">
        <v>3</v>
      </c>
      <c r="H4" s="432">
        <v>4</v>
      </c>
      <c r="I4" s="432">
        <v>5</v>
      </c>
      <c r="J4" s="432">
        <v>6</v>
      </c>
      <c r="K4" s="432">
        <v>7</v>
      </c>
      <c r="L4" s="432">
        <v>8</v>
      </c>
      <c r="M4" s="432">
        <v>9</v>
      </c>
      <c r="N4" s="432">
        <v>10</v>
      </c>
      <c r="O4" s="432">
        <v>11</v>
      </c>
      <c r="P4" s="432">
        <v>12</v>
      </c>
      <c r="Q4" s="432" t="s">
        <v>27</v>
      </c>
      <c r="R4" s="432">
        <v>25</v>
      </c>
      <c r="S4" s="432">
        <v>26</v>
      </c>
      <c r="T4" s="432">
        <v>27</v>
      </c>
      <c r="U4" s="432">
        <v>28</v>
      </c>
      <c r="V4" s="432">
        <v>29</v>
      </c>
      <c r="W4" s="432">
        <v>30</v>
      </c>
      <c r="X4" s="432">
        <v>31</v>
      </c>
      <c r="Y4" s="432">
        <v>32</v>
      </c>
      <c r="Z4" s="432">
        <v>33</v>
      </c>
      <c r="AA4" s="432">
        <v>34</v>
      </c>
      <c r="AB4" s="432">
        <v>35</v>
      </c>
      <c r="AC4" s="432">
        <v>36</v>
      </c>
      <c r="AD4" s="432" t="s">
        <v>28</v>
      </c>
      <c r="AE4" s="432">
        <v>37</v>
      </c>
      <c r="AF4" s="432">
        <v>38</v>
      </c>
      <c r="AG4" s="432">
        <v>39</v>
      </c>
      <c r="AH4" s="432">
        <v>40</v>
      </c>
      <c r="AI4" s="432">
        <v>41</v>
      </c>
      <c r="AJ4" s="432">
        <v>42</v>
      </c>
      <c r="AK4" s="432">
        <v>43</v>
      </c>
      <c r="AL4" s="432">
        <v>44</v>
      </c>
      <c r="AM4" s="432">
        <v>45</v>
      </c>
      <c r="AN4" s="432">
        <v>46</v>
      </c>
      <c r="AO4" s="432">
        <v>47</v>
      </c>
      <c r="AP4" s="432">
        <v>48</v>
      </c>
      <c r="AQ4" s="432">
        <v>49</v>
      </c>
      <c r="AS4" s="644"/>
      <c r="AT4" s="644"/>
    </row>
    <row r="5" spans="1:49" ht="35.1" customHeight="1">
      <c r="B5" s="433" t="s">
        <v>29</v>
      </c>
      <c r="C5" s="433"/>
      <c r="D5" s="434"/>
      <c r="E5" s="435">
        <v>44774</v>
      </c>
      <c r="F5" s="435">
        <v>44805</v>
      </c>
      <c r="G5" s="435">
        <v>44835</v>
      </c>
      <c r="H5" s="435">
        <v>44866</v>
      </c>
      <c r="I5" s="435">
        <v>44896</v>
      </c>
      <c r="J5" s="435">
        <v>44927</v>
      </c>
      <c r="K5" s="435">
        <v>44958</v>
      </c>
      <c r="L5" s="435">
        <v>44986</v>
      </c>
      <c r="M5" s="435">
        <v>45017</v>
      </c>
      <c r="N5" s="435">
        <v>45047</v>
      </c>
      <c r="O5" s="435">
        <v>45078</v>
      </c>
      <c r="P5" s="435">
        <v>45108</v>
      </c>
      <c r="Q5" s="435">
        <v>45474</v>
      </c>
      <c r="R5" s="435">
        <v>45505</v>
      </c>
      <c r="S5" s="435">
        <v>45536</v>
      </c>
      <c r="T5" s="435">
        <v>45566</v>
      </c>
      <c r="U5" s="435">
        <v>45597</v>
      </c>
      <c r="V5" s="435">
        <v>45627</v>
      </c>
      <c r="W5" s="435">
        <v>45658</v>
      </c>
      <c r="X5" s="435">
        <v>45689</v>
      </c>
      <c r="Y5" s="435">
        <v>45717</v>
      </c>
      <c r="Z5" s="435">
        <v>45748</v>
      </c>
      <c r="AA5" s="435">
        <v>45778</v>
      </c>
      <c r="AB5" s="435">
        <v>45809</v>
      </c>
      <c r="AC5" s="435">
        <v>45839</v>
      </c>
      <c r="AD5" s="435">
        <v>45839</v>
      </c>
      <c r="AE5" s="435">
        <v>45870</v>
      </c>
      <c r="AF5" s="435">
        <v>45901</v>
      </c>
      <c r="AG5" s="435">
        <v>45931</v>
      </c>
      <c r="AH5" s="435">
        <v>45962</v>
      </c>
      <c r="AI5" s="435">
        <v>45992</v>
      </c>
      <c r="AJ5" s="435">
        <v>46023</v>
      </c>
      <c r="AK5" s="435">
        <v>46054</v>
      </c>
      <c r="AL5" s="435">
        <v>46082</v>
      </c>
      <c r="AM5" s="435">
        <v>46113</v>
      </c>
      <c r="AN5" s="435">
        <v>46143</v>
      </c>
      <c r="AO5" s="435">
        <v>46174</v>
      </c>
      <c r="AP5" s="435">
        <v>46204</v>
      </c>
      <c r="AQ5" s="435">
        <v>46235</v>
      </c>
      <c r="AS5" s="643"/>
      <c r="AT5" s="643"/>
      <c r="AU5" s="642"/>
      <c r="AV5" s="642"/>
      <c r="AW5" s="642"/>
    </row>
    <row r="6" spans="1:49" ht="35.1" customHeight="1">
      <c r="A6" s="436"/>
      <c r="B6" s="694" t="s">
        <v>30</v>
      </c>
      <c r="C6" s="437" t="s">
        <v>31</v>
      </c>
      <c r="D6" s="438" t="s">
        <v>32</v>
      </c>
      <c r="E6" s="439">
        <v>1037503.1915151533</v>
      </c>
      <c r="F6" s="440">
        <v>1556254.7872727299</v>
      </c>
      <c r="G6" s="425">
        <v>1556254.7872727299</v>
      </c>
      <c r="H6" s="425">
        <v>1556254.7872727299</v>
      </c>
      <c r="I6" s="425">
        <v>1556254.7872727299</v>
      </c>
      <c r="J6" s="425">
        <v>1556254.7872727299</v>
      </c>
      <c r="K6" s="425">
        <v>1556254.7872727299</v>
      </c>
      <c r="L6" s="425">
        <v>1556254.7872727299</v>
      </c>
      <c r="M6" s="425">
        <v>1556254.7872727299</v>
      </c>
      <c r="N6" s="425">
        <v>1556254.7872727299</v>
      </c>
      <c r="O6" s="425">
        <v>1556254.7872727299</v>
      </c>
      <c r="P6" s="425">
        <f>1556254.78727273/30*10</f>
        <v>518751.59575757664</v>
      </c>
      <c r="Q6" s="425">
        <v>1269132.2305999997</v>
      </c>
      <c r="R6" s="425">
        <v>1586415.2882499995</v>
      </c>
      <c r="S6" s="425">
        <v>1586415.2882499995</v>
      </c>
      <c r="T6" s="425">
        <v>1586415.2882499995</v>
      </c>
      <c r="U6" s="425">
        <f t="shared" ref="U6" si="0">$AO6</f>
        <v>1525907.0063888889</v>
      </c>
      <c r="V6" s="425">
        <v>1586415.2882499995</v>
      </c>
      <c r="W6" s="425">
        <v>1586415.2882499995</v>
      </c>
      <c r="X6" s="425">
        <v>1586415.2882499995</v>
      </c>
      <c r="Y6" s="425">
        <v>1586415.2882499995</v>
      </c>
      <c r="Z6" s="425">
        <v>1586415.2882499995</v>
      </c>
      <c r="AA6" s="425">
        <v>1586415.2882499995</v>
      </c>
      <c r="AB6" s="425">
        <v>1586415.2882499995</v>
      </c>
      <c r="AC6" s="425">
        <v>317283.05764999992</v>
      </c>
      <c r="AD6" s="425">
        <v>1220725.6051111112</v>
      </c>
      <c r="AE6" s="425">
        <v>1525907.0063888889</v>
      </c>
      <c r="AF6" s="425">
        <f t="shared" ref="AF6:AO6" si="1">$AT6</f>
        <v>1525907.0063888889</v>
      </c>
      <c r="AG6" s="425">
        <v>1525907.0063888889</v>
      </c>
      <c r="AH6" s="425">
        <v>1525907.0063888889</v>
      </c>
      <c r="AI6" s="425">
        <v>1525907.0063888889</v>
      </c>
      <c r="AJ6" s="425">
        <v>1525907.0063888889</v>
      </c>
      <c r="AK6" s="425">
        <f t="shared" si="1"/>
        <v>1525907.0063888889</v>
      </c>
      <c r="AL6" s="425">
        <f t="shared" si="1"/>
        <v>1525907.0063888889</v>
      </c>
      <c r="AM6" s="425">
        <f t="shared" si="1"/>
        <v>1525907.0063888889</v>
      </c>
      <c r="AN6" s="425">
        <f t="shared" si="1"/>
        <v>1525907.0063888889</v>
      </c>
      <c r="AO6" s="425">
        <f t="shared" si="1"/>
        <v>1525907.0063888889</v>
      </c>
      <c r="AP6" s="425">
        <f>$AU$6</f>
        <v>305181.4012777778</v>
      </c>
      <c r="AQ6" s="425"/>
      <c r="AR6" s="645">
        <f>SUM(AD6:AP6)</f>
        <v>18310884.076666668</v>
      </c>
      <c r="AS6" s="643">
        <v>18310884.076666668</v>
      </c>
      <c r="AT6" s="643">
        <f>AS6/12</f>
        <v>1525907.0063888889</v>
      </c>
      <c r="AU6" s="646">
        <f>AT6/30*6</f>
        <v>305181.4012777778</v>
      </c>
      <c r="AV6" s="646">
        <f>AT6/30*24</f>
        <v>1220725.6051111112</v>
      </c>
      <c r="AW6" s="646">
        <f>SUM(AU6:AV6)</f>
        <v>1525907.0063888889</v>
      </c>
    </row>
    <row r="7" spans="1:49" ht="35.1" customHeight="1">
      <c r="A7" s="436"/>
      <c r="B7" s="691"/>
      <c r="C7" s="441" t="s">
        <v>33</v>
      </c>
      <c r="D7" s="442" t="s">
        <v>34</v>
      </c>
      <c r="E7" s="426">
        <v>46913.72</v>
      </c>
      <c r="F7" s="426">
        <v>406924.85</v>
      </c>
      <c r="G7" s="426">
        <v>463411.74</v>
      </c>
      <c r="H7" s="426">
        <v>529425.99</v>
      </c>
      <c r="I7" s="426">
        <v>549858.82671050786</v>
      </c>
      <c r="J7" s="426">
        <v>595088.38</v>
      </c>
      <c r="K7" s="426">
        <v>1199430.8910848005</v>
      </c>
      <c r="L7" s="426">
        <v>1362135.8642003781</v>
      </c>
      <c r="M7" s="426">
        <v>1460872.3005083478</v>
      </c>
      <c r="N7" s="426">
        <v>1319827.098629467</v>
      </c>
      <c r="O7" s="426">
        <v>1270484.1858529039</v>
      </c>
      <c r="P7" s="426">
        <f>'[1]Preços e Quantidades'!$G$152</f>
        <v>1432552.8264712214</v>
      </c>
      <c r="Q7" s="426">
        <v>996036.25466666673</v>
      </c>
      <c r="R7" s="426">
        <v>1250732.7226666666</v>
      </c>
      <c r="S7" s="426">
        <v>1280533.1189999997</v>
      </c>
      <c r="T7" s="426">
        <v>1282101.9636666665</v>
      </c>
      <c r="U7" s="426">
        <v>1283823.8670000001</v>
      </c>
      <c r="V7" s="426">
        <v>1213630.5326666664</v>
      </c>
      <c r="W7" s="426">
        <v>1231114.9110000001</v>
      </c>
      <c r="X7" s="426">
        <v>1290820.6026666667</v>
      </c>
      <c r="Y7" s="426">
        <v>1233378.4770000002</v>
      </c>
      <c r="Z7" s="426">
        <v>1246962.8736666669</v>
      </c>
      <c r="AA7" s="426">
        <v>1351334.4385681807</v>
      </c>
      <c r="AB7" s="426">
        <v>1290727.959</v>
      </c>
      <c r="AC7" s="426">
        <v>274952.26690151397</v>
      </c>
      <c r="AD7" s="426">
        <v>1036060.1123333338</v>
      </c>
      <c r="AE7" s="426">
        <v>1403557.891115814</v>
      </c>
      <c r="AF7" s="426">
        <f>'[1]Preços e Quantidades'!$G$152</f>
        <v>1432552.8264712214</v>
      </c>
      <c r="AG7" s="426">
        <v>1439360.9058045547</v>
      </c>
      <c r="AH7" s="426">
        <v>1411640.5408045545</v>
      </c>
      <c r="AI7" s="426">
        <v>1361814.4074712214</v>
      </c>
      <c r="AJ7" s="426">
        <v>1322567.1408045548</v>
      </c>
      <c r="AK7" s="426"/>
      <c r="AL7" s="426"/>
      <c r="AM7" s="426"/>
      <c r="AN7" s="426"/>
      <c r="AO7" s="426"/>
      <c r="AP7" s="426"/>
      <c r="AQ7" s="444"/>
      <c r="AR7" s="645">
        <f t="shared" ref="AR7:AR13" si="2">SUM(AD7:AP7)</f>
        <v>9407553.824805256</v>
      </c>
      <c r="AS7" s="643"/>
      <c r="AT7" s="643"/>
      <c r="AU7" s="642"/>
      <c r="AV7" s="642"/>
      <c r="AW7" s="642"/>
    </row>
    <row r="8" spans="1:49" ht="35.1" customHeight="1">
      <c r="A8" s="428"/>
      <c r="B8" s="694" t="s">
        <v>35</v>
      </c>
      <c r="C8" s="437" t="s">
        <v>31</v>
      </c>
      <c r="D8" s="445" t="s">
        <v>32</v>
      </c>
      <c r="E8" s="439">
        <v>489032.6925090907</v>
      </c>
      <c r="F8" s="440">
        <v>733549.03876363602</v>
      </c>
      <c r="G8" s="425">
        <v>733549.03876363602</v>
      </c>
      <c r="H8" s="425">
        <v>733549.03876363602</v>
      </c>
      <c r="I8" s="425">
        <v>733549.03876363602</v>
      </c>
      <c r="J8" s="425">
        <v>733549.03876363602</v>
      </c>
      <c r="K8" s="425">
        <v>733549.03876363602</v>
      </c>
      <c r="L8" s="425">
        <v>733549.03876363602</v>
      </c>
      <c r="M8" s="425">
        <v>733549.03876363602</v>
      </c>
      <c r="N8" s="425">
        <v>733549.03876363602</v>
      </c>
      <c r="O8" s="425">
        <v>733549.03876363602</v>
      </c>
      <c r="P8" s="425">
        <f>733549.038763636/30*10</f>
        <v>244516.34625454535</v>
      </c>
      <c r="Q8" s="425">
        <v>755607.10533333337</v>
      </c>
      <c r="R8" s="425">
        <v>944508.88249999995</v>
      </c>
      <c r="S8" s="425">
        <v>944508.88249999995</v>
      </c>
      <c r="T8" s="425">
        <v>944508.88249999995</v>
      </c>
      <c r="U8" s="425">
        <v>944508.88249999995</v>
      </c>
      <c r="V8" s="425">
        <v>944508.88249999995</v>
      </c>
      <c r="W8" s="425">
        <v>944508.88249999995</v>
      </c>
      <c r="X8" s="425">
        <v>944508.88249999995</v>
      </c>
      <c r="Y8" s="425">
        <v>944508.88249999995</v>
      </c>
      <c r="Z8" s="425">
        <v>944508.88249999995</v>
      </c>
      <c r="AA8" s="425">
        <v>944508.88249999995</v>
      </c>
      <c r="AB8" s="425">
        <v>944508.88249999995</v>
      </c>
      <c r="AC8" s="425">
        <v>188901.77650000001</v>
      </c>
      <c r="AD8" s="425">
        <v>821196.85042666621</v>
      </c>
      <c r="AE8" s="425">
        <v>1026496.0630333329</v>
      </c>
      <c r="AF8" s="425">
        <f t="shared" ref="AF8:AO8" si="3">$AT8</f>
        <v>1026496.0630333329</v>
      </c>
      <c r="AG8" s="425">
        <v>1026496.0630333329</v>
      </c>
      <c r="AH8" s="425">
        <v>1026496.0630333329</v>
      </c>
      <c r="AI8" s="425">
        <v>1026496.0630333329</v>
      </c>
      <c r="AJ8" s="425">
        <v>1026496.0630333329</v>
      </c>
      <c r="AK8" s="425">
        <f t="shared" si="3"/>
        <v>1026496.0630333329</v>
      </c>
      <c r="AL8" s="425">
        <f t="shared" si="3"/>
        <v>1026496.0630333329</v>
      </c>
      <c r="AM8" s="425">
        <f t="shared" si="3"/>
        <v>1026496.0630333329</v>
      </c>
      <c r="AN8" s="425">
        <f t="shared" si="3"/>
        <v>1026496.0630333329</v>
      </c>
      <c r="AO8" s="425">
        <f t="shared" si="3"/>
        <v>1026496.0630333329</v>
      </c>
      <c r="AP8" s="425">
        <f>$AU$8</f>
        <v>205299.21260666655</v>
      </c>
      <c r="AQ8" s="425"/>
      <c r="AR8" s="645">
        <f t="shared" si="2"/>
        <v>12317952.756399995</v>
      </c>
      <c r="AS8" s="643">
        <v>12317952.756399995</v>
      </c>
      <c r="AT8" s="643">
        <f>AS8/12</f>
        <v>1026496.0630333329</v>
      </c>
      <c r="AU8" s="646">
        <f>AT8/30*6</f>
        <v>205299.21260666655</v>
      </c>
      <c r="AV8" s="646">
        <f>AT8/30*24</f>
        <v>821196.85042666621</v>
      </c>
      <c r="AW8" s="646">
        <f>SUM(AU8:AV8)</f>
        <v>1026496.0630333328</v>
      </c>
    </row>
    <row r="9" spans="1:49" ht="35.1" customHeight="1">
      <c r="A9" s="428"/>
      <c r="B9" s="691"/>
      <c r="C9" s="441" t="s">
        <v>33</v>
      </c>
      <c r="D9" s="442" t="s">
        <v>34</v>
      </c>
      <c r="E9" s="426">
        <v>116828.3</v>
      </c>
      <c r="F9" s="426">
        <v>201832.13</v>
      </c>
      <c r="G9" s="426">
        <v>228734.68</v>
      </c>
      <c r="H9" s="426">
        <v>227639.39</v>
      </c>
      <c r="I9" s="426">
        <v>230252.10656666671</v>
      </c>
      <c r="J9" s="426">
        <v>237781.55</v>
      </c>
      <c r="K9" s="426">
        <v>330763.36378817208</v>
      </c>
      <c r="L9" s="426">
        <v>369581.68628817197</v>
      </c>
      <c r="M9" s="426">
        <v>396822.37795483868</v>
      </c>
      <c r="N9" s="426">
        <v>407746.21878817206</v>
      </c>
      <c r="O9" s="426">
        <v>406407.33262150543</v>
      </c>
      <c r="P9" s="426">
        <f>'[1]Preços e Quantidades'!$G$153</f>
        <v>907395.9463533333</v>
      </c>
      <c r="Q9" s="426">
        <v>613563.97437627823</v>
      </c>
      <c r="R9" s="426">
        <v>758419.44172034774</v>
      </c>
      <c r="S9" s="426">
        <v>873330.12369970349</v>
      </c>
      <c r="T9" s="426">
        <v>796004.09760637023</v>
      </c>
      <c r="U9" s="426">
        <v>802132.20599630894</v>
      </c>
      <c r="V9" s="426">
        <v>792488.10930637014</v>
      </c>
      <c r="W9" s="426">
        <v>817526.81141811248</v>
      </c>
      <c r="X9" s="426">
        <v>810848.34512043966</v>
      </c>
      <c r="Y9" s="426">
        <v>789206.22386666667</v>
      </c>
      <c r="Z9" s="426">
        <v>793343.7862933334</v>
      </c>
      <c r="AA9" s="426">
        <v>798539.89812666678</v>
      </c>
      <c r="AB9" s="426">
        <v>836013.30896000005</v>
      </c>
      <c r="AC9" s="426">
        <v>161912.89369444444</v>
      </c>
      <c r="AD9" s="426">
        <v>720189.10178777785</v>
      </c>
      <c r="AE9" s="426">
        <v>970056.97842533339</v>
      </c>
      <c r="AF9" s="426">
        <f>'[1]Preços e Quantidades'!$G$153</f>
        <v>907395.9463533333</v>
      </c>
      <c r="AG9" s="426">
        <v>994206.54715333343</v>
      </c>
      <c r="AH9" s="426">
        <v>898971.07239999995</v>
      </c>
      <c r="AI9" s="426">
        <v>919039.37239999999</v>
      </c>
      <c r="AJ9" s="426">
        <v>902852.48239999998</v>
      </c>
      <c r="AK9" s="426"/>
      <c r="AL9" s="426"/>
      <c r="AM9" s="426"/>
      <c r="AN9" s="426"/>
      <c r="AO9" s="426"/>
      <c r="AP9" s="426"/>
      <c r="AQ9" s="443"/>
      <c r="AR9" s="645">
        <f t="shared" si="2"/>
        <v>6312711.5009197779</v>
      </c>
      <c r="AS9" s="643"/>
      <c r="AT9" s="643"/>
      <c r="AU9" s="642"/>
      <c r="AV9" s="642"/>
      <c r="AW9" s="642"/>
    </row>
    <row r="10" spans="1:49" ht="35.1" customHeight="1">
      <c r="A10" s="436"/>
      <c r="B10" s="694" t="s">
        <v>36</v>
      </c>
      <c r="C10" s="437" t="s">
        <v>31</v>
      </c>
      <c r="D10" s="445" t="s">
        <v>32</v>
      </c>
      <c r="E10" s="439">
        <v>20433.812727272736</v>
      </c>
      <c r="F10" s="440">
        <v>30650.71909090909</v>
      </c>
      <c r="G10" s="425">
        <v>30650.71909090909</v>
      </c>
      <c r="H10" s="425">
        <v>30650.71909090909</v>
      </c>
      <c r="I10" s="425">
        <v>30650.71909090909</v>
      </c>
      <c r="J10" s="425">
        <v>30650.71909090909</v>
      </c>
      <c r="K10" s="425">
        <v>30650.71909090909</v>
      </c>
      <c r="L10" s="425">
        <v>30650.71909090909</v>
      </c>
      <c r="M10" s="425">
        <v>30650.71909090909</v>
      </c>
      <c r="N10" s="425">
        <v>30650.71909090909</v>
      </c>
      <c r="O10" s="425">
        <v>30650.71909090909</v>
      </c>
      <c r="P10" s="425">
        <f>30650.7190909091/30*10</f>
        <v>10216.906363636368</v>
      </c>
      <c r="Q10" s="425">
        <v>22477.194000000003</v>
      </c>
      <c r="R10" s="425">
        <v>28096.492500000004</v>
      </c>
      <c r="S10" s="425">
        <v>28096.492500000004</v>
      </c>
      <c r="T10" s="425">
        <v>28096.492500000004</v>
      </c>
      <c r="U10" s="425">
        <v>28096.492500000004</v>
      </c>
      <c r="V10" s="425">
        <v>28096.492500000004</v>
      </c>
      <c r="W10" s="425">
        <v>28096.492500000004</v>
      </c>
      <c r="X10" s="425">
        <v>28096.492500000004</v>
      </c>
      <c r="Y10" s="425">
        <v>28096.492500000004</v>
      </c>
      <c r="Z10" s="425">
        <v>28096.492500000004</v>
      </c>
      <c r="AA10" s="425">
        <v>28096.492500000004</v>
      </c>
      <c r="AB10" s="425">
        <v>28096.492500000004</v>
      </c>
      <c r="AC10" s="425">
        <v>5619.2985000000008</v>
      </c>
      <c r="AD10" s="425">
        <v>22477.194000000003</v>
      </c>
      <c r="AE10" s="425">
        <v>28096.492500000004</v>
      </c>
      <c r="AF10" s="425">
        <f t="shared" ref="AF10:AO10" si="4">$AT10</f>
        <v>28096.492500000004</v>
      </c>
      <c r="AG10" s="425">
        <v>28096.492500000004</v>
      </c>
      <c r="AH10" s="425">
        <v>28096.492500000004</v>
      </c>
      <c r="AI10" s="425">
        <v>28096.492500000004</v>
      </c>
      <c r="AJ10" s="425">
        <v>28096.492500000004</v>
      </c>
      <c r="AK10" s="425">
        <f t="shared" si="4"/>
        <v>28096.492500000004</v>
      </c>
      <c r="AL10" s="425">
        <f t="shared" si="4"/>
        <v>28096.492500000004</v>
      </c>
      <c r="AM10" s="425">
        <f t="shared" si="4"/>
        <v>28096.492500000004</v>
      </c>
      <c r="AN10" s="425">
        <f t="shared" si="4"/>
        <v>28096.492500000004</v>
      </c>
      <c r="AO10" s="425">
        <f t="shared" si="4"/>
        <v>28096.492500000004</v>
      </c>
      <c r="AP10" s="425">
        <f>$AU$10</f>
        <v>5619.2985000000008</v>
      </c>
      <c r="AQ10" s="425"/>
      <c r="AR10" s="645">
        <f t="shared" si="2"/>
        <v>337157.91</v>
      </c>
      <c r="AS10" s="643">
        <v>337157.91000000003</v>
      </c>
      <c r="AT10" s="643">
        <f>AS10/12</f>
        <v>28096.492500000004</v>
      </c>
      <c r="AU10" s="646">
        <f>AT10/30*6</f>
        <v>5619.2985000000008</v>
      </c>
      <c r="AV10" s="646">
        <f>AT10/30*24</f>
        <v>22477.194000000003</v>
      </c>
      <c r="AW10" s="646">
        <f>SUM(AU10:AV10)</f>
        <v>28096.492500000004</v>
      </c>
    </row>
    <row r="11" spans="1:49" ht="35.1" customHeight="1" thickBot="1">
      <c r="A11" s="436"/>
      <c r="B11" s="690"/>
      <c r="C11" s="446" t="s">
        <v>33</v>
      </c>
      <c r="D11" s="447" t="s">
        <v>34</v>
      </c>
      <c r="E11" s="427">
        <v>0</v>
      </c>
      <c r="F11" s="427">
        <v>0</v>
      </c>
      <c r="G11" s="427">
        <v>0</v>
      </c>
      <c r="H11" s="427">
        <v>0</v>
      </c>
      <c r="I11" s="427">
        <v>3713.8700000000003</v>
      </c>
      <c r="J11" s="427">
        <v>62182.99</v>
      </c>
      <c r="K11" s="427">
        <v>2726.21</v>
      </c>
      <c r="L11" s="427">
        <v>14037.6</v>
      </c>
      <c r="M11" s="427">
        <v>96542.9</v>
      </c>
      <c r="N11" s="427">
        <v>604</v>
      </c>
      <c r="O11" s="427">
        <v>66515.350000000006</v>
      </c>
      <c r="P11" s="427">
        <f>'[1]Preços e Quantidades'!$G$154</f>
        <v>78759.740000000005</v>
      </c>
      <c r="Q11" s="426">
        <v>800</v>
      </c>
      <c r="R11" s="426">
        <v>0</v>
      </c>
      <c r="S11" s="426">
        <v>48628.639999999999</v>
      </c>
      <c r="T11" s="426">
        <v>112440</v>
      </c>
      <c r="U11" s="426">
        <v>138841.77000000002</v>
      </c>
      <c r="V11" s="426">
        <v>0</v>
      </c>
      <c r="W11" s="426">
        <v>0</v>
      </c>
      <c r="X11" s="426">
        <v>0</v>
      </c>
      <c r="Y11" s="426">
        <v>8366.5299999999988</v>
      </c>
      <c r="Z11" s="426">
        <v>14783.48</v>
      </c>
      <c r="AA11" s="426">
        <v>7150</v>
      </c>
      <c r="AB11" s="426">
        <v>6068.25</v>
      </c>
      <c r="AC11" s="426">
        <v>0</v>
      </c>
      <c r="AD11" s="426">
        <v>0</v>
      </c>
      <c r="AE11" s="426">
        <v>0</v>
      </c>
      <c r="AF11" s="426">
        <f>'[1]Preços e Quantidades'!$G$154</f>
        <v>78759.740000000005</v>
      </c>
      <c r="AG11" s="426">
        <v>6211.55</v>
      </c>
      <c r="AH11" s="426">
        <v>38256.14</v>
      </c>
      <c r="AI11" s="426">
        <v>38488.300000000003</v>
      </c>
      <c r="AJ11" s="426">
        <v>7800</v>
      </c>
      <c r="AK11" s="426"/>
      <c r="AL11" s="426"/>
      <c r="AM11" s="426"/>
      <c r="AN11" s="426"/>
      <c r="AO11" s="426"/>
      <c r="AP11" s="426"/>
      <c r="AQ11" s="448"/>
      <c r="AR11" s="645">
        <f t="shared" si="2"/>
        <v>169515.73</v>
      </c>
      <c r="AS11" s="643"/>
      <c r="AT11" s="643"/>
      <c r="AU11" s="642"/>
      <c r="AV11" s="642"/>
      <c r="AW11" s="642"/>
    </row>
    <row r="12" spans="1:49" ht="35.1" customHeight="1" thickTop="1">
      <c r="A12" s="436"/>
      <c r="B12" s="695" t="s">
        <v>37</v>
      </c>
      <c r="C12" s="449" t="s">
        <v>31</v>
      </c>
      <c r="D12" s="450" t="s">
        <v>32</v>
      </c>
      <c r="E12" s="451">
        <f>SUM(E10,E8,E6)</f>
        <v>1546969.6967515168</v>
      </c>
      <c r="F12" s="451">
        <f t="shared" ref="F12:U13" si="5">SUM(F10,F8,F6)</f>
        <v>2320454.5451272749</v>
      </c>
      <c r="G12" s="451">
        <f t="shared" si="5"/>
        <v>2320454.5451272749</v>
      </c>
      <c r="H12" s="451">
        <f t="shared" si="5"/>
        <v>2320454.5451272749</v>
      </c>
      <c r="I12" s="451">
        <f t="shared" si="5"/>
        <v>2320454.5451272749</v>
      </c>
      <c r="J12" s="451">
        <f t="shared" si="5"/>
        <v>2320454.5451272749</v>
      </c>
      <c r="K12" s="451">
        <f t="shared" si="5"/>
        <v>2320454.5451272749</v>
      </c>
      <c r="L12" s="451">
        <f t="shared" si="5"/>
        <v>2320454.5451272749</v>
      </c>
      <c r="M12" s="451">
        <f t="shared" si="5"/>
        <v>2320454.5451272749</v>
      </c>
      <c r="N12" s="451">
        <f t="shared" si="5"/>
        <v>2320454.5451272749</v>
      </c>
      <c r="O12" s="451">
        <f t="shared" si="5"/>
        <v>2320454.5451272749</v>
      </c>
      <c r="P12" s="451">
        <f>SUM(P10,P8,P6)</f>
        <v>773484.84837575839</v>
      </c>
      <c r="Q12" s="451">
        <f>SUM(Q10,Q8,Q6)</f>
        <v>2047216.5299333329</v>
      </c>
      <c r="R12" s="451">
        <f>SUM(R10,R8,R6)</f>
        <v>2559020.6632499993</v>
      </c>
      <c r="S12" s="451">
        <f t="shared" ref="S12:AD13" si="6">SUM(S10,S8,S6)</f>
        <v>2559020.6632499993</v>
      </c>
      <c r="T12" s="451">
        <f t="shared" si="6"/>
        <v>2559020.6632499993</v>
      </c>
      <c r="U12" s="451">
        <f t="shared" si="6"/>
        <v>2498512.3813888887</v>
      </c>
      <c r="V12" s="451">
        <f t="shared" si="6"/>
        <v>2559020.6632499993</v>
      </c>
      <c r="W12" s="451">
        <f t="shared" si="6"/>
        <v>2559020.6632499993</v>
      </c>
      <c r="X12" s="451">
        <f t="shared" si="6"/>
        <v>2559020.6632499993</v>
      </c>
      <c r="Y12" s="451">
        <f t="shared" si="6"/>
        <v>2559020.6632499993</v>
      </c>
      <c r="Z12" s="451">
        <f t="shared" si="6"/>
        <v>2559020.6632499993</v>
      </c>
      <c r="AA12" s="451">
        <f t="shared" si="6"/>
        <v>2559020.6632499993</v>
      </c>
      <c r="AB12" s="451">
        <f t="shared" si="6"/>
        <v>2559020.6632499993</v>
      </c>
      <c r="AC12" s="647">
        <f t="shared" si="6"/>
        <v>511804.13264999993</v>
      </c>
      <c r="AD12" s="451">
        <f>SUM(AD10,AD8,AD6)</f>
        <v>2064399.6495377775</v>
      </c>
      <c r="AE12" s="451">
        <f t="shared" ref="AE12:AP13" si="7">SUM(AE10,AE8,AE6)</f>
        <v>2580499.5619222219</v>
      </c>
      <c r="AF12" s="451">
        <f t="shared" si="7"/>
        <v>2580499.5619222219</v>
      </c>
      <c r="AG12" s="451">
        <f t="shared" si="7"/>
        <v>2580499.5619222219</v>
      </c>
      <c r="AH12" s="451">
        <f t="shared" si="7"/>
        <v>2580499.5619222219</v>
      </c>
      <c r="AI12" s="451">
        <f t="shared" si="7"/>
        <v>2580499.5619222219</v>
      </c>
      <c r="AJ12" s="451">
        <f t="shared" si="7"/>
        <v>2580499.5619222219</v>
      </c>
      <c r="AK12" s="451">
        <f t="shared" si="7"/>
        <v>2580499.5619222219</v>
      </c>
      <c r="AL12" s="451">
        <f t="shared" si="7"/>
        <v>2580499.5619222219</v>
      </c>
      <c r="AM12" s="451">
        <f t="shared" si="7"/>
        <v>2580499.5619222219</v>
      </c>
      <c r="AN12" s="451">
        <f t="shared" si="7"/>
        <v>2580499.5619222219</v>
      </c>
      <c r="AO12" s="451">
        <f t="shared" si="7"/>
        <v>2580499.5619222219</v>
      </c>
      <c r="AP12" s="647">
        <f t="shared" si="7"/>
        <v>516099.91238444438</v>
      </c>
      <c r="AQ12" s="647"/>
      <c r="AR12" s="645">
        <f t="shared" si="2"/>
        <v>30965994.743066665</v>
      </c>
      <c r="AS12" s="643"/>
      <c r="AT12" s="643"/>
      <c r="AU12" s="642"/>
      <c r="AV12" s="642"/>
      <c r="AW12" s="642"/>
    </row>
    <row r="13" spans="1:49" ht="35.1" customHeight="1" thickBot="1">
      <c r="A13" s="436"/>
      <c r="B13" s="696"/>
      <c r="C13" s="452" t="s">
        <v>33</v>
      </c>
      <c r="D13" s="453" t="s">
        <v>34</v>
      </c>
      <c r="E13" s="454">
        <f>SUM(E11,E9,E7)</f>
        <v>163742.02000000002</v>
      </c>
      <c r="F13" s="454">
        <f t="shared" si="5"/>
        <v>608756.98</v>
      </c>
      <c r="G13" s="454">
        <f t="shared" si="5"/>
        <v>692146.41999999993</v>
      </c>
      <c r="H13" s="454">
        <f t="shared" si="5"/>
        <v>757065.38</v>
      </c>
      <c r="I13" s="454">
        <f t="shared" si="5"/>
        <v>783824.80327717459</v>
      </c>
      <c r="J13" s="454">
        <f t="shared" si="5"/>
        <v>895052.91999999993</v>
      </c>
      <c r="K13" s="454">
        <f t="shared" si="5"/>
        <v>1532920.4648729726</v>
      </c>
      <c r="L13" s="454">
        <f t="shared" si="5"/>
        <v>1745755.1504885501</v>
      </c>
      <c r="M13" s="454">
        <f t="shared" si="5"/>
        <v>1954237.5784631865</v>
      </c>
      <c r="N13" s="454">
        <f t="shared" si="5"/>
        <v>1728177.3174176391</v>
      </c>
      <c r="O13" s="454">
        <f t="shared" si="5"/>
        <v>1743406.8684744094</v>
      </c>
      <c r="P13" s="454">
        <f t="shared" si="5"/>
        <v>2418708.5128245549</v>
      </c>
      <c r="Q13" s="454">
        <f t="shared" si="5"/>
        <v>1610400.229042945</v>
      </c>
      <c r="R13" s="454">
        <f t="shared" si="5"/>
        <v>2009152.1643870142</v>
      </c>
      <c r="S13" s="454">
        <f t="shared" si="5"/>
        <v>2202491.8826997033</v>
      </c>
      <c r="T13" s="454">
        <f t="shared" si="5"/>
        <v>2190546.0612730365</v>
      </c>
      <c r="U13" s="454">
        <f t="shared" si="5"/>
        <v>2224797.842996309</v>
      </c>
      <c r="V13" s="454">
        <f t="shared" si="6"/>
        <v>2006118.6419730366</v>
      </c>
      <c r="W13" s="454">
        <f t="shared" si="6"/>
        <v>2048641.7224181127</v>
      </c>
      <c r="X13" s="454">
        <f t="shared" si="6"/>
        <v>2101668.9477871065</v>
      </c>
      <c r="Y13" s="454">
        <f t="shared" si="6"/>
        <v>2030951.2308666669</v>
      </c>
      <c r="Z13" s="454">
        <f t="shared" si="6"/>
        <v>2055090.1399600003</v>
      </c>
      <c r="AA13" s="454">
        <f t="shared" si="6"/>
        <v>2157024.3366948473</v>
      </c>
      <c r="AB13" s="454">
        <f t="shared" si="6"/>
        <v>2132809.5179599999</v>
      </c>
      <c r="AC13" s="648">
        <f t="shared" si="6"/>
        <v>436865.16059595841</v>
      </c>
      <c r="AD13" s="454">
        <f t="shared" si="6"/>
        <v>1756249.2141211117</v>
      </c>
      <c r="AE13" s="454">
        <f t="shared" si="7"/>
        <v>2373614.8695411473</v>
      </c>
      <c r="AF13" s="454">
        <f t="shared" si="7"/>
        <v>2418708.5128245549</v>
      </c>
      <c r="AG13" s="454">
        <f t="shared" si="7"/>
        <v>2439779.0029578879</v>
      </c>
      <c r="AH13" s="454">
        <f t="shared" si="7"/>
        <v>2348867.7532045543</v>
      </c>
      <c r="AI13" s="454">
        <f t="shared" si="7"/>
        <v>2319342.0798712214</v>
      </c>
      <c r="AJ13" s="454">
        <f t="shared" si="7"/>
        <v>2233219.6232045549</v>
      </c>
      <c r="AK13" s="454">
        <f t="shared" si="7"/>
        <v>0</v>
      </c>
      <c r="AL13" s="454">
        <f t="shared" si="7"/>
        <v>0</v>
      </c>
      <c r="AM13" s="454">
        <f t="shared" si="7"/>
        <v>0</v>
      </c>
      <c r="AN13" s="454">
        <f t="shared" si="7"/>
        <v>0</v>
      </c>
      <c r="AO13" s="454">
        <f t="shared" si="7"/>
        <v>0</v>
      </c>
      <c r="AP13" s="648">
        <f t="shared" si="7"/>
        <v>0</v>
      </c>
      <c r="AQ13" s="649"/>
      <c r="AR13" s="645">
        <f t="shared" si="2"/>
        <v>15889781.055725034</v>
      </c>
      <c r="AS13" s="643"/>
      <c r="AT13" s="643"/>
      <c r="AU13" s="642"/>
      <c r="AV13" s="642"/>
      <c r="AW13" s="642"/>
    </row>
    <row r="14" spans="1:49" ht="35.1" customHeight="1" thickTop="1">
      <c r="A14" s="436"/>
      <c r="B14" s="690" t="s">
        <v>38</v>
      </c>
      <c r="C14" s="455" t="s">
        <v>31</v>
      </c>
      <c r="D14" s="456" t="s">
        <v>32</v>
      </c>
      <c r="E14" s="457">
        <f>SUM(E10,E8,E6)</f>
        <v>1546969.6967515168</v>
      </c>
      <c r="F14" s="457">
        <f>SUM(F10,F8,F6)+E14</f>
        <v>3867424.2418787917</v>
      </c>
      <c r="G14" s="457">
        <f>SUM(G10,G8,G6)+F14</f>
        <v>6187878.7870060671</v>
      </c>
      <c r="H14" s="457">
        <f>SUM(H10,H8,H6)+G14</f>
        <v>8508333.3321333416</v>
      </c>
      <c r="I14" s="457">
        <f t="shared" ref="I14:P14" si="8">SUM(I10,I8,I6)+H14</f>
        <v>10828787.877260616</v>
      </c>
      <c r="J14" s="457">
        <f t="shared" si="8"/>
        <v>13149242.422387891</v>
      </c>
      <c r="K14" s="457">
        <f t="shared" si="8"/>
        <v>15469696.967515165</v>
      </c>
      <c r="L14" s="457">
        <f t="shared" si="8"/>
        <v>17790151.512642439</v>
      </c>
      <c r="M14" s="457">
        <f t="shared" si="8"/>
        <v>20110606.057769716</v>
      </c>
      <c r="N14" s="457">
        <f t="shared" si="8"/>
        <v>22431060.602896992</v>
      </c>
      <c r="O14" s="457">
        <f t="shared" si="8"/>
        <v>24751515.148024268</v>
      </c>
      <c r="P14" s="457">
        <f t="shared" si="8"/>
        <v>25524999.996400028</v>
      </c>
      <c r="Q14" s="457">
        <f>SUM(Q10,Q8,Q6)</f>
        <v>2047216.5299333329</v>
      </c>
      <c r="R14" s="457">
        <f t="shared" ref="R14:AC14" si="9">SUM(R10,R8,R6)+Q14</f>
        <v>4606237.1931833327</v>
      </c>
      <c r="S14" s="457">
        <f t="shared" si="9"/>
        <v>7165257.856433332</v>
      </c>
      <c r="T14" s="457">
        <f t="shared" si="9"/>
        <v>9724278.5196833313</v>
      </c>
      <c r="U14" s="457">
        <f t="shared" si="9"/>
        <v>12222790.901072219</v>
      </c>
      <c r="V14" s="457">
        <f t="shared" si="9"/>
        <v>14781811.564322218</v>
      </c>
      <c r="W14" s="457">
        <f t="shared" si="9"/>
        <v>17340832.227572218</v>
      </c>
      <c r="X14" s="457">
        <f t="shared" si="9"/>
        <v>19899852.890822217</v>
      </c>
      <c r="Y14" s="457">
        <f t="shared" si="9"/>
        <v>22458873.554072216</v>
      </c>
      <c r="Z14" s="457">
        <f t="shared" si="9"/>
        <v>25017894.217322215</v>
      </c>
      <c r="AA14" s="457">
        <f t="shared" si="9"/>
        <v>27576914.880572215</v>
      </c>
      <c r="AB14" s="457">
        <f t="shared" si="9"/>
        <v>30135935.543822214</v>
      </c>
      <c r="AC14" s="650">
        <f t="shared" si="9"/>
        <v>30647739.676472213</v>
      </c>
      <c r="AD14" s="457">
        <f>SUM(AD10,AD8,AD6)</f>
        <v>2064399.6495377775</v>
      </c>
      <c r="AE14" s="457">
        <f t="shared" ref="AE14:AP14" si="10">SUM(AE10,AE8,AE6)+AD14</f>
        <v>4644899.2114599999</v>
      </c>
      <c r="AF14" s="457">
        <f t="shared" si="10"/>
        <v>7225398.7733822223</v>
      </c>
      <c r="AG14" s="457">
        <f t="shared" si="10"/>
        <v>9805898.3353044447</v>
      </c>
      <c r="AH14" s="457">
        <f t="shared" si="10"/>
        <v>12386397.897226667</v>
      </c>
      <c r="AI14" s="457">
        <f t="shared" si="10"/>
        <v>14966897.459148889</v>
      </c>
      <c r="AJ14" s="457">
        <f t="shared" si="10"/>
        <v>17547397.02107111</v>
      </c>
      <c r="AK14" s="457">
        <f t="shared" si="10"/>
        <v>20127896.582993332</v>
      </c>
      <c r="AL14" s="457">
        <f t="shared" si="10"/>
        <v>22708396.144915555</v>
      </c>
      <c r="AM14" s="457">
        <f t="shared" si="10"/>
        <v>25288895.706837777</v>
      </c>
      <c r="AN14" s="457">
        <f t="shared" si="10"/>
        <v>27869395.268759999</v>
      </c>
      <c r="AO14" s="457">
        <f t="shared" si="10"/>
        <v>30449894.830682222</v>
      </c>
      <c r="AP14" s="650">
        <f t="shared" si="10"/>
        <v>30965994.743066665</v>
      </c>
      <c r="AQ14" s="647"/>
      <c r="AR14" s="645"/>
      <c r="AS14" s="643"/>
      <c r="AT14" s="643"/>
      <c r="AU14" s="642"/>
      <c r="AV14" s="642"/>
      <c r="AW14" s="642"/>
    </row>
    <row r="15" spans="1:49" ht="35.1" customHeight="1">
      <c r="A15" s="436"/>
      <c r="B15" s="691"/>
      <c r="C15" s="441" t="s">
        <v>33</v>
      </c>
      <c r="D15" s="442" t="s">
        <v>34</v>
      </c>
      <c r="E15" s="458">
        <f>SUM(E11,E9,E7)</f>
        <v>163742.02000000002</v>
      </c>
      <c r="F15" s="458">
        <f t="shared" ref="F15:P15" si="11">E15+F13</f>
        <v>772499</v>
      </c>
      <c r="G15" s="458">
        <f t="shared" si="11"/>
        <v>1464645.42</v>
      </c>
      <c r="H15" s="458">
        <f t="shared" si="11"/>
        <v>2221710.7999999998</v>
      </c>
      <c r="I15" s="458">
        <f t="shared" si="11"/>
        <v>3005535.6032771743</v>
      </c>
      <c r="J15" s="458">
        <f t="shared" si="11"/>
        <v>3900588.5232771742</v>
      </c>
      <c r="K15" s="458">
        <f t="shared" si="11"/>
        <v>5433508.9881501468</v>
      </c>
      <c r="L15" s="458">
        <f t="shared" si="11"/>
        <v>7179264.1386386966</v>
      </c>
      <c r="M15" s="458">
        <f t="shared" si="11"/>
        <v>9133501.7171018831</v>
      </c>
      <c r="N15" s="458">
        <f t="shared" si="11"/>
        <v>10861679.034519522</v>
      </c>
      <c r="O15" s="458">
        <f t="shared" si="11"/>
        <v>12605085.902993931</v>
      </c>
      <c r="P15" s="458">
        <f t="shared" si="11"/>
        <v>15023794.415818486</v>
      </c>
      <c r="Q15" s="458">
        <f>Q13</f>
        <v>1610400.229042945</v>
      </c>
      <c r="R15" s="458">
        <f t="shared" ref="R15:AC15" si="12">Q15+R13</f>
        <v>3619552.3934299592</v>
      </c>
      <c r="S15" s="458">
        <f t="shared" si="12"/>
        <v>5822044.276129663</v>
      </c>
      <c r="T15" s="458">
        <f t="shared" si="12"/>
        <v>8012590.3374026995</v>
      </c>
      <c r="U15" s="458">
        <f t="shared" si="12"/>
        <v>10237388.180399008</v>
      </c>
      <c r="V15" s="458">
        <f t="shared" si="12"/>
        <v>12243506.822372045</v>
      </c>
      <c r="W15" s="458">
        <f t="shared" si="12"/>
        <v>14292148.544790158</v>
      </c>
      <c r="X15" s="458">
        <f t="shared" si="12"/>
        <v>16393817.492577264</v>
      </c>
      <c r="Y15" s="458">
        <f t="shared" si="12"/>
        <v>18424768.723443933</v>
      </c>
      <c r="Z15" s="458">
        <f t="shared" si="12"/>
        <v>20479858.863403931</v>
      </c>
      <c r="AA15" s="458">
        <f t="shared" si="12"/>
        <v>22636883.200098779</v>
      </c>
      <c r="AB15" s="458">
        <f t="shared" si="12"/>
        <v>24769692.71805878</v>
      </c>
      <c r="AC15" s="426">
        <f t="shared" si="12"/>
        <v>25206557.878654737</v>
      </c>
      <c r="AD15" s="458">
        <f>AD13</f>
        <v>1756249.2141211117</v>
      </c>
      <c r="AE15" s="458">
        <f>AD15+AE13</f>
        <v>4129864.0836622589</v>
      </c>
      <c r="AF15" s="458">
        <f>AE15+AF13</f>
        <v>6548572.5964868143</v>
      </c>
      <c r="AG15" s="458">
        <f>AF15+AG13</f>
        <v>8988351.5994447023</v>
      </c>
      <c r="AH15" s="458">
        <f t="shared" ref="AH15:AJ15" si="13">AG15+AH13</f>
        <v>11337219.352649257</v>
      </c>
      <c r="AI15" s="458">
        <f t="shared" si="13"/>
        <v>13656561.432520479</v>
      </c>
      <c r="AJ15" s="458">
        <f t="shared" si="13"/>
        <v>15889781.055725034</v>
      </c>
      <c r="AK15" s="458"/>
      <c r="AL15" s="458"/>
      <c r="AM15" s="458"/>
      <c r="AN15" s="458"/>
      <c r="AO15" s="458"/>
      <c r="AP15" s="426"/>
      <c r="AQ15" s="444"/>
      <c r="AR15" s="645"/>
      <c r="AS15" s="643"/>
      <c r="AT15" s="643"/>
      <c r="AU15" s="642"/>
      <c r="AV15" s="642"/>
      <c r="AW15" s="642"/>
    </row>
    <row r="16" spans="1:49" ht="12.75" customHeight="1"/>
    <row r="17" spans="39:39">
      <c r="AM17" s="643"/>
    </row>
    <row r="18" spans="39:39">
      <c r="AM18" s="643"/>
    </row>
    <row r="19" spans="39:39">
      <c r="AM19" s="643"/>
    </row>
    <row r="20" spans="39:39">
      <c r="AM20" s="643"/>
    </row>
    <row r="27" spans="39:39" ht="12" customHeight="1"/>
    <row r="48" spans="18:28">
      <c r="R48" t="s">
        <v>39</v>
      </c>
      <c r="U48" s="428" t="s">
        <v>40</v>
      </c>
      <c r="X48" t="s">
        <v>41</v>
      </c>
      <c r="AB48" t="s">
        <v>42</v>
      </c>
    </row>
    <row r="53" spans="21:22">
      <c r="U53" s="413">
        <v>10178228.984625589</v>
      </c>
    </row>
    <row r="54" spans="21:22">
      <c r="U54" s="413">
        <f>U53-V15</f>
        <v>-2065277.8377464563</v>
      </c>
    </row>
    <row r="55" spans="21:22" ht="13.9">
      <c r="U55" s="459"/>
      <c r="V55" s="460"/>
    </row>
    <row r="144" spans="2:2">
      <c r="B144" s="461"/>
    </row>
    <row r="145" spans="2:2">
      <c r="B145" s="461"/>
    </row>
    <row r="318" spans="11:11">
      <c r="K318" s="462"/>
    </row>
  </sheetData>
  <mergeCells count="7">
    <mergeCell ref="B14:B15"/>
    <mergeCell ref="AD2:AP2"/>
    <mergeCell ref="AD3:AP3"/>
    <mergeCell ref="B6:B7"/>
    <mergeCell ref="B8:B9"/>
    <mergeCell ref="B10:B11"/>
    <mergeCell ref="B12:B13"/>
  </mergeCells>
  <conditionalFormatting sqref="V55">
    <cfRule type="cellIs" dxfId="25" priority="1" operator="lessThan">
      <formula>0</formula>
    </cfRule>
    <cfRule type="cellIs" dxfId="24" priority="2" operator="lessThan">
      <formula>0</formula>
    </cfRule>
  </conditionalFormatting>
  <printOptions horizontalCentered="1"/>
  <pageMargins left="0.35433070866141736" right="0.35433070866141736" top="0.19685039370078741" bottom="0.19685039370078741" header="0.23622047244094491" footer="0.11811023622047245"/>
  <pageSetup paperSize="9" scale="6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84AB-8362-40FA-AB1B-57B10928EF14}">
  <sheetPr codeName="Planilha4">
    <pageSetUpPr fitToPage="1"/>
  </sheetPr>
  <dimension ref="A1:AL963"/>
  <sheetViews>
    <sheetView showGridLines="0" view="pageBreakPreview" topLeftCell="B1" zoomScale="80" zoomScaleNormal="80" zoomScaleSheetLayoutView="80" workbookViewId="0">
      <pane ySplit="2244" topLeftCell="A248" activePane="bottomLeft"/>
      <selection pane="bottomLeft" activeCell="N255" sqref="N255:N256"/>
      <selection activeCell="E27" sqref="E27"/>
    </sheetView>
  </sheetViews>
  <sheetFormatPr defaultColWidth="9.140625" defaultRowHeight="14.45" outlineLevelCol="1"/>
  <cols>
    <col min="1" max="1" width="9.140625" style="2"/>
    <col min="2" max="2" width="9.140625" style="1" customWidth="1"/>
    <col min="3" max="3" width="9.140625" style="2" customWidth="1"/>
    <col min="4" max="4" width="7.5703125" style="147" customWidth="1"/>
    <col min="5" max="5" width="44.28515625" style="2" customWidth="1"/>
    <col min="6" max="8" width="11" style="4" customWidth="1"/>
    <col min="9" max="18" width="11" style="148" customWidth="1" outlineLevel="1"/>
    <col min="19" max="21" width="9.7109375" style="148" customWidth="1" outlineLevel="1"/>
    <col min="22" max="22" width="14.85546875" style="2" customWidth="1"/>
    <col min="23" max="24" width="15" style="149" customWidth="1"/>
    <col min="25" max="25" width="14.140625" style="82" customWidth="1"/>
    <col min="26" max="26" width="19" style="2" customWidth="1"/>
    <col min="27" max="27" width="14" style="2" customWidth="1"/>
    <col min="28" max="28" width="13" style="266" customWidth="1"/>
    <col min="29" max="29" width="18.85546875" style="266" customWidth="1"/>
    <col min="30" max="30" width="18.42578125" style="636" customWidth="1"/>
    <col min="31" max="16384" width="9.140625" style="515"/>
  </cols>
  <sheetData>
    <row r="1" spans="1:38" ht="24" customHeight="1">
      <c r="D1" s="699" t="s">
        <v>43</v>
      </c>
      <c r="E1" s="700"/>
      <c r="F1" s="700"/>
      <c r="G1" s="700"/>
      <c r="H1" s="700"/>
      <c r="I1" s="700"/>
      <c r="J1" s="700"/>
      <c r="K1" s="700"/>
      <c r="L1" s="700"/>
      <c r="M1" s="700"/>
      <c r="N1" s="700"/>
      <c r="O1" s="700"/>
      <c r="P1" s="700"/>
      <c r="Q1" s="700"/>
      <c r="R1" s="700"/>
      <c r="S1" s="700"/>
      <c r="T1" s="700"/>
      <c r="U1" s="700"/>
      <c r="V1" s="700"/>
      <c r="W1" s="700"/>
      <c r="X1" s="700"/>
      <c r="Y1" s="673"/>
      <c r="Z1" s="487" t="s">
        <v>44</v>
      </c>
      <c r="AA1" s="488"/>
      <c r="AB1" s="489"/>
      <c r="AC1" s="489"/>
      <c r="AD1" s="657"/>
    </row>
    <row r="2" spans="1:38" s="516" customFormat="1" ht="15" customHeight="1">
      <c r="A2" s="4"/>
      <c r="B2" s="1"/>
      <c r="C2" s="4"/>
      <c r="D2" s="701" t="s">
        <v>2</v>
      </c>
      <c r="E2" s="701" t="s">
        <v>3</v>
      </c>
      <c r="F2" s="701" t="s">
        <v>45</v>
      </c>
      <c r="G2" s="675"/>
      <c r="H2" s="703" t="s">
        <v>46</v>
      </c>
      <c r="I2" s="705" t="s">
        <v>47</v>
      </c>
      <c r="J2" s="706"/>
      <c r="K2" s="706"/>
      <c r="L2" s="706"/>
      <c r="M2" s="706"/>
      <c r="N2" s="706"/>
      <c r="O2" s="706"/>
      <c r="P2" s="706"/>
      <c r="Q2" s="706"/>
      <c r="R2" s="706"/>
      <c r="S2" s="706"/>
      <c r="T2" s="706"/>
      <c r="U2" s="707"/>
      <c r="V2" s="701" t="s">
        <v>48</v>
      </c>
      <c r="W2" s="701" t="s">
        <v>49</v>
      </c>
      <c r="X2" s="708" t="s">
        <v>50</v>
      </c>
      <c r="Y2" s="710" t="s">
        <v>51</v>
      </c>
      <c r="Z2" s="712">
        <f>SUM(Z5:Z258)</f>
        <v>3228614.4508724962</v>
      </c>
      <c r="AA2" s="713"/>
      <c r="AB2" s="492" t="s">
        <v>52</v>
      </c>
      <c r="AC2" s="492" t="s">
        <v>53</v>
      </c>
      <c r="AD2" s="628" t="s">
        <v>54</v>
      </c>
    </row>
    <row r="3" spans="1:38" ht="15.6" customHeight="1">
      <c r="D3" s="702"/>
      <c r="E3" s="702"/>
      <c r="F3" s="702"/>
      <c r="G3" s="676"/>
      <c r="H3" s="704"/>
      <c r="I3" s="5" t="s">
        <v>28</v>
      </c>
      <c r="J3" s="5">
        <v>37</v>
      </c>
      <c r="K3" s="5">
        <v>38</v>
      </c>
      <c r="L3" s="5">
        <v>39</v>
      </c>
      <c r="M3" s="5">
        <v>40</v>
      </c>
      <c r="N3" s="5">
        <v>41</v>
      </c>
      <c r="O3" s="5">
        <v>42</v>
      </c>
      <c r="P3" s="5">
        <v>43</v>
      </c>
      <c r="Q3" s="5">
        <v>44</v>
      </c>
      <c r="R3" s="5">
        <v>45</v>
      </c>
      <c r="S3" s="5">
        <v>46</v>
      </c>
      <c r="T3" s="5">
        <v>47</v>
      </c>
      <c r="U3" s="5">
        <v>48</v>
      </c>
      <c r="V3" s="702"/>
      <c r="W3" s="702"/>
      <c r="X3" s="709"/>
      <c r="Y3" s="711"/>
      <c r="Z3" s="712"/>
      <c r="AA3" s="714"/>
      <c r="AB3" s="493" t="s">
        <v>55</v>
      </c>
      <c r="AC3" s="493" t="s">
        <v>56</v>
      </c>
      <c r="AD3" s="629" t="s">
        <v>57</v>
      </c>
      <c r="AE3" s="516"/>
      <c r="AF3" s="516"/>
      <c r="AG3" s="516"/>
      <c r="AH3" s="516"/>
      <c r="AI3" s="516"/>
    </row>
    <row r="4" spans="1:38" ht="15.6" customHeight="1">
      <c r="D4" s="676"/>
      <c r="E4" s="6"/>
      <c r="F4" s="7"/>
      <c r="G4" s="7"/>
      <c r="H4" s="7"/>
      <c r="I4" s="677" t="s">
        <v>58</v>
      </c>
      <c r="J4" s="677" t="s">
        <v>59</v>
      </c>
      <c r="K4" s="677" t="s">
        <v>60</v>
      </c>
      <c r="L4" s="677" t="s">
        <v>61</v>
      </c>
      <c r="M4" s="677" t="s">
        <v>62</v>
      </c>
      <c r="N4" s="677" t="s">
        <v>63</v>
      </c>
      <c r="O4" s="677" t="s">
        <v>64</v>
      </c>
      <c r="P4" s="677" t="s">
        <v>65</v>
      </c>
      <c r="Q4" s="677" t="s">
        <v>66</v>
      </c>
      <c r="R4" s="677" t="s">
        <v>67</v>
      </c>
      <c r="S4" s="677" t="s">
        <v>68</v>
      </c>
      <c r="T4" s="677" t="s">
        <v>69</v>
      </c>
      <c r="U4" s="677" t="s">
        <v>58</v>
      </c>
      <c r="V4" s="677"/>
      <c r="W4" s="677"/>
      <c r="X4" s="3"/>
      <c r="Y4" s="673"/>
      <c r="Z4" s="490"/>
      <c r="AA4" s="488"/>
      <c r="AB4" s="489"/>
      <c r="AC4" s="489"/>
      <c r="AD4" s="657"/>
    </row>
    <row r="5" spans="1:38" ht="15.6" customHeight="1">
      <c r="A5" s="15"/>
      <c r="B5" s="498">
        <v>1</v>
      </c>
      <c r="C5" s="8" t="s">
        <v>0</v>
      </c>
      <c r="D5" s="8">
        <v>1</v>
      </c>
      <c r="E5" s="9" t="s">
        <v>70</v>
      </c>
      <c r="F5" s="10"/>
      <c r="G5" s="10"/>
      <c r="H5" s="11"/>
      <c r="I5" s="12"/>
      <c r="J5" s="12"/>
      <c r="K5" s="12"/>
      <c r="L5" s="12"/>
      <c r="M5" s="12"/>
      <c r="N5" s="12"/>
      <c r="O5" s="12"/>
      <c r="P5" s="12"/>
      <c r="Q5" s="12"/>
      <c r="R5" s="12"/>
      <c r="S5" s="12"/>
      <c r="T5" s="12"/>
      <c r="U5" s="12"/>
      <c r="V5" s="11"/>
      <c r="W5" s="11"/>
      <c r="X5" s="13"/>
      <c r="Y5" s="486">
        <f>Y6</f>
        <v>0.51376841147661534</v>
      </c>
      <c r="Z5" s="509"/>
      <c r="AA5" s="531"/>
      <c r="AB5" s="531"/>
      <c r="AC5" s="531"/>
      <c r="AD5" s="630"/>
    </row>
    <row r="6" spans="1:38" ht="15.6" customHeight="1">
      <c r="A6" s="22"/>
      <c r="B6" s="499">
        <v>2</v>
      </c>
      <c r="C6" s="16" t="s">
        <v>1</v>
      </c>
      <c r="D6" s="16">
        <v>1</v>
      </c>
      <c r="E6" s="17" t="s">
        <v>70</v>
      </c>
      <c r="F6" s="18"/>
      <c r="G6" s="18"/>
      <c r="H6" s="19"/>
      <c r="I6" s="20"/>
      <c r="J6" s="20"/>
      <c r="K6" s="20"/>
      <c r="L6" s="20"/>
      <c r="M6" s="20"/>
      <c r="N6" s="20"/>
      <c r="O6" s="20"/>
      <c r="P6" s="20"/>
      <c r="Q6" s="20"/>
      <c r="R6" s="20"/>
      <c r="S6" s="20"/>
      <c r="T6" s="20"/>
      <c r="U6" s="20"/>
      <c r="V6" s="19"/>
      <c r="W6" s="19"/>
      <c r="X6" s="21"/>
      <c r="Y6" s="14">
        <f>Y83</f>
        <v>0.51376841147661534</v>
      </c>
      <c r="Z6" s="510"/>
      <c r="AA6" s="531"/>
      <c r="AB6" s="531"/>
      <c r="AC6" s="531">
        <f>SUM(AC8:AC80)</f>
        <v>16541555.236</v>
      </c>
      <c r="AD6" s="631">
        <f>AC6/X82</f>
        <v>0.90337283370561383</v>
      </c>
      <c r="AE6" s="515">
        <v>1</v>
      </c>
      <c r="AF6" s="515">
        <v>1</v>
      </c>
      <c r="AG6" s="515">
        <v>1</v>
      </c>
      <c r="AH6" s="515">
        <v>1</v>
      </c>
    </row>
    <row r="7" spans="1:38" ht="15.6" customHeight="1">
      <c r="B7" s="1">
        <v>3</v>
      </c>
      <c r="C7" s="2" t="s">
        <v>0</v>
      </c>
      <c r="D7" s="23" t="s">
        <v>71</v>
      </c>
      <c r="E7" s="24" t="s">
        <v>72</v>
      </c>
      <c r="F7" s="25" t="s">
        <v>73</v>
      </c>
      <c r="G7" s="506" t="str">
        <f t="shared" ref="G7:G70" si="0">C7&amp;E7</f>
        <v>PREVConsultor Especializado</v>
      </c>
      <c r="H7" s="525" t="str">
        <f>Y7</f>
        <v/>
      </c>
      <c r="I7" s="26">
        <v>0.4</v>
      </c>
      <c r="J7" s="26">
        <v>0.5</v>
      </c>
      <c r="K7" s="26">
        <v>0.5</v>
      </c>
      <c r="L7" s="26">
        <v>0.5</v>
      </c>
      <c r="M7" s="26">
        <v>0.5</v>
      </c>
      <c r="N7" s="26">
        <v>0.5</v>
      </c>
      <c r="O7" s="26">
        <v>0.5</v>
      </c>
      <c r="P7" s="26">
        <v>0.5</v>
      </c>
      <c r="Q7" s="26">
        <v>0.5</v>
      </c>
      <c r="R7" s="26">
        <v>0.5</v>
      </c>
      <c r="S7" s="26">
        <v>0.5</v>
      </c>
      <c r="T7" s="26">
        <v>0.5</v>
      </c>
      <c r="U7" s="26">
        <v>0.1</v>
      </c>
      <c r="V7" s="27">
        <f>SUM(I7:U7)</f>
        <v>6</v>
      </c>
      <c r="W7" s="27">
        <v>24703.45</v>
      </c>
      <c r="X7" s="28">
        <f>W7*V7</f>
        <v>148220.70000000001</v>
      </c>
      <c r="Y7" s="29" t="s">
        <v>74</v>
      </c>
      <c r="Z7" s="528"/>
      <c r="AA7" s="532"/>
      <c r="AB7" s="533"/>
      <c r="AC7" s="533"/>
      <c r="AD7" s="658"/>
      <c r="AL7" s="512" t="s">
        <v>72</v>
      </c>
    </row>
    <row r="8" spans="1:38" ht="15.6" customHeight="1">
      <c r="A8" s="31"/>
      <c r="B8" s="30">
        <v>4</v>
      </c>
      <c r="C8" s="31" t="s">
        <v>1</v>
      </c>
      <c r="D8" s="32" t="s">
        <v>71</v>
      </c>
      <c r="E8" s="33" t="s">
        <v>72</v>
      </c>
      <c r="F8" s="34" t="s">
        <v>73</v>
      </c>
      <c r="G8" s="506" t="str">
        <f t="shared" si="0"/>
        <v>REALConsultor Especializado</v>
      </c>
      <c r="H8" s="525">
        <f t="shared" ref="H8:H71" si="1">Y8</f>
        <v>0</v>
      </c>
      <c r="I8" s="35">
        <v>0</v>
      </c>
      <c r="J8" s="35">
        <v>0</v>
      </c>
      <c r="K8" s="35">
        <v>0</v>
      </c>
      <c r="L8" s="35">
        <v>0</v>
      </c>
      <c r="M8" s="35">
        <v>0</v>
      </c>
      <c r="N8" s="35">
        <v>0</v>
      </c>
      <c r="O8" s="35">
        <v>0</v>
      </c>
      <c r="P8" s="35"/>
      <c r="Q8" s="35"/>
      <c r="R8" s="35"/>
      <c r="S8" s="35"/>
      <c r="T8" s="35"/>
      <c r="U8" s="35"/>
      <c r="V8" s="36">
        <f t="shared" ref="V8:V71" si="2">SUM(I8:U8)</f>
        <v>0</v>
      </c>
      <c r="W8" s="36">
        <v>24703.45</v>
      </c>
      <c r="X8" s="37">
        <f t="shared" ref="X8:X71" si="3">W8*V8</f>
        <v>0</v>
      </c>
      <c r="Y8" s="422">
        <f>X8/X7</f>
        <v>0</v>
      </c>
      <c r="Z8" s="529">
        <f>X7-AC8</f>
        <v>148220.70000000001</v>
      </c>
      <c r="AA8" s="534"/>
      <c r="AB8" s="535">
        <f>ROUND((AVERAGE(J8:T8)*12),1)</f>
        <v>0</v>
      </c>
      <c r="AC8" s="535">
        <f>IF(AB8*W8&gt;X7,X7,AB8*W8)</f>
        <v>0</v>
      </c>
      <c r="AD8" s="632">
        <f>AC8/X7</f>
        <v>0</v>
      </c>
      <c r="AL8" s="512" t="s">
        <v>75</v>
      </c>
    </row>
    <row r="9" spans="1:38" ht="15.6" customHeight="1">
      <c r="B9" s="1">
        <v>5</v>
      </c>
      <c r="C9" s="2" t="s">
        <v>0</v>
      </c>
      <c r="D9" s="23" t="s">
        <v>76</v>
      </c>
      <c r="E9" s="24" t="s">
        <v>75</v>
      </c>
      <c r="F9" s="25" t="s">
        <v>77</v>
      </c>
      <c r="G9" s="506" t="str">
        <f t="shared" si="0"/>
        <v>PREVAlmoxarife</v>
      </c>
      <c r="H9" s="525" t="str">
        <f t="shared" si="1"/>
        <v/>
      </c>
      <c r="I9" s="26">
        <v>1.6</v>
      </c>
      <c r="J9" s="26">
        <v>2</v>
      </c>
      <c r="K9" s="26">
        <v>2</v>
      </c>
      <c r="L9" s="26">
        <v>2</v>
      </c>
      <c r="M9" s="26">
        <v>2</v>
      </c>
      <c r="N9" s="26">
        <v>2</v>
      </c>
      <c r="O9" s="26">
        <v>2</v>
      </c>
      <c r="P9" s="26">
        <v>2</v>
      </c>
      <c r="Q9" s="26">
        <v>2</v>
      </c>
      <c r="R9" s="26">
        <v>2</v>
      </c>
      <c r="S9" s="26">
        <v>2</v>
      </c>
      <c r="T9" s="26">
        <v>2</v>
      </c>
      <c r="U9" s="26">
        <v>0.4</v>
      </c>
      <c r="V9" s="27">
        <f t="shared" si="2"/>
        <v>24</v>
      </c>
      <c r="W9" s="27">
        <v>5580.99</v>
      </c>
      <c r="X9" s="28">
        <f t="shared" si="3"/>
        <v>133943.76</v>
      </c>
      <c r="Y9" s="29" t="s">
        <v>74</v>
      </c>
      <c r="Z9" s="528"/>
      <c r="AA9" s="532"/>
      <c r="AB9" s="533"/>
      <c r="AC9" s="533"/>
      <c r="AD9" s="658"/>
      <c r="AL9" s="512" t="s">
        <v>78</v>
      </c>
    </row>
    <row r="10" spans="1:38" ht="15.6" customHeight="1">
      <c r="A10" s="31"/>
      <c r="B10" s="30">
        <v>6</v>
      </c>
      <c r="C10" s="31" t="s">
        <v>1</v>
      </c>
      <c r="D10" s="32" t="s">
        <v>76</v>
      </c>
      <c r="E10" s="33" t="s">
        <v>75</v>
      </c>
      <c r="F10" s="34" t="s">
        <v>77</v>
      </c>
      <c r="G10" s="506" t="str">
        <f t="shared" si="0"/>
        <v>REALAlmoxarife</v>
      </c>
      <c r="H10" s="525">
        <f t="shared" si="1"/>
        <v>0.24166666666666667</v>
      </c>
      <c r="I10" s="35">
        <v>0.8</v>
      </c>
      <c r="J10" s="35">
        <v>6.6666666666666666E-2</v>
      </c>
      <c r="K10" s="35">
        <v>0.93333333333333346</v>
      </c>
      <c r="L10" s="35">
        <v>1</v>
      </c>
      <c r="M10" s="35">
        <v>1</v>
      </c>
      <c r="N10" s="35">
        <v>1</v>
      </c>
      <c r="O10" s="35">
        <v>1</v>
      </c>
      <c r="P10" s="35"/>
      <c r="Q10" s="35"/>
      <c r="R10" s="35"/>
      <c r="S10" s="35"/>
      <c r="T10" s="35"/>
      <c r="U10" s="35"/>
      <c r="V10" s="36">
        <f t="shared" si="2"/>
        <v>5.8000000000000007</v>
      </c>
      <c r="W10" s="36">
        <v>5580.99</v>
      </c>
      <c r="X10" s="37">
        <f t="shared" si="3"/>
        <v>32369.742000000002</v>
      </c>
      <c r="Y10" s="422">
        <f t="shared" ref="Y10" si="4">X10/X9</f>
        <v>0.24166666666666667</v>
      </c>
      <c r="Z10" s="529">
        <f>X9-AC10</f>
        <v>78133.860000000015</v>
      </c>
      <c r="AA10" s="534"/>
      <c r="AB10" s="535">
        <f>ROUND((AVERAGE(J10:T10)*12),1)</f>
        <v>10</v>
      </c>
      <c r="AC10" s="535">
        <f>IF(AB10*W10&gt;X9,X9,AB10*W10)</f>
        <v>55809.899999999994</v>
      </c>
      <c r="AD10" s="632">
        <f>AC10/X9</f>
        <v>0.41666666666666657</v>
      </c>
      <c r="AL10" s="512" t="s">
        <v>79</v>
      </c>
    </row>
    <row r="11" spans="1:38" ht="15.6" customHeight="1">
      <c r="B11" s="1">
        <v>7</v>
      </c>
      <c r="C11" s="2" t="s">
        <v>0</v>
      </c>
      <c r="D11" s="23" t="s">
        <v>80</v>
      </c>
      <c r="E11" s="24" t="s">
        <v>78</v>
      </c>
      <c r="F11" s="25" t="s">
        <v>81</v>
      </c>
      <c r="G11" s="506" t="str">
        <f t="shared" si="0"/>
        <v>PREVAuxiliar Administrativo</v>
      </c>
      <c r="H11" s="525" t="str">
        <f t="shared" si="1"/>
        <v/>
      </c>
      <c r="I11" s="26">
        <v>0.8</v>
      </c>
      <c r="J11" s="26">
        <v>1</v>
      </c>
      <c r="K11" s="26">
        <v>1</v>
      </c>
      <c r="L11" s="26">
        <v>1</v>
      </c>
      <c r="M11" s="26">
        <v>1</v>
      </c>
      <c r="N11" s="26">
        <v>1</v>
      </c>
      <c r="O11" s="26">
        <v>1</v>
      </c>
      <c r="P11" s="26">
        <v>1</v>
      </c>
      <c r="Q11" s="26">
        <v>1</v>
      </c>
      <c r="R11" s="26">
        <v>1</v>
      </c>
      <c r="S11" s="26">
        <v>1</v>
      </c>
      <c r="T11" s="26">
        <v>1</v>
      </c>
      <c r="U11" s="26">
        <v>0.2</v>
      </c>
      <c r="V11" s="27">
        <f t="shared" si="2"/>
        <v>12</v>
      </c>
      <c r="W11" s="27">
        <v>4487.3500000000004</v>
      </c>
      <c r="X11" s="28">
        <f t="shared" si="3"/>
        <v>53848.200000000004</v>
      </c>
      <c r="Y11" s="29" t="s">
        <v>74</v>
      </c>
      <c r="Z11" s="528"/>
      <c r="AA11" s="532"/>
      <c r="AB11" s="533"/>
      <c r="AC11" s="533"/>
      <c r="AD11" s="658"/>
      <c r="AL11" s="512" t="s">
        <v>82</v>
      </c>
    </row>
    <row r="12" spans="1:38" ht="15.6" customHeight="1">
      <c r="A12" s="31"/>
      <c r="B12" s="30">
        <v>8</v>
      </c>
      <c r="C12" s="31" t="s">
        <v>1</v>
      </c>
      <c r="D12" s="32" t="s">
        <v>80</v>
      </c>
      <c r="E12" s="33" t="s">
        <v>78</v>
      </c>
      <c r="F12" s="34" t="s">
        <v>81</v>
      </c>
      <c r="G12" s="506" t="str">
        <f t="shared" si="0"/>
        <v>REALAuxiliar Administrativo</v>
      </c>
      <c r="H12" s="525">
        <f t="shared" si="1"/>
        <v>0.56666666666666665</v>
      </c>
      <c r="I12" s="35">
        <v>0.8</v>
      </c>
      <c r="J12" s="35">
        <v>1</v>
      </c>
      <c r="K12" s="35">
        <v>1</v>
      </c>
      <c r="L12" s="35">
        <v>1</v>
      </c>
      <c r="M12" s="35">
        <v>1</v>
      </c>
      <c r="N12" s="35">
        <v>1</v>
      </c>
      <c r="O12" s="35">
        <v>1</v>
      </c>
      <c r="P12" s="35"/>
      <c r="Q12" s="35"/>
      <c r="R12" s="35"/>
      <c r="S12" s="35"/>
      <c r="T12" s="35"/>
      <c r="U12" s="35"/>
      <c r="V12" s="36">
        <f t="shared" si="2"/>
        <v>6.8</v>
      </c>
      <c r="W12" s="36">
        <v>4487.3500000000004</v>
      </c>
      <c r="X12" s="37">
        <f t="shared" si="3"/>
        <v>30513.980000000003</v>
      </c>
      <c r="Y12" s="38">
        <f t="shared" ref="Y12" si="5">X12/X11</f>
        <v>0.56666666666666665</v>
      </c>
      <c r="Z12" s="529">
        <f>X11-AC12</f>
        <v>0</v>
      </c>
      <c r="AA12" s="534"/>
      <c r="AB12" s="535">
        <f>ROUND((AVERAGE(J12:T12)*12),1)</f>
        <v>12</v>
      </c>
      <c r="AC12" s="535">
        <f>IF(AB12*W12&gt;X11,X11,AB12*W12)</f>
        <v>53848.200000000004</v>
      </c>
      <c r="AD12" s="632">
        <f>AC12/X11</f>
        <v>1</v>
      </c>
      <c r="AL12" s="512" t="s">
        <v>83</v>
      </c>
    </row>
    <row r="13" spans="1:38" ht="15.6" customHeight="1">
      <c r="B13" s="1">
        <v>9</v>
      </c>
      <c r="C13" s="2" t="s">
        <v>0</v>
      </c>
      <c r="D13" s="23" t="s">
        <v>84</v>
      </c>
      <c r="E13" s="24" t="s">
        <v>79</v>
      </c>
      <c r="F13" s="25" t="s">
        <v>85</v>
      </c>
      <c r="G13" s="506" t="str">
        <f t="shared" si="0"/>
        <v>PREVTécnico Administrativo</v>
      </c>
      <c r="H13" s="525" t="str">
        <f t="shared" si="1"/>
        <v/>
      </c>
      <c r="I13" s="26">
        <v>1.6</v>
      </c>
      <c r="J13" s="26">
        <v>2</v>
      </c>
      <c r="K13" s="26">
        <v>2</v>
      </c>
      <c r="L13" s="26">
        <v>2</v>
      </c>
      <c r="M13" s="26">
        <v>2</v>
      </c>
      <c r="N13" s="26">
        <v>2</v>
      </c>
      <c r="O13" s="26">
        <v>2</v>
      </c>
      <c r="P13" s="26">
        <v>2</v>
      </c>
      <c r="Q13" s="26">
        <v>2</v>
      </c>
      <c r="R13" s="26">
        <v>2</v>
      </c>
      <c r="S13" s="26">
        <v>2</v>
      </c>
      <c r="T13" s="26">
        <v>2</v>
      </c>
      <c r="U13" s="26">
        <v>0.4</v>
      </c>
      <c r="V13" s="27">
        <f t="shared" si="2"/>
        <v>24</v>
      </c>
      <c r="W13" s="27">
        <v>7072.06</v>
      </c>
      <c r="X13" s="28">
        <f t="shared" si="3"/>
        <v>169729.44</v>
      </c>
      <c r="Y13" s="29" t="s">
        <v>74</v>
      </c>
      <c r="Z13" s="528"/>
      <c r="AA13" s="532"/>
      <c r="AB13" s="533"/>
      <c r="AC13" s="533"/>
      <c r="AD13" s="658"/>
      <c r="AL13" s="512" t="s">
        <v>86</v>
      </c>
    </row>
    <row r="14" spans="1:38" ht="15.6" customHeight="1">
      <c r="A14" s="31"/>
      <c r="B14" s="30">
        <v>10</v>
      </c>
      <c r="C14" s="31" t="s">
        <v>1</v>
      </c>
      <c r="D14" s="32" t="s">
        <v>84</v>
      </c>
      <c r="E14" s="33" t="s">
        <v>79</v>
      </c>
      <c r="F14" s="34" t="s">
        <v>85</v>
      </c>
      <c r="G14" s="506" t="str">
        <f t="shared" si="0"/>
        <v>REALTécnico Administrativo</v>
      </c>
      <c r="H14" s="525">
        <f t="shared" si="1"/>
        <v>0.51388888888888884</v>
      </c>
      <c r="I14" s="35">
        <v>0.83333333333333326</v>
      </c>
      <c r="J14" s="35">
        <v>2</v>
      </c>
      <c r="K14" s="35">
        <v>2</v>
      </c>
      <c r="L14" s="35">
        <v>2</v>
      </c>
      <c r="M14" s="35">
        <v>2</v>
      </c>
      <c r="N14" s="35">
        <v>2</v>
      </c>
      <c r="O14" s="35">
        <v>1.5</v>
      </c>
      <c r="P14" s="35"/>
      <c r="Q14" s="35"/>
      <c r="R14" s="35"/>
      <c r="S14" s="35"/>
      <c r="T14" s="35"/>
      <c r="U14" s="35"/>
      <c r="V14" s="36">
        <f t="shared" si="2"/>
        <v>12.333333333333332</v>
      </c>
      <c r="W14" s="36">
        <v>7072.06</v>
      </c>
      <c r="X14" s="37">
        <f t="shared" si="3"/>
        <v>87222.073333333334</v>
      </c>
      <c r="Y14" s="38">
        <f t="shared" ref="Y14" si="6">X14/X13</f>
        <v>0.51388888888888884</v>
      </c>
      <c r="Z14" s="529">
        <f>X13-AC14</f>
        <v>7072.0599999999977</v>
      </c>
      <c r="AA14" s="534"/>
      <c r="AB14" s="535">
        <f>ROUND((AVERAGE(J14:T14)*12),1)</f>
        <v>23</v>
      </c>
      <c r="AC14" s="535">
        <f>IF(AB14*W14&gt;X13,X13,AB14*W14)</f>
        <v>162657.38</v>
      </c>
      <c r="AD14" s="632">
        <f>AC14/X13</f>
        <v>0.95833333333333337</v>
      </c>
      <c r="AL14" s="512" t="s">
        <v>87</v>
      </c>
    </row>
    <row r="15" spans="1:38" ht="15.6" customHeight="1">
      <c r="B15" s="1">
        <v>11</v>
      </c>
      <c r="C15" s="2" t="s">
        <v>0</v>
      </c>
      <c r="D15" s="23" t="s">
        <v>88</v>
      </c>
      <c r="E15" s="24" t="s">
        <v>82</v>
      </c>
      <c r="F15" s="25" t="s">
        <v>89</v>
      </c>
      <c r="G15" s="506" t="str">
        <f t="shared" si="0"/>
        <v>PREVTécnico Pleno - Encarregado - Com Periculosidade</v>
      </c>
      <c r="H15" s="525" t="str">
        <f t="shared" si="1"/>
        <v/>
      </c>
      <c r="I15" s="26">
        <v>3.2</v>
      </c>
      <c r="J15" s="26">
        <v>4</v>
      </c>
      <c r="K15" s="26">
        <v>4</v>
      </c>
      <c r="L15" s="26">
        <v>4</v>
      </c>
      <c r="M15" s="26">
        <v>4</v>
      </c>
      <c r="N15" s="26">
        <v>4</v>
      </c>
      <c r="O15" s="26">
        <v>4</v>
      </c>
      <c r="P15" s="26">
        <v>4</v>
      </c>
      <c r="Q15" s="26">
        <v>4</v>
      </c>
      <c r="R15" s="26">
        <v>4</v>
      </c>
      <c r="S15" s="26">
        <v>4</v>
      </c>
      <c r="T15" s="26">
        <v>4</v>
      </c>
      <c r="U15" s="26">
        <v>0.8</v>
      </c>
      <c r="V15" s="27">
        <f t="shared" si="2"/>
        <v>48</v>
      </c>
      <c r="W15" s="27">
        <v>7821.94</v>
      </c>
      <c r="X15" s="28">
        <f t="shared" si="3"/>
        <v>375453.12</v>
      </c>
      <c r="Y15" s="29" t="s">
        <v>74</v>
      </c>
      <c r="Z15" s="528"/>
      <c r="AA15" s="532"/>
      <c r="AB15" s="533"/>
      <c r="AC15" s="533"/>
      <c r="AD15" s="658"/>
      <c r="AH15" s="517"/>
      <c r="AL15" s="512" t="s">
        <v>90</v>
      </c>
    </row>
    <row r="16" spans="1:38" ht="15.6" customHeight="1">
      <c r="A16" s="31"/>
      <c r="B16" s="30">
        <v>12</v>
      </c>
      <c r="C16" s="31" t="s">
        <v>1</v>
      </c>
      <c r="D16" s="32" t="s">
        <v>88</v>
      </c>
      <c r="E16" s="33" t="s">
        <v>82</v>
      </c>
      <c r="F16" s="34" t="s">
        <v>89</v>
      </c>
      <c r="G16" s="506" t="str">
        <f t="shared" si="0"/>
        <v>REALTécnico Pleno - Encarregado - Com Periculosidade</v>
      </c>
      <c r="H16" s="525">
        <f t="shared" si="1"/>
        <v>0.63402777777777786</v>
      </c>
      <c r="I16" s="35">
        <v>3.9999999999999996</v>
      </c>
      <c r="J16" s="35">
        <v>5</v>
      </c>
      <c r="K16" s="35">
        <v>5</v>
      </c>
      <c r="L16" s="35">
        <v>3.9666666666666668</v>
      </c>
      <c r="M16" s="35">
        <v>4.5333333333333332</v>
      </c>
      <c r="N16" s="35">
        <v>3.9666666666666668</v>
      </c>
      <c r="O16" s="35">
        <v>3.9666666666666668</v>
      </c>
      <c r="P16" s="35"/>
      <c r="Q16" s="35"/>
      <c r="R16" s="35"/>
      <c r="S16" s="35"/>
      <c r="T16" s="35"/>
      <c r="U16" s="35"/>
      <c r="V16" s="36">
        <f t="shared" si="2"/>
        <v>30.433333333333337</v>
      </c>
      <c r="W16" s="36">
        <v>7821.94</v>
      </c>
      <c r="X16" s="37">
        <f t="shared" si="3"/>
        <v>238047.70733333335</v>
      </c>
      <c r="Y16" s="422">
        <f t="shared" ref="Y16" si="7">X16/X15</f>
        <v>0.63402777777777786</v>
      </c>
      <c r="Z16" s="529">
        <f>X15-AC16</f>
        <v>0</v>
      </c>
      <c r="AA16" s="534"/>
      <c r="AB16" s="535">
        <f>ROUND((AVERAGE(J16:T16)*12),1)</f>
        <v>52.9</v>
      </c>
      <c r="AC16" s="535">
        <f>IF(AB16*W16&gt;X15,X15,AB16*W16)</f>
        <v>375453.12</v>
      </c>
      <c r="AD16" s="632">
        <f>AC16/X15</f>
        <v>1</v>
      </c>
      <c r="AL16" s="512" t="s">
        <v>91</v>
      </c>
    </row>
    <row r="17" spans="1:38" ht="15.6" customHeight="1">
      <c r="B17" s="1">
        <v>13</v>
      </c>
      <c r="C17" s="2" t="s">
        <v>0</v>
      </c>
      <c r="D17" s="23" t="s">
        <v>92</v>
      </c>
      <c r="E17" s="39" t="s">
        <v>83</v>
      </c>
      <c r="F17" s="25" t="s">
        <v>93</v>
      </c>
      <c r="G17" s="506" t="str">
        <f t="shared" si="0"/>
        <v>PREVEngenheiro Pleno - Eletricista - Telecomunicações - Com Periculosidade</v>
      </c>
      <c r="H17" s="525" t="str">
        <f t="shared" si="1"/>
        <v/>
      </c>
      <c r="I17" s="26">
        <v>1.6</v>
      </c>
      <c r="J17" s="26">
        <v>2</v>
      </c>
      <c r="K17" s="26">
        <v>2</v>
      </c>
      <c r="L17" s="26">
        <v>2</v>
      </c>
      <c r="M17" s="26">
        <v>2</v>
      </c>
      <c r="N17" s="26">
        <v>2</v>
      </c>
      <c r="O17" s="26">
        <v>2</v>
      </c>
      <c r="P17" s="26">
        <v>2</v>
      </c>
      <c r="Q17" s="26">
        <v>2</v>
      </c>
      <c r="R17" s="26">
        <v>2</v>
      </c>
      <c r="S17" s="26">
        <v>2</v>
      </c>
      <c r="T17" s="26">
        <v>2</v>
      </c>
      <c r="U17" s="26">
        <v>0.4</v>
      </c>
      <c r="V17" s="27">
        <f t="shared" si="2"/>
        <v>24</v>
      </c>
      <c r="W17" s="27">
        <v>27055.66</v>
      </c>
      <c r="X17" s="28">
        <f t="shared" si="3"/>
        <v>649335.84</v>
      </c>
      <c r="Y17" s="29" t="s">
        <v>74</v>
      </c>
      <c r="Z17" s="528"/>
      <c r="AA17" s="532"/>
      <c r="AB17" s="533"/>
      <c r="AC17" s="533"/>
      <c r="AD17" s="658"/>
      <c r="AL17" s="512" t="s">
        <v>94</v>
      </c>
    </row>
    <row r="18" spans="1:38" ht="15.6" customHeight="1">
      <c r="A18" s="31"/>
      <c r="B18" s="30">
        <v>14</v>
      </c>
      <c r="C18" s="31" t="s">
        <v>1</v>
      </c>
      <c r="D18" s="32" t="s">
        <v>92</v>
      </c>
      <c r="E18" s="40" t="s">
        <v>83</v>
      </c>
      <c r="F18" s="34" t="s">
        <v>93</v>
      </c>
      <c r="G18" s="506" t="str">
        <f t="shared" si="0"/>
        <v>REALEngenheiro Pleno - Eletricista - Telecomunicações - Com Periculosidade</v>
      </c>
      <c r="H18" s="525">
        <f t="shared" si="1"/>
        <v>0.53055555555555556</v>
      </c>
      <c r="I18" s="35">
        <v>1.1333333333333333</v>
      </c>
      <c r="J18" s="35">
        <v>2</v>
      </c>
      <c r="K18" s="35">
        <v>2</v>
      </c>
      <c r="L18" s="35">
        <v>2</v>
      </c>
      <c r="M18" s="35">
        <v>2</v>
      </c>
      <c r="N18" s="35">
        <v>2</v>
      </c>
      <c r="O18" s="35">
        <v>1.6</v>
      </c>
      <c r="P18" s="35"/>
      <c r="Q18" s="35"/>
      <c r="R18" s="35"/>
      <c r="S18" s="35"/>
      <c r="T18" s="35"/>
      <c r="U18" s="35"/>
      <c r="V18" s="36">
        <f t="shared" si="2"/>
        <v>12.733333333333333</v>
      </c>
      <c r="W18" s="36">
        <v>27055.66</v>
      </c>
      <c r="X18" s="37">
        <f t="shared" si="3"/>
        <v>344508.73733333329</v>
      </c>
      <c r="Y18" s="38">
        <f t="shared" ref="Y18" si="8">X18/X17</f>
        <v>0.53055555555555556</v>
      </c>
      <c r="Z18" s="529">
        <f>X17-AC18</f>
        <v>21644.527999999933</v>
      </c>
      <c r="AA18" s="534"/>
      <c r="AB18" s="535">
        <f>ROUND((AVERAGE(J18:T18)*12),1)</f>
        <v>23.2</v>
      </c>
      <c r="AC18" s="535">
        <f>IF(AB18*W18&gt;X17,X17,AB18*W18)</f>
        <v>627691.31200000003</v>
      </c>
      <c r="AD18" s="632">
        <f>AC18/X17</f>
        <v>0.96666666666666679</v>
      </c>
      <c r="AL18" s="512" t="s">
        <v>95</v>
      </c>
    </row>
    <row r="19" spans="1:38" ht="15.6" customHeight="1">
      <c r="B19" s="1">
        <v>15</v>
      </c>
      <c r="C19" s="2" t="s">
        <v>0</v>
      </c>
      <c r="D19" s="23" t="s">
        <v>96</v>
      </c>
      <c r="E19" s="39" t="s">
        <v>86</v>
      </c>
      <c r="F19" s="25" t="s">
        <v>97</v>
      </c>
      <c r="G19" s="506" t="str">
        <f t="shared" si="0"/>
        <v>PREVEngenheiro Sênior - Proteção e Controle / Eletricista - Coord - Com Periculosidade</v>
      </c>
      <c r="H19" s="525" t="str">
        <f t="shared" si="1"/>
        <v/>
      </c>
      <c r="I19" s="26">
        <v>4</v>
      </c>
      <c r="J19" s="26">
        <v>5</v>
      </c>
      <c r="K19" s="26">
        <v>5</v>
      </c>
      <c r="L19" s="26">
        <v>5</v>
      </c>
      <c r="M19" s="26">
        <v>5</v>
      </c>
      <c r="N19" s="26">
        <v>5</v>
      </c>
      <c r="O19" s="26">
        <v>5</v>
      </c>
      <c r="P19" s="26">
        <v>5</v>
      </c>
      <c r="Q19" s="26">
        <v>5</v>
      </c>
      <c r="R19" s="26">
        <v>5</v>
      </c>
      <c r="S19" s="26">
        <v>5</v>
      </c>
      <c r="T19" s="26">
        <v>5</v>
      </c>
      <c r="U19" s="26">
        <v>1</v>
      </c>
      <c r="V19" s="27">
        <f t="shared" si="2"/>
        <v>60</v>
      </c>
      <c r="W19" s="27">
        <v>27055.66</v>
      </c>
      <c r="X19" s="28">
        <f t="shared" si="3"/>
        <v>1623339.6</v>
      </c>
      <c r="Y19" s="29" t="s">
        <v>74</v>
      </c>
      <c r="Z19" s="528"/>
      <c r="AA19" s="532"/>
      <c r="AB19" s="533"/>
      <c r="AC19" s="533"/>
      <c r="AD19" s="658"/>
      <c r="AL19" s="512" t="s">
        <v>98</v>
      </c>
    </row>
    <row r="20" spans="1:38" ht="15.6" customHeight="1">
      <c r="A20" s="31"/>
      <c r="B20" s="30">
        <v>16</v>
      </c>
      <c r="C20" s="31" t="s">
        <v>1</v>
      </c>
      <c r="D20" s="32" t="s">
        <v>96</v>
      </c>
      <c r="E20" s="40" t="s">
        <v>86</v>
      </c>
      <c r="F20" s="34" t="s">
        <v>97</v>
      </c>
      <c r="G20" s="506" t="str">
        <f t="shared" si="0"/>
        <v>REALEngenheiro Sênior - Proteção e Controle / Eletricista - Coord - Com Periculosidade</v>
      </c>
      <c r="H20" s="525">
        <f t="shared" si="1"/>
        <v>0.4784723263238313</v>
      </c>
      <c r="I20" s="35">
        <v>2.4000000000000004</v>
      </c>
      <c r="J20" s="35">
        <v>4.3666666666666671</v>
      </c>
      <c r="K20" s="35">
        <v>4.768334582552642</v>
      </c>
      <c r="L20" s="35">
        <v>4.768334582552642</v>
      </c>
      <c r="M20" s="35">
        <v>4.4683345825526413</v>
      </c>
      <c r="N20" s="35">
        <v>4.5683345825526418</v>
      </c>
      <c r="O20" s="35">
        <v>3.3683345825526416</v>
      </c>
      <c r="P20" s="35"/>
      <c r="Q20" s="35"/>
      <c r="R20" s="35"/>
      <c r="S20" s="35"/>
      <c r="T20" s="35"/>
      <c r="U20" s="35"/>
      <c r="V20" s="36">
        <f t="shared" si="2"/>
        <v>28.708339579429879</v>
      </c>
      <c r="W20" s="36">
        <v>27055.66</v>
      </c>
      <c r="X20" s="37">
        <f t="shared" si="3"/>
        <v>776723.07482559781</v>
      </c>
      <c r="Y20" s="38">
        <f t="shared" ref="Y20" si="9">X20/X19</f>
        <v>0.4784723263238313</v>
      </c>
      <c r="Z20" s="529">
        <f>X19-AC20</f>
        <v>200211.88400000008</v>
      </c>
      <c r="AA20" s="534"/>
      <c r="AB20" s="535">
        <f>ROUND((AVERAGE(J20:T20)*12),1)</f>
        <v>52.6</v>
      </c>
      <c r="AC20" s="535">
        <f>IF(AB20*W20&gt;X19,X19,AB20*W20)</f>
        <v>1423127.716</v>
      </c>
      <c r="AD20" s="632">
        <f>AC20/X19</f>
        <v>0.87666666666666659</v>
      </c>
      <c r="AL20" s="512" t="s">
        <v>99</v>
      </c>
    </row>
    <row r="21" spans="1:38" ht="15.6" customHeight="1">
      <c r="B21" s="1">
        <v>17</v>
      </c>
      <c r="C21" s="2" t="s">
        <v>0</v>
      </c>
      <c r="D21" s="23" t="s">
        <v>100</v>
      </c>
      <c r="E21" s="39" t="s">
        <v>87</v>
      </c>
      <c r="F21" s="25" t="s">
        <v>101</v>
      </c>
      <c r="G21" s="506" t="str">
        <f t="shared" si="0"/>
        <v>PREVVigia (12X36) - Diurno</v>
      </c>
      <c r="H21" s="525" t="str">
        <f t="shared" si="1"/>
        <v/>
      </c>
      <c r="I21" s="26">
        <v>9.6000000000000014</v>
      </c>
      <c r="J21" s="26">
        <v>12</v>
      </c>
      <c r="K21" s="26">
        <v>12</v>
      </c>
      <c r="L21" s="26">
        <v>12</v>
      </c>
      <c r="M21" s="26">
        <v>12</v>
      </c>
      <c r="N21" s="26">
        <v>12</v>
      </c>
      <c r="O21" s="26">
        <v>12</v>
      </c>
      <c r="P21" s="26">
        <v>12</v>
      </c>
      <c r="Q21" s="26">
        <v>12</v>
      </c>
      <c r="R21" s="26">
        <v>12</v>
      </c>
      <c r="S21" s="26">
        <v>12</v>
      </c>
      <c r="T21" s="26">
        <v>12</v>
      </c>
      <c r="U21" s="26">
        <v>2.4000000000000004</v>
      </c>
      <c r="V21" s="27">
        <f t="shared" si="2"/>
        <v>144</v>
      </c>
      <c r="W21" s="27">
        <v>4015.53</v>
      </c>
      <c r="X21" s="28">
        <f t="shared" si="3"/>
        <v>578236.32000000007</v>
      </c>
      <c r="Y21" s="29" t="s">
        <v>74</v>
      </c>
      <c r="Z21" s="528"/>
      <c r="AA21" s="532"/>
      <c r="AB21" s="533"/>
      <c r="AC21" s="533"/>
      <c r="AD21" s="658"/>
      <c r="AL21" s="512" t="s">
        <v>102</v>
      </c>
    </row>
    <row r="22" spans="1:38" ht="15.6" customHeight="1">
      <c r="A22" s="31"/>
      <c r="B22" s="30">
        <v>18</v>
      </c>
      <c r="C22" s="31" t="s">
        <v>1</v>
      </c>
      <c r="D22" s="32" t="s">
        <v>100</v>
      </c>
      <c r="E22" s="40" t="s">
        <v>87</v>
      </c>
      <c r="F22" s="34" t="s">
        <v>101</v>
      </c>
      <c r="G22" s="506" t="str">
        <f t="shared" si="0"/>
        <v>REALVigia (12X36) - Diurno</v>
      </c>
      <c r="H22" s="525">
        <f t="shared" si="1"/>
        <v>0.39583333333333331</v>
      </c>
      <c r="I22" s="35">
        <v>7.9999999999999991</v>
      </c>
      <c r="J22" s="35">
        <v>9</v>
      </c>
      <c r="K22" s="35">
        <v>8</v>
      </c>
      <c r="L22" s="35">
        <v>8</v>
      </c>
      <c r="M22" s="35">
        <v>7.3666666666666671</v>
      </c>
      <c r="N22" s="35">
        <v>7.6999999999999993</v>
      </c>
      <c r="O22" s="35">
        <v>8.9333333333333336</v>
      </c>
      <c r="P22" s="35"/>
      <c r="Q22" s="35"/>
      <c r="R22" s="35"/>
      <c r="S22" s="35"/>
      <c r="T22" s="35"/>
      <c r="U22" s="35"/>
      <c r="V22" s="36">
        <f t="shared" si="2"/>
        <v>57</v>
      </c>
      <c r="W22" s="36">
        <v>4015.53</v>
      </c>
      <c r="X22" s="37">
        <f t="shared" si="3"/>
        <v>228885.21000000002</v>
      </c>
      <c r="Y22" s="422">
        <f t="shared" ref="Y22" si="10">X22/X21</f>
        <v>0.39583333333333331</v>
      </c>
      <c r="Z22" s="529">
        <f>X21-AC22</f>
        <v>184714.38000000006</v>
      </c>
      <c r="AA22" s="536"/>
      <c r="AB22" s="535">
        <f>ROUND((AVERAGE(J22:T22)*12),1)</f>
        <v>98</v>
      </c>
      <c r="AC22" s="535">
        <f>IF(AB22*W22&gt;X21,X21,AB22*W22)</f>
        <v>393521.94</v>
      </c>
      <c r="AD22" s="632">
        <f>AC22/X21</f>
        <v>0.68055555555555547</v>
      </c>
      <c r="AL22" s="512" t="s">
        <v>103</v>
      </c>
    </row>
    <row r="23" spans="1:38" ht="15.6" customHeight="1">
      <c r="B23" s="1">
        <v>19</v>
      </c>
      <c r="C23" s="2" t="s">
        <v>0</v>
      </c>
      <c r="D23" s="23" t="s">
        <v>104</v>
      </c>
      <c r="E23" s="39" t="s">
        <v>90</v>
      </c>
      <c r="F23" s="25" t="s">
        <v>105</v>
      </c>
      <c r="G23" s="506" t="str">
        <f t="shared" si="0"/>
        <v>PREVVigia (12x36) - Noturno</v>
      </c>
      <c r="H23" s="525" t="str">
        <f t="shared" si="1"/>
        <v/>
      </c>
      <c r="I23" s="26">
        <v>9.6000000000000014</v>
      </c>
      <c r="J23" s="26">
        <v>12</v>
      </c>
      <c r="K23" s="26">
        <v>12</v>
      </c>
      <c r="L23" s="26">
        <v>12</v>
      </c>
      <c r="M23" s="26">
        <v>12</v>
      </c>
      <c r="N23" s="26">
        <v>12</v>
      </c>
      <c r="O23" s="26">
        <v>12</v>
      </c>
      <c r="P23" s="26">
        <v>12</v>
      </c>
      <c r="Q23" s="26">
        <v>12</v>
      </c>
      <c r="R23" s="26">
        <v>12</v>
      </c>
      <c r="S23" s="26">
        <v>12</v>
      </c>
      <c r="T23" s="26">
        <v>12</v>
      </c>
      <c r="U23" s="26">
        <v>2.4000000000000004</v>
      </c>
      <c r="V23" s="27">
        <f t="shared" si="2"/>
        <v>144</v>
      </c>
      <c r="W23" s="27">
        <v>5965.92</v>
      </c>
      <c r="X23" s="28">
        <f t="shared" si="3"/>
        <v>859092.47999999998</v>
      </c>
      <c r="Y23" s="29" t="s">
        <v>74</v>
      </c>
      <c r="Z23" s="528"/>
      <c r="AA23" s="537"/>
      <c r="AB23" s="533"/>
      <c r="AC23" s="533"/>
      <c r="AD23" s="658"/>
      <c r="AL23" s="512" t="s">
        <v>106</v>
      </c>
    </row>
    <row r="24" spans="1:38" ht="15.6" customHeight="1">
      <c r="A24" s="31"/>
      <c r="B24" s="30">
        <v>20</v>
      </c>
      <c r="C24" s="31" t="s">
        <v>1</v>
      </c>
      <c r="D24" s="32" t="s">
        <v>104</v>
      </c>
      <c r="E24" s="40" t="s">
        <v>90</v>
      </c>
      <c r="F24" s="34" t="s">
        <v>105</v>
      </c>
      <c r="G24" s="506" t="str">
        <f t="shared" si="0"/>
        <v>REALVigia (12x36) - Noturno</v>
      </c>
      <c r="H24" s="525">
        <f t="shared" si="1"/>
        <v>0.52407407407407414</v>
      </c>
      <c r="I24" s="35">
        <v>7.9999999999999991</v>
      </c>
      <c r="J24" s="35">
        <v>11</v>
      </c>
      <c r="K24" s="35">
        <v>12</v>
      </c>
      <c r="L24" s="35">
        <v>12</v>
      </c>
      <c r="M24" s="35">
        <v>11.066666666666666</v>
      </c>
      <c r="N24" s="35">
        <v>11</v>
      </c>
      <c r="O24" s="35">
        <v>10.4</v>
      </c>
      <c r="P24" s="35"/>
      <c r="Q24" s="35"/>
      <c r="R24" s="35"/>
      <c r="S24" s="35"/>
      <c r="T24" s="35"/>
      <c r="U24" s="35"/>
      <c r="V24" s="36">
        <f t="shared" si="2"/>
        <v>75.466666666666669</v>
      </c>
      <c r="W24" s="36">
        <v>5965.92</v>
      </c>
      <c r="X24" s="37">
        <f t="shared" si="3"/>
        <v>450228.09600000002</v>
      </c>
      <c r="Y24" s="422">
        <f t="shared" ref="Y24" si="11">X24/X23</f>
        <v>0.52407407407407414</v>
      </c>
      <c r="Z24" s="529">
        <f>X23-AC24</f>
        <v>54289.871999999974</v>
      </c>
      <c r="AA24" s="536"/>
      <c r="AB24" s="535">
        <f>ROUND((AVERAGE(J24:T24)*12),1)</f>
        <v>134.9</v>
      </c>
      <c r="AC24" s="535">
        <f>IF(AB24*W24&gt;X23,X23,AB24*W24)</f>
        <v>804802.60800000001</v>
      </c>
      <c r="AD24" s="632">
        <f>AC24/X23</f>
        <v>0.93680555555555556</v>
      </c>
      <c r="AL24" s="512" t="s">
        <v>107</v>
      </c>
    </row>
    <row r="25" spans="1:38" ht="15.6" customHeight="1">
      <c r="B25" s="1">
        <v>21</v>
      </c>
      <c r="C25" s="2" t="s">
        <v>0</v>
      </c>
      <c r="D25" s="23" t="s">
        <v>108</v>
      </c>
      <c r="E25" s="39" t="s">
        <v>91</v>
      </c>
      <c r="F25" s="25" t="s">
        <v>109</v>
      </c>
      <c r="G25" s="506" t="str">
        <f t="shared" si="0"/>
        <v>PREVEletromecânico - Montador - Com Periculosidade</v>
      </c>
      <c r="H25" s="525" t="str">
        <f t="shared" si="1"/>
        <v/>
      </c>
      <c r="I25" s="26">
        <v>6.4</v>
      </c>
      <c r="J25" s="26">
        <v>8</v>
      </c>
      <c r="K25" s="26">
        <v>8</v>
      </c>
      <c r="L25" s="26">
        <v>8</v>
      </c>
      <c r="M25" s="26">
        <v>8</v>
      </c>
      <c r="N25" s="26">
        <v>8</v>
      </c>
      <c r="O25" s="26">
        <v>8</v>
      </c>
      <c r="P25" s="26">
        <v>8</v>
      </c>
      <c r="Q25" s="26">
        <v>8</v>
      </c>
      <c r="R25" s="26">
        <v>8</v>
      </c>
      <c r="S25" s="26">
        <v>8</v>
      </c>
      <c r="T25" s="26">
        <v>8</v>
      </c>
      <c r="U25" s="26">
        <v>1.6</v>
      </c>
      <c r="V25" s="27">
        <f t="shared" si="2"/>
        <v>96</v>
      </c>
      <c r="W25" s="27">
        <v>8508.7000000000007</v>
      </c>
      <c r="X25" s="28">
        <f t="shared" si="3"/>
        <v>816835.20000000007</v>
      </c>
      <c r="Y25" s="29" t="s">
        <v>74</v>
      </c>
      <c r="Z25" s="528"/>
      <c r="AA25" s="532"/>
      <c r="AB25" s="533"/>
      <c r="AC25" s="533"/>
      <c r="AD25" s="658"/>
      <c r="AL25" s="512" t="s">
        <v>110</v>
      </c>
    </row>
    <row r="26" spans="1:38" ht="15.6" customHeight="1">
      <c r="A26" s="31"/>
      <c r="B26" s="30">
        <v>22</v>
      </c>
      <c r="C26" s="31" t="s">
        <v>1</v>
      </c>
      <c r="D26" s="32" t="s">
        <v>108</v>
      </c>
      <c r="E26" s="40" t="s">
        <v>91</v>
      </c>
      <c r="F26" s="34" t="s">
        <v>109</v>
      </c>
      <c r="G26" s="506" t="str">
        <f t="shared" si="0"/>
        <v>REALEletromecânico - Montador - Com Periculosidade</v>
      </c>
      <c r="H26" s="525">
        <f t="shared" si="1"/>
        <v>0.44895833333333324</v>
      </c>
      <c r="I26" s="35">
        <v>4.5</v>
      </c>
      <c r="J26" s="35">
        <v>5.6</v>
      </c>
      <c r="K26" s="35">
        <v>7</v>
      </c>
      <c r="L26" s="35">
        <v>6.5</v>
      </c>
      <c r="M26" s="35">
        <v>7</v>
      </c>
      <c r="N26" s="35">
        <v>6.4333333333333336</v>
      </c>
      <c r="O26" s="35">
        <v>6.0666666666666664</v>
      </c>
      <c r="P26" s="35"/>
      <c r="Q26" s="35"/>
      <c r="R26" s="35"/>
      <c r="S26" s="35"/>
      <c r="T26" s="35"/>
      <c r="U26" s="35"/>
      <c r="V26" s="36">
        <f t="shared" si="2"/>
        <v>43.099999999999994</v>
      </c>
      <c r="W26" s="36">
        <v>8508.7000000000007</v>
      </c>
      <c r="X26" s="37">
        <f t="shared" si="3"/>
        <v>366724.97</v>
      </c>
      <c r="Y26" s="422">
        <f t="shared" ref="Y26" si="12">X26/X25</f>
        <v>0.44895833333333324</v>
      </c>
      <c r="Z26" s="529">
        <f>X25-AC26</f>
        <v>159963.55999999994</v>
      </c>
      <c r="AA26" s="534"/>
      <c r="AB26" s="535">
        <f>ROUND((AVERAGE(J26:T26)*12),1)</f>
        <v>77.2</v>
      </c>
      <c r="AC26" s="535">
        <f>IF(AB26*W26&gt;X25,X25,AB26*W26)</f>
        <v>656871.64000000013</v>
      </c>
      <c r="AD26" s="632">
        <f>AC26/X25</f>
        <v>0.80416666666666681</v>
      </c>
      <c r="AL26" s="512" t="s">
        <v>111</v>
      </c>
    </row>
    <row r="27" spans="1:38" ht="15.6" customHeight="1">
      <c r="B27" s="1">
        <v>23</v>
      </c>
      <c r="C27" s="2" t="s">
        <v>0</v>
      </c>
      <c r="D27" s="23" t="s">
        <v>112</v>
      </c>
      <c r="E27" s="39" t="s">
        <v>94</v>
      </c>
      <c r="F27" s="25" t="s">
        <v>113</v>
      </c>
      <c r="G27" s="506" t="str">
        <f t="shared" si="0"/>
        <v>PREVMédico</v>
      </c>
      <c r="H27" s="525" t="str">
        <f t="shared" si="1"/>
        <v/>
      </c>
      <c r="I27" s="26">
        <v>0.8</v>
      </c>
      <c r="J27" s="26">
        <v>1</v>
      </c>
      <c r="K27" s="26">
        <v>1</v>
      </c>
      <c r="L27" s="26">
        <v>1</v>
      </c>
      <c r="M27" s="26">
        <v>1</v>
      </c>
      <c r="N27" s="26">
        <v>1</v>
      </c>
      <c r="O27" s="26">
        <v>1</v>
      </c>
      <c r="P27" s="26">
        <v>1</v>
      </c>
      <c r="Q27" s="26">
        <v>1</v>
      </c>
      <c r="R27" s="26">
        <v>1</v>
      </c>
      <c r="S27" s="26">
        <v>1</v>
      </c>
      <c r="T27" s="26">
        <v>1</v>
      </c>
      <c r="U27" s="26">
        <v>0.2</v>
      </c>
      <c r="V27" s="27">
        <f t="shared" si="2"/>
        <v>12</v>
      </c>
      <c r="W27" s="27">
        <v>19815.810000000001</v>
      </c>
      <c r="X27" s="28">
        <f t="shared" si="3"/>
        <v>237789.72000000003</v>
      </c>
      <c r="Y27" s="29" t="s">
        <v>74</v>
      </c>
      <c r="Z27" s="528"/>
      <c r="AA27" s="532"/>
      <c r="AB27" s="533"/>
      <c r="AC27" s="533"/>
      <c r="AD27" s="658"/>
      <c r="AL27" s="512" t="s">
        <v>114</v>
      </c>
    </row>
    <row r="28" spans="1:38" ht="15.6" customHeight="1">
      <c r="A28" s="31"/>
      <c r="B28" s="30">
        <v>24</v>
      </c>
      <c r="C28" s="31" t="s">
        <v>1</v>
      </c>
      <c r="D28" s="32" t="s">
        <v>112</v>
      </c>
      <c r="E28" s="40" t="s">
        <v>94</v>
      </c>
      <c r="F28" s="34" t="s">
        <v>113</v>
      </c>
      <c r="G28" s="506" t="str">
        <f t="shared" si="0"/>
        <v>REALMédico</v>
      </c>
      <c r="H28" s="525">
        <f t="shared" si="1"/>
        <v>0.4067210977473692</v>
      </c>
      <c r="I28" s="35">
        <v>0.49823105893728292</v>
      </c>
      <c r="J28" s="35">
        <v>0.6227888236716036</v>
      </c>
      <c r="K28" s="35">
        <v>0.75192665807190873</v>
      </c>
      <c r="L28" s="35">
        <v>0.75192665807190873</v>
      </c>
      <c r="M28" s="35">
        <v>0.75192665807190873</v>
      </c>
      <c r="N28" s="35">
        <v>0.75192665807190873</v>
      </c>
      <c r="O28" s="35">
        <v>0.75192665807190873</v>
      </c>
      <c r="P28" s="35"/>
      <c r="Q28" s="35"/>
      <c r="R28" s="35"/>
      <c r="S28" s="35"/>
      <c r="T28" s="35"/>
      <c r="U28" s="35"/>
      <c r="V28" s="36">
        <f t="shared" si="2"/>
        <v>4.8806531729684304</v>
      </c>
      <c r="W28" s="36">
        <v>19815.810000000001</v>
      </c>
      <c r="X28" s="37">
        <f t="shared" si="3"/>
        <v>96714.095951439565</v>
      </c>
      <c r="Y28" s="422">
        <f t="shared" ref="Y28" si="13">X28/X27</f>
        <v>0.4067210977473692</v>
      </c>
      <c r="Z28" s="529">
        <f>X27-AC28</f>
        <v>63410.592000000004</v>
      </c>
      <c r="AA28" s="534"/>
      <c r="AB28" s="535">
        <f>ROUND((AVERAGE(J28:T28)*12),1)</f>
        <v>8.8000000000000007</v>
      </c>
      <c r="AC28" s="535">
        <f>IF(AB28*W28&gt;X27,X27,AB28*W28)</f>
        <v>174379.12800000003</v>
      </c>
      <c r="AD28" s="632">
        <f>AC28/X27</f>
        <v>0.73333333333333339</v>
      </c>
      <c r="AL28" s="512" t="s">
        <v>115</v>
      </c>
    </row>
    <row r="29" spans="1:38" ht="15.6" customHeight="1">
      <c r="B29" s="1">
        <v>25</v>
      </c>
      <c r="C29" s="2" t="s">
        <v>0</v>
      </c>
      <c r="D29" s="23" t="s">
        <v>116</v>
      </c>
      <c r="E29" s="39" t="s">
        <v>95</v>
      </c>
      <c r="F29" s="25" t="s">
        <v>117</v>
      </c>
      <c r="G29" s="506" t="str">
        <f t="shared" si="0"/>
        <v>PREVEngenheiro Pleno - Segurança do Trabalho</v>
      </c>
      <c r="H29" s="525" t="str">
        <f t="shared" si="1"/>
        <v/>
      </c>
      <c r="I29" s="26">
        <v>0.8</v>
      </c>
      <c r="J29" s="26">
        <v>1</v>
      </c>
      <c r="K29" s="26">
        <v>1</v>
      </c>
      <c r="L29" s="26">
        <v>1</v>
      </c>
      <c r="M29" s="26">
        <v>1</v>
      </c>
      <c r="N29" s="26">
        <v>1</v>
      </c>
      <c r="O29" s="26">
        <v>1</v>
      </c>
      <c r="P29" s="26">
        <v>1</v>
      </c>
      <c r="Q29" s="26">
        <v>1</v>
      </c>
      <c r="R29" s="26">
        <v>1</v>
      </c>
      <c r="S29" s="26">
        <v>1</v>
      </c>
      <c r="T29" s="26">
        <v>1</v>
      </c>
      <c r="U29" s="26">
        <v>0.2</v>
      </c>
      <c r="V29" s="27">
        <f t="shared" si="2"/>
        <v>12</v>
      </c>
      <c r="W29" s="27">
        <v>25688.39</v>
      </c>
      <c r="X29" s="28">
        <f t="shared" si="3"/>
        <v>308260.68</v>
      </c>
      <c r="Y29" s="29" t="s">
        <v>74</v>
      </c>
      <c r="Z29" s="528"/>
      <c r="AA29" s="532"/>
      <c r="AB29" s="533"/>
      <c r="AC29" s="533"/>
      <c r="AD29" s="658"/>
      <c r="AL29" s="512" t="s">
        <v>118</v>
      </c>
    </row>
    <row r="30" spans="1:38" ht="15.6" customHeight="1">
      <c r="A30" s="31"/>
      <c r="B30" s="30">
        <v>26</v>
      </c>
      <c r="C30" s="31" t="s">
        <v>1</v>
      </c>
      <c r="D30" s="32" t="s">
        <v>116</v>
      </c>
      <c r="E30" s="40" t="s">
        <v>95</v>
      </c>
      <c r="F30" s="34" t="s">
        <v>117</v>
      </c>
      <c r="G30" s="506" t="str">
        <f t="shared" si="0"/>
        <v>REALEngenheiro Pleno - Segurança do Trabalho</v>
      </c>
      <c r="H30" s="525">
        <f t="shared" si="1"/>
        <v>0.51666666666666661</v>
      </c>
      <c r="I30" s="35">
        <v>0.79999999999999993</v>
      </c>
      <c r="J30" s="35">
        <v>1</v>
      </c>
      <c r="K30" s="35">
        <v>1</v>
      </c>
      <c r="L30" s="35">
        <v>0.83333333333333326</v>
      </c>
      <c r="M30" s="35">
        <v>1</v>
      </c>
      <c r="N30" s="35">
        <v>1</v>
      </c>
      <c r="O30" s="35">
        <v>0.56666666666666665</v>
      </c>
      <c r="P30" s="35"/>
      <c r="Q30" s="35"/>
      <c r="R30" s="35"/>
      <c r="S30" s="35"/>
      <c r="T30" s="35"/>
      <c r="U30" s="35"/>
      <c r="V30" s="36">
        <f t="shared" si="2"/>
        <v>6.1999999999999993</v>
      </c>
      <c r="W30" s="36">
        <v>25688.39</v>
      </c>
      <c r="X30" s="37">
        <f t="shared" si="3"/>
        <v>159268.01799999998</v>
      </c>
      <c r="Y30" s="38">
        <f t="shared" ref="Y30" si="14">X30/X29</f>
        <v>0.51666666666666661</v>
      </c>
      <c r="Z30" s="529">
        <f>X29-AC30</f>
        <v>30826.06799999997</v>
      </c>
      <c r="AA30" s="534"/>
      <c r="AB30" s="535">
        <f>ROUND((AVERAGE(J30:T30)*12),1)</f>
        <v>10.8</v>
      </c>
      <c r="AC30" s="535">
        <f>IF(AB30*W30&gt;X29,X29,AB30*W30)</f>
        <v>277434.61200000002</v>
      </c>
      <c r="AD30" s="632">
        <f>AC30/X29</f>
        <v>0.90000000000000013</v>
      </c>
      <c r="AL30" s="512" t="s">
        <v>119</v>
      </c>
    </row>
    <row r="31" spans="1:38" ht="15.6" customHeight="1">
      <c r="B31" s="1">
        <v>27</v>
      </c>
      <c r="C31" s="2" t="s">
        <v>0</v>
      </c>
      <c r="D31" s="23" t="s">
        <v>120</v>
      </c>
      <c r="E31" s="39" t="s">
        <v>98</v>
      </c>
      <c r="F31" s="25" t="s">
        <v>121</v>
      </c>
      <c r="G31" s="506" t="str">
        <f t="shared" si="0"/>
        <v xml:space="preserve">PREVTécnico Sênior - TI / Eletrotécnico (12X36) - Diurno </v>
      </c>
      <c r="H31" s="525" t="str">
        <f t="shared" si="1"/>
        <v/>
      </c>
      <c r="I31" s="26">
        <v>1.6</v>
      </c>
      <c r="J31" s="26">
        <v>2</v>
      </c>
      <c r="K31" s="26">
        <v>2</v>
      </c>
      <c r="L31" s="26">
        <v>2</v>
      </c>
      <c r="M31" s="26">
        <v>2</v>
      </c>
      <c r="N31" s="26">
        <v>2</v>
      </c>
      <c r="O31" s="26">
        <v>2</v>
      </c>
      <c r="P31" s="26">
        <v>2</v>
      </c>
      <c r="Q31" s="26">
        <v>2</v>
      </c>
      <c r="R31" s="26">
        <v>2</v>
      </c>
      <c r="S31" s="26">
        <v>2</v>
      </c>
      <c r="T31" s="26">
        <v>2</v>
      </c>
      <c r="U31" s="26">
        <v>0.4</v>
      </c>
      <c r="V31" s="27">
        <f t="shared" si="2"/>
        <v>24</v>
      </c>
      <c r="W31" s="27">
        <v>6328.66</v>
      </c>
      <c r="X31" s="28">
        <f t="shared" si="3"/>
        <v>151887.84</v>
      </c>
      <c r="Y31" s="29" t="s">
        <v>74</v>
      </c>
      <c r="Z31" s="528"/>
      <c r="AA31" s="532"/>
      <c r="AB31" s="533"/>
      <c r="AC31" s="533"/>
      <c r="AD31" s="658"/>
      <c r="AL31" s="512" t="s">
        <v>122</v>
      </c>
    </row>
    <row r="32" spans="1:38" ht="15.6" customHeight="1">
      <c r="A32" s="31"/>
      <c r="B32" s="30">
        <v>28</v>
      </c>
      <c r="C32" s="31" t="s">
        <v>1</v>
      </c>
      <c r="D32" s="32" t="s">
        <v>120</v>
      </c>
      <c r="E32" s="40" t="s">
        <v>98</v>
      </c>
      <c r="F32" s="34" t="s">
        <v>121</v>
      </c>
      <c r="G32" s="506" t="str">
        <f t="shared" si="0"/>
        <v xml:space="preserve">REALTécnico Sênior - TI / Eletrotécnico (12X36) - Diurno </v>
      </c>
      <c r="H32" s="525">
        <f t="shared" si="1"/>
        <v>0.26250000000000001</v>
      </c>
      <c r="I32" s="35">
        <v>0.8</v>
      </c>
      <c r="J32" s="35">
        <v>1</v>
      </c>
      <c r="K32" s="35">
        <v>1</v>
      </c>
      <c r="L32" s="35">
        <v>0.5</v>
      </c>
      <c r="M32" s="35">
        <v>1</v>
      </c>
      <c r="N32" s="35">
        <v>1</v>
      </c>
      <c r="O32" s="35">
        <v>1</v>
      </c>
      <c r="P32" s="35"/>
      <c r="Q32" s="35"/>
      <c r="R32" s="35"/>
      <c r="S32" s="35"/>
      <c r="T32" s="35"/>
      <c r="U32" s="35"/>
      <c r="V32" s="36">
        <f t="shared" si="2"/>
        <v>6.3</v>
      </c>
      <c r="W32" s="36">
        <v>6328.66</v>
      </c>
      <c r="X32" s="37">
        <f t="shared" si="3"/>
        <v>39870.557999999997</v>
      </c>
      <c r="Y32" s="38">
        <f t="shared" ref="Y32" si="15">X32/X31</f>
        <v>0.26250000000000001</v>
      </c>
      <c r="Z32" s="529">
        <f>X31-AC32</f>
        <v>82272.58</v>
      </c>
      <c r="AA32" s="534"/>
      <c r="AB32" s="535">
        <f>ROUND((AVERAGE(J32:T32)*12),1)</f>
        <v>11</v>
      </c>
      <c r="AC32" s="535">
        <f>IF(AB32*W32&gt;X31,X31,AB32*W32)</f>
        <v>69615.259999999995</v>
      </c>
      <c r="AD32" s="632">
        <f>AC32/X31</f>
        <v>0.45833333333333331</v>
      </c>
      <c r="AL32" s="512" t="s">
        <v>123</v>
      </c>
    </row>
    <row r="33" spans="1:38" ht="15.6" customHeight="1">
      <c r="B33" s="1">
        <v>29</v>
      </c>
      <c r="C33" s="2" t="s">
        <v>0</v>
      </c>
      <c r="D33" s="23" t="s">
        <v>124</v>
      </c>
      <c r="E33" s="39" t="s">
        <v>99</v>
      </c>
      <c r="F33" s="25" t="s">
        <v>125</v>
      </c>
      <c r="G33" s="506" t="str">
        <f t="shared" si="0"/>
        <v xml:space="preserve">PREVTécnico Sênior - Eletrotécnico / Operador de Subest (12X36) - Diurno / Técnico Pleno - Eletromecânico/ Telecomunicações / Eletrotécnico / Eletrônico - Com Periculosidade </v>
      </c>
      <c r="H33" s="525" t="str">
        <f t="shared" si="1"/>
        <v/>
      </c>
      <c r="I33" s="26">
        <v>48</v>
      </c>
      <c r="J33" s="26">
        <v>60</v>
      </c>
      <c r="K33" s="26">
        <v>60</v>
      </c>
      <c r="L33" s="26">
        <v>60</v>
      </c>
      <c r="M33" s="26">
        <v>60</v>
      </c>
      <c r="N33" s="26">
        <v>60</v>
      </c>
      <c r="O33" s="26">
        <v>60</v>
      </c>
      <c r="P33" s="26">
        <v>60</v>
      </c>
      <c r="Q33" s="26">
        <v>60</v>
      </c>
      <c r="R33" s="26">
        <v>60</v>
      </c>
      <c r="S33" s="26">
        <v>60</v>
      </c>
      <c r="T33" s="26">
        <v>60</v>
      </c>
      <c r="U33" s="26">
        <v>12</v>
      </c>
      <c r="V33" s="27">
        <f t="shared" si="2"/>
        <v>720</v>
      </c>
      <c r="W33" s="27">
        <v>8227.26</v>
      </c>
      <c r="X33" s="28">
        <f t="shared" si="3"/>
        <v>5923627.2000000002</v>
      </c>
      <c r="Y33" s="29" t="s">
        <v>74</v>
      </c>
      <c r="Z33" s="528"/>
      <c r="AA33" s="532"/>
      <c r="AB33" s="533"/>
      <c r="AC33" s="533"/>
      <c r="AD33" s="658"/>
      <c r="AL33" s="512" t="s">
        <v>126</v>
      </c>
    </row>
    <row r="34" spans="1:38" ht="15.6" customHeight="1">
      <c r="A34" s="31"/>
      <c r="B34" s="30">
        <v>30</v>
      </c>
      <c r="C34" s="31" t="s">
        <v>1</v>
      </c>
      <c r="D34" s="32" t="s">
        <v>124</v>
      </c>
      <c r="E34" s="40" t="s">
        <v>99</v>
      </c>
      <c r="F34" s="34" t="s">
        <v>125</v>
      </c>
      <c r="G34" s="506" t="str">
        <f t="shared" si="0"/>
        <v xml:space="preserve">REALTécnico Sênior - Eletrotécnico / Operador de Subest (12X36) - Diurno / Técnico Pleno - Eletromecânico/ Telecomunicações / Eletrotécnico / Eletrônico - Com Periculosidade </v>
      </c>
      <c r="H34" s="525">
        <f t="shared" si="1"/>
        <v>0.55274738435036341</v>
      </c>
      <c r="I34" s="35">
        <v>42.373335472563184</v>
      </c>
      <c r="J34" s="35">
        <v>58.106669778273684</v>
      </c>
      <c r="K34" s="35">
        <v>59.117146089139439</v>
      </c>
      <c r="L34" s="35">
        <v>62.561908095769425</v>
      </c>
      <c r="M34" s="35">
        <v>60.580955992639097</v>
      </c>
      <c r="N34" s="35">
        <v>56.202860328550045</v>
      </c>
      <c r="O34" s="35">
        <v>59.035240975326737</v>
      </c>
      <c r="P34" s="35"/>
      <c r="Q34" s="35"/>
      <c r="R34" s="35"/>
      <c r="S34" s="35"/>
      <c r="T34" s="35"/>
      <c r="U34" s="35"/>
      <c r="V34" s="36">
        <f t="shared" si="2"/>
        <v>397.97811673226164</v>
      </c>
      <c r="W34" s="36">
        <v>8227.26</v>
      </c>
      <c r="X34" s="37">
        <f t="shared" si="3"/>
        <v>3274269.4406666672</v>
      </c>
      <c r="Y34" s="38">
        <f t="shared" ref="Y34" si="16">X34/X33</f>
        <v>0.55274738435036341</v>
      </c>
      <c r="Z34" s="529">
        <f>X33-AC34</f>
        <v>72399.887999999337</v>
      </c>
      <c r="AA34" s="534"/>
      <c r="AB34" s="535">
        <f>ROUND((AVERAGE(J34:T34)*12),1)</f>
        <v>711.2</v>
      </c>
      <c r="AC34" s="535">
        <f>IF(AB34*W34&gt;X33,X33,AB34*W34)</f>
        <v>5851227.3120000008</v>
      </c>
      <c r="AD34" s="632">
        <f>AC34/X33</f>
        <v>0.98777777777777787</v>
      </c>
      <c r="AL34" s="512" t="s">
        <v>127</v>
      </c>
    </row>
    <row r="35" spans="1:38" ht="15.6" customHeight="1">
      <c r="B35" s="1">
        <v>31</v>
      </c>
      <c r="C35" s="2" t="s">
        <v>0</v>
      </c>
      <c r="D35" s="23" t="s">
        <v>128</v>
      </c>
      <c r="E35" s="24" t="s">
        <v>102</v>
      </c>
      <c r="F35" s="25" t="s">
        <v>129</v>
      </c>
      <c r="G35" s="506" t="str">
        <f t="shared" si="0"/>
        <v>PREVTécnico Sênior - Eletrotécnico - Noturno / Técnico Pleno - Operador de Subest (12X36) - Noturno</v>
      </c>
      <c r="H35" s="525" t="str">
        <f t="shared" si="1"/>
        <v/>
      </c>
      <c r="I35" s="26">
        <v>3.2</v>
      </c>
      <c r="J35" s="26">
        <v>4</v>
      </c>
      <c r="K35" s="26">
        <v>4</v>
      </c>
      <c r="L35" s="26">
        <v>4</v>
      </c>
      <c r="M35" s="26">
        <v>4</v>
      </c>
      <c r="N35" s="26">
        <v>4</v>
      </c>
      <c r="O35" s="26">
        <v>4</v>
      </c>
      <c r="P35" s="26">
        <v>4</v>
      </c>
      <c r="Q35" s="26">
        <v>4</v>
      </c>
      <c r="R35" s="26">
        <v>4</v>
      </c>
      <c r="S35" s="26">
        <v>4</v>
      </c>
      <c r="T35" s="26">
        <v>4</v>
      </c>
      <c r="U35" s="26">
        <v>0.8</v>
      </c>
      <c r="V35" s="27">
        <f t="shared" si="2"/>
        <v>48</v>
      </c>
      <c r="W35" s="27">
        <v>12223.36</v>
      </c>
      <c r="X35" s="28">
        <f t="shared" si="3"/>
        <v>586721.28000000003</v>
      </c>
      <c r="Y35" s="29" t="s">
        <v>74</v>
      </c>
      <c r="Z35" s="528"/>
      <c r="AA35" s="532"/>
      <c r="AB35" s="533"/>
      <c r="AC35" s="533"/>
      <c r="AD35" s="658"/>
      <c r="AL35" s="512" t="s">
        <v>127</v>
      </c>
    </row>
    <row r="36" spans="1:38" ht="15.6" customHeight="1">
      <c r="A36" s="31"/>
      <c r="B36" s="30">
        <v>32</v>
      </c>
      <c r="C36" s="31" t="s">
        <v>1</v>
      </c>
      <c r="D36" s="32" t="s">
        <v>128</v>
      </c>
      <c r="E36" s="33" t="s">
        <v>102</v>
      </c>
      <c r="F36" s="34" t="s">
        <v>129</v>
      </c>
      <c r="G36" s="506" t="str">
        <f t="shared" si="0"/>
        <v>REALTécnico Sênior - Eletrotécnico - Noturno / Técnico Pleno - Operador de Subest (12X36) - Noturno</v>
      </c>
      <c r="H36" s="525">
        <f t="shared" si="1"/>
        <v>0.56666666666666665</v>
      </c>
      <c r="I36" s="35">
        <v>3.1999999999999993</v>
      </c>
      <c r="J36" s="35">
        <v>4</v>
      </c>
      <c r="K36" s="35">
        <v>4</v>
      </c>
      <c r="L36" s="35">
        <v>4</v>
      </c>
      <c r="M36" s="35">
        <v>4</v>
      </c>
      <c r="N36" s="35">
        <v>4</v>
      </c>
      <c r="O36" s="35">
        <v>4</v>
      </c>
      <c r="P36" s="35"/>
      <c r="Q36" s="35"/>
      <c r="R36" s="35"/>
      <c r="S36" s="35"/>
      <c r="T36" s="35"/>
      <c r="U36" s="35"/>
      <c r="V36" s="36">
        <f t="shared" si="2"/>
        <v>27.2</v>
      </c>
      <c r="W36" s="36">
        <v>12223.36</v>
      </c>
      <c r="X36" s="37">
        <f t="shared" si="3"/>
        <v>332475.39199999999</v>
      </c>
      <c r="Y36" s="38">
        <f t="shared" ref="Y36" si="17">X36/X35</f>
        <v>0.56666666666666665</v>
      </c>
      <c r="Z36" s="529">
        <f>X35-AC36</f>
        <v>0</v>
      </c>
      <c r="AA36" s="534"/>
      <c r="AB36" s="535">
        <f>ROUND((AVERAGE(J36:T36)*12),1)</f>
        <v>48</v>
      </c>
      <c r="AC36" s="535">
        <f>IF(AB36*W36&gt;X35,X35,AB36*W36)</f>
        <v>586721.28000000003</v>
      </c>
      <c r="AD36" s="632">
        <f>AC36/X35</f>
        <v>1</v>
      </c>
      <c r="AL36" s="512" t="s">
        <v>130</v>
      </c>
    </row>
    <row r="37" spans="1:38" ht="15.6" customHeight="1">
      <c r="B37" s="1">
        <v>33</v>
      </c>
      <c r="C37" s="2" t="s">
        <v>0</v>
      </c>
      <c r="D37" s="23" t="s">
        <v>131</v>
      </c>
      <c r="E37" s="24" t="s">
        <v>103</v>
      </c>
      <c r="F37" s="25" t="s">
        <v>132</v>
      </c>
      <c r="G37" s="506" t="str">
        <f t="shared" si="0"/>
        <v xml:space="preserve">PREVTécnico Sênior - Segurança </v>
      </c>
      <c r="H37" s="525" t="str">
        <f t="shared" si="1"/>
        <v/>
      </c>
      <c r="I37" s="26">
        <v>1.6</v>
      </c>
      <c r="J37" s="26">
        <v>2</v>
      </c>
      <c r="K37" s="26">
        <v>2</v>
      </c>
      <c r="L37" s="26">
        <v>2</v>
      </c>
      <c r="M37" s="26">
        <v>2</v>
      </c>
      <c r="N37" s="26">
        <v>2</v>
      </c>
      <c r="O37" s="26">
        <v>2</v>
      </c>
      <c r="P37" s="26">
        <v>2</v>
      </c>
      <c r="Q37" s="26">
        <v>2</v>
      </c>
      <c r="R37" s="26">
        <v>2</v>
      </c>
      <c r="S37" s="26">
        <v>2</v>
      </c>
      <c r="T37" s="26">
        <v>2</v>
      </c>
      <c r="U37" s="26">
        <v>0.4</v>
      </c>
      <c r="V37" s="27">
        <f t="shared" si="2"/>
        <v>24</v>
      </c>
      <c r="W37" s="27">
        <v>8433.02</v>
      </c>
      <c r="X37" s="28">
        <f t="shared" si="3"/>
        <v>202392.48</v>
      </c>
      <c r="Y37" s="29" t="s">
        <v>74</v>
      </c>
      <c r="Z37" s="528"/>
      <c r="AA37" s="532"/>
      <c r="AB37" s="533"/>
      <c r="AC37" s="533"/>
      <c r="AD37" s="658"/>
      <c r="AL37" s="512" t="s">
        <v>133</v>
      </c>
    </row>
    <row r="38" spans="1:38" ht="15.6" customHeight="1">
      <c r="A38" s="31"/>
      <c r="B38" s="30">
        <v>34</v>
      </c>
      <c r="C38" s="31" t="s">
        <v>1</v>
      </c>
      <c r="D38" s="32" t="s">
        <v>131</v>
      </c>
      <c r="E38" s="33" t="s">
        <v>103</v>
      </c>
      <c r="F38" s="34" t="s">
        <v>132</v>
      </c>
      <c r="G38" s="506" t="str">
        <f t="shared" si="0"/>
        <v xml:space="preserve">REALTécnico Sênior - Segurança </v>
      </c>
      <c r="H38" s="525">
        <f t="shared" si="1"/>
        <v>0.56666666666666665</v>
      </c>
      <c r="I38" s="35">
        <v>1.6</v>
      </c>
      <c r="J38" s="35">
        <v>2</v>
      </c>
      <c r="K38" s="35">
        <v>2</v>
      </c>
      <c r="L38" s="35">
        <v>2</v>
      </c>
      <c r="M38" s="35">
        <v>2</v>
      </c>
      <c r="N38" s="35">
        <v>2</v>
      </c>
      <c r="O38" s="35">
        <v>2</v>
      </c>
      <c r="P38" s="35"/>
      <c r="Q38" s="35"/>
      <c r="R38" s="35"/>
      <c r="S38" s="35"/>
      <c r="T38" s="35"/>
      <c r="U38" s="35"/>
      <c r="V38" s="36">
        <f t="shared" si="2"/>
        <v>13.6</v>
      </c>
      <c r="W38" s="36">
        <v>8433.02</v>
      </c>
      <c r="X38" s="37">
        <f t="shared" si="3"/>
        <v>114689.072</v>
      </c>
      <c r="Y38" s="38">
        <f t="shared" ref="Y38" si="18">X38/X37</f>
        <v>0.56666666666666665</v>
      </c>
      <c r="Z38" s="529">
        <f>X37-AC38</f>
        <v>0</v>
      </c>
      <c r="AA38" s="534"/>
      <c r="AB38" s="535">
        <f>ROUND((AVERAGE(J38:T38)*12),1)</f>
        <v>24</v>
      </c>
      <c r="AC38" s="535">
        <f>IF(AB38*W38&gt;X37,X37,AB38*W38)</f>
        <v>202392.48</v>
      </c>
      <c r="AD38" s="632">
        <f>AC38/X37</f>
        <v>1</v>
      </c>
      <c r="AL38" s="512" t="s">
        <v>133</v>
      </c>
    </row>
    <row r="39" spans="1:38" ht="15.6" customHeight="1">
      <c r="B39" s="1">
        <v>35</v>
      </c>
      <c r="C39" s="2" t="s">
        <v>0</v>
      </c>
      <c r="D39" s="23" t="s">
        <v>134</v>
      </c>
      <c r="E39" s="24" t="s">
        <v>106</v>
      </c>
      <c r="F39" s="25" t="s">
        <v>135</v>
      </c>
      <c r="G39" s="506" t="str">
        <f t="shared" si="0"/>
        <v>PREVSecretária</v>
      </c>
      <c r="H39" s="525" t="str">
        <f t="shared" si="1"/>
        <v/>
      </c>
      <c r="I39" s="26">
        <v>0.8</v>
      </c>
      <c r="J39" s="26">
        <v>1</v>
      </c>
      <c r="K39" s="26">
        <v>1</v>
      </c>
      <c r="L39" s="26">
        <v>1</v>
      </c>
      <c r="M39" s="26">
        <v>1</v>
      </c>
      <c r="N39" s="26">
        <v>1</v>
      </c>
      <c r="O39" s="26">
        <v>1</v>
      </c>
      <c r="P39" s="26">
        <v>1</v>
      </c>
      <c r="Q39" s="26">
        <v>1</v>
      </c>
      <c r="R39" s="26">
        <v>1</v>
      </c>
      <c r="S39" s="26">
        <v>1</v>
      </c>
      <c r="T39" s="26">
        <v>1</v>
      </c>
      <c r="U39" s="26">
        <v>0.2</v>
      </c>
      <c r="V39" s="27">
        <f t="shared" si="2"/>
        <v>12</v>
      </c>
      <c r="W39" s="27">
        <v>6370.42</v>
      </c>
      <c r="X39" s="28">
        <f t="shared" si="3"/>
        <v>76445.040000000008</v>
      </c>
      <c r="Y39" s="29" t="s">
        <v>74</v>
      </c>
      <c r="Z39" s="528"/>
      <c r="AA39" s="532"/>
      <c r="AB39" s="533"/>
      <c r="AC39" s="533"/>
      <c r="AD39" s="658"/>
      <c r="AL39" s="512" t="s">
        <v>136</v>
      </c>
    </row>
    <row r="40" spans="1:38" ht="15.6" customHeight="1">
      <c r="A40" s="31"/>
      <c r="B40" s="30">
        <v>36</v>
      </c>
      <c r="C40" s="31" t="s">
        <v>1</v>
      </c>
      <c r="D40" s="32" t="s">
        <v>134</v>
      </c>
      <c r="E40" s="33" t="s">
        <v>106</v>
      </c>
      <c r="F40" s="34" t="s">
        <v>135</v>
      </c>
      <c r="G40" s="506" t="str">
        <f t="shared" si="0"/>
        <v>REALSecretária</v>
      </c>
      <c r="H40" s="525">
        <f t="shared" si="1"/>
        <v>0.56666666666666665</v>
      </c>
      <c r="I40" s="35">
        <v>0.8</v>
      </c>
      <c r="J40" s="35">
        <v>1</v>
      </c>
      <c r="K40" s="35">
        <v>1</v>
      </c>
      <c r="L40" s="35">
        <v>1</v>
      </c>
      <c r="M40" s="35">
        <v>1</v>
      </c>
      <c r="N40" s="35">
        <v>1</v>
      </c>
      <c r="O40" s="35">
        <v>1</v>
      </c>
      <c r="P40" s="35"/>
      <c r="Q40" s="35"/>
      <c r="R40" s="35"/>
      <c r="S40" s="35"/>
      <c r="T40" s="35"/>
      <c r="U40" s="35"/>
      <c r="V40" s="36">
        <f t="shared" si="2"/>
        <v>6.8</v>
      </c>
      <c r="W40" s="36">
        <v>6370.42</v>
      </c>
      <c r="X40" s="37">
        <f t="shared" si="3"/>
        <v>43318.856</v>
      </c>
      <c r="Y40" s="38">
        <f t="shared" ref="Y40" si="19">X40/X39</f>
        <v>0.56666666666666665</v>
      </c>
      <c r="Z40" s="529">
        <f>X39-AC40</f>
        <v>0</v>
      </c>
      <c r="AA40" s="534"/>
      <c r="AB40" s="535">
        <f>ROUND((AVERAGE(J40:T40)*12),1)</f>
        <v>12</v>
      </c>
      <c r="AC40" s="535">
        <f>IF(AB40*W40&gt;X39,X39,AB40*W40)</f>
        <v>76445.040000000008</v>
      </c>
      <c r="AD40" s="632">
        <f>AC40/X39</f>
        <v>1</v>
      </c>
      <c r="AL40" s="512" t="s">
        <v>137</v>
      </c>
    </row>
    <row r="41" spans="1:38" ht="15.6" customHeight="1">
      <c r="B41" s="1">
        <v>37</v>
      </c>
      <c r="C41" s="2" t="s">
        <v>0</v>
      </c>
      <c r="D41" s="23" t="s">
        <v>138</v>
      </c>
      <c r="E41" s="24" t="s">
        <v>107</v>
      </c>
      <c r="F41" s="25" t="s">
        <v>139</v>
      </c>
      <c r="G41" s="506" t="str">
        <f t="shared" si="0"/>
        <v>PREVChefe de Escritório</v>
      </c>
      <c r="H41" s="525" t="str">
        <f t="shared" si="1"/>
        <v/>
      </c>
      <c r="I41" s="26">
        <v>1.6</v>
      </c>
      <c r="J41" s="26">
        <v>2</v>
      </c>
      <c r="K41" s="26">
        <v>2</v>
      </c>
      <c r="L41" s="26">
        <v>2</v>
      </c>
      <c r="M41" s="26">
        <v>2</v>
      </c>
      <c r="N41" s="26">
        <v>2</v>
      </c>
      <c r="O41" s="26">
        <v>2</v>
      </c>
      <c r="P41" s="26">
        <v>2</v>
      </c>
      <c r="Q41" s="26">
        <v>2</v>
      </c>
      <c r="R41" s="26">
        <v>2</v>
      </c>
      <c r="S41" s="26">
        <v>2</v>
      </c>
      <c r="T41" s="26">
        <v>2</v>
      </c>
      <c r="U41" s="26">
        <v>0.4</v>
      </c>
      <c r="V41" s="27">
        <f t="shared" si="2"/>
        <v>24</v>
      </c>
      <c r="W41" s="27">
        <v>7072.07</v>
      </c>
      <c r="X41" s="28">
        <f t="shared" si="3"/>
        <v>169729.68</v>
      </c>
      <c r="Y41" s="29" t="s">
        <v>74</v>
      </c>
      <c r="Z41" s="528"/>
      <c r="AA41" s="532"/>
      <c r="AB41" s="533"/>
      <c r="AC41" s="533"/>
      <c r="AD41" s="658"/>
      <c r="AL41" s="512" t="s">
        <v>137</v>
      </c>
    </row>
    <row r="42" spans="1:38" ht="15.6" customHeight="1">
      <c r="A42" s="31"/>
      <c r="B42" s="30">
        <v>38</v>
      </c>
      <c r="C42" s="31" t="s">
        <v>1</v>
      </c>
      <c r="D42" s="32" t="s">
        <v>138</v>
      </c>
      <c r="E42" s="33" t="s">
        <v>107</v>
      </c>
      <c r="F42" s="34" t="s">
        <v>139</v>
      </c>
      <c r="G42" s="506" t="str">
        <f t="shared" si="0"/>
        <v>REALChefe de Escritório</v>
      </c>
      <c r="H42" s="525">
        <f t="shared" si="1"/>
        <v>0.53888888888888886</v>
      </c>
      <c r="I42" s="35">
        <v>1.6</v>
      </c>
      <c r="J42" s="35">
        <v>2</v>
      </c>
      <c r="K42" s="35">
        <v>2</v>
      </c>
      <c r="L42" s="35">
        <v>2</v>
      </c>
      <c r="M42" s="35">
        <v>1.6666666666666665</v>
      </c>
      <c r="N42" s="35">
        <v>1.6666666666666665</v>
      </c>
      <c r="O42" s="35">
        <v>2</v>
      </c>
      <c r="P42" s="35"/>
      <c r="Q42" s="35"/>
      <c r="R42" s="35"/>
      <c r="S42" s="35"/>
      <c r="T42" s="35"/>
      <c r="U42" s="35"/>
      <c r="V42" s="36">
        <f t="shared" si="2"/>
        <v>12.933333333333332</v>
      </c>
      <c r="W42" s="36">
        <v>7072.07</v>
      </c>
      <c r="X42" s="37">
        <f t="shared" si="3"/>
        <v>91465.438666666654</v>
      </c>
      <c r="Y42" s="38">
        <f t="shared" ref="Y42" si="20">X42/X41</f>
        <v>0.53888888888888886</v>
      </c>
      <c r="Z42" s="529">
        <f>X41-AC42</f>
        <v>9193.6909999999916</v>
      </c>
      <c r="AA42" s="534"/>
      <c r="AB42" s="535">
        <f>ROUND((AVERAGE(J42:T42)*12),1)</f>
        <v>22.7</v>
      </c>
      <c r="AC42" s="535">
        <f>IF(AB42*W42&gt;X41,X41,AB42*W42)</f>
        <v>160535.989</v>
      </c>
      <c r="AD42" s="632">
        <f>AC42/X41</f>
        <v>0.94583333333333341</v>
      </c>
      <c r="AL42" s="512" t="s">
        <v>127</v>
      </c>
    </row>
    <row r="43" spans="1:38" ht="15.6" customHeight="1">
      <c r="B43" s="1">
        <v>39</v>
      </c>
      <c r="C43" s="2" t="s">
        <v>0</v>
      </c>
      <c r="D43" s="23" t="s">
        <v>140</v>
      </c>
      <c r="E43" s="24" t="s">
        <v>110</v>
      </c>
      <c r="F43" s="25" t="s">
        <v>141</v>
      </c>
      <c r="G43" s="506" t="str">
        <f t="shared" si="0"/>
        <v>PREVComprador</v>
      </c>
      <c r="H43" s="525" t="str">
        <f t="shared" si="1"/>
        <v/>
      </c>
      <c r="I43" s="26">
        <v>0.8</v>
      </c>
      <c r="J43" s="26">
        <v>1</v>
      </c>
      <c r="K43" s="26">
        <v>1</v>
      </c>
      <c r="L43" s="26">
        <v>1</v>
      </c>
      <c r="M43" s="26">
        <v>1</v>
      </c>
      <c r="N43" s="26">
        <v>1</v>
      </c>
      <c r="O43" s="26">
        <v>1</v>
      </c>
      <c r="P43" s="26">
        <v>1</v>
      </c>
      <c r="Q43" s="26">
        <v>1</v>
      </c>
      <c r="R43" s="26">
        <v>1</v>
      </c>
      <c r="S43" s="26">
        <v>1</v>
      </c>
      <c r="T43" s="26">
        <v>1</v>
      </c>
      <c r="U43" s="26">
        <v>0.2</v>
      </c>
      <c r="V43" s="27">
        <f t="shared" si="2"/>
        <v>12</v>
      </c>
      <c r="W43" s="27">
        <v>6365.63</v>
      </c>
      <c r="X43" s="28">
        <f t="shared" si="3"/>
        <v>76387.56</v>
      </c>
      <c r="Y43" s="29" t="s">
        <v>74</v>
      </c>
      <c r="Z43" s="528"/>
      <c r="AA43" s="532"/>
      <c r="AB43" s="533"/>
      <c r="AC43" s="533"/>
      <c r="AD43" s="658"/>
      <c r="AL43" s="512" t="s">
        <v>127</v>
      </c>
    </row>
    <row r="44" spans="1:38" ht="15.6" customHeight="1">
      <c r="A44" s="31"/>
      <c r="B44" s="30">
        <v>40</v>
      </c>
      <c r="C44" s="31" t="s">
        <v>1</v>
      </c>
      <c r="D44" s="32" t="s">
        <v>140</v>
      </c>
      <c r="E44" s="33" t="s">
        <v>110</v>
      </c>
      <c r="F44" s="34" t="s">
        <v>141</v>
      </c>
      <c r="G44" s="506" t="str">
        <f t="shared" si="0"/>
        <v>REALComprador</v>
      </c>
      <c r="H44" s="525">
        <f t="shared" si="1"/>
        <v>0.41666666666666669</v>
      </c>
      <c r="I44" s="35">
        <v>0</v>
      </c>
      <c r="J44" s="35">
        <v>1</v>
      </c>
      <c r="K44" s="35">
        <v>0</v>
      </c>
      <c r="L44" s="35">
        <v>1</v>
      </c>
      <c r="M44" s="35">
        <v>1</v>
      </c>
      <c r="N44" s="35">
        <v>1</v>
      </c>
      <c r="O44" s="35">
        <v>1</v>
      </c>
      <c r="P44" s="35"/>
      <c r="Q44" s="35"/>
      <c r="R44" s="35"/>
      <c r="S44" s="35"/>
      <c r="T44" s="35"/>
      <c r="U44" s="35"/>
      <c r="V44" s="36">
        <f t="shared" si="2"/>
        <v>5</v>
      </c>
      <c r="W44" s="36">
        <v>6365.63</v>
      </c>
      <c r="X44" s="37">
        <f t="shared" si="3"/>
        <v>31828.15</v>
      </c>
      <c r="Y44" s="38">
        <f t="shared" ref="Y44" si="21">X44/X43</f>
        <v>0.41666666666666669</v>
      </c>
      <c r="Z44" s="529">
        <f>X43-AC44</f>
        <v>12731.259999999995</v>
      </c>
      <c r="AA44" s="534"/>
      <c r="AB44" s="535">
        <f>ROUND((AVERAGE(J44:T44)*12),1)</f>
        <v>10</v>
      </c>
      <c r="AC44" s="535">
        <f>IF(AB44*W44&gt;X43,X43,AB44*W44)</f>
        <v>63656.3</v>
      </c>
      <c r="AD44" s="632">
        <f>AC44/X43</f>
        <v>0.83333333333333337</v>
      </c>
      <c r="AL44" s="512" t="s">
        <v>142</v>
      </c>
    </row>
    <row r="45" spans="1:38" ht="15.6" customHeight="1">
      <c r="B45" s="1">
        <v>41</v>
      </c>
      <c r="C45" s="2" t="s">
        <v>0</v>
      </c>
      <c r="D45" s="23" t="s">
        <v>143</v>
      </c>
      <c r="E45" s="24" t="s">
        <v>111</v>
      </c>
      <c r="F45" s="25" t="s">
        <v>144</v>
      </c>
      <c r="G45" s="506" t="str">
        <f t="shared" si="0"/>
        <v>PREVEletricista - Com Periculosidade</v>
      </c>
      <c r="H45" s="525" t="str">
        <f t="shared" si="1"/>
        <v/>
      </c>
      <c r="I45" s="26">
        <v>8.8000000000000007</v>
      </c>
      <c r="J45" s="26">
        <v>11</v>
      </c>
      <c r="K45" s="26">
        <v>11</v>
      </c>
      <c r="L45" s="26">
        <v>11</v>
      </c>
      <c r="M45" s="26">
        <v>11</v>
      </c>
      <c r="N45" s="26">
        <v>11</v>
      </c>
      <c r="O45" s="26">
        <v>11</v>
      </c>
      <c r="P45" s="26">
        <v>11</v>
      </c>
      <c r="Q45" s="26">
        <v>11</v>
      </c>
      <c r="R45" s="26">
        <v>11</v>
      </c>
      <c r="S45" s="26">
        <v>11</v>
      </c>
      <c r="T45" s="26">
        <v>11</v>
      </c>
      <c r="U45" s="26">
        <v>2.2000000000000002</v>
      </c>
      <c r="V45" s="27">
        <f t="shared" si="2"/>
        <v>132</v>
      </c>
      <c r="W45" s="27">
        <v>7104.43</v>
      </c>
      <c r="X45" s="28">
        <f t="shared" si="3"/>
        <v>937784.76</v>
      </c>
      <c r="Y45" s="29" t="s">
        <v>74</v>
      </c>
      <c r="Z45" s="528"/>
      <c r="AA45" s="532"/>
      <c r="AB45" s="533"/>
      <c r="AC45" s="533"/>
      <c r="AD45" s="658"/>
      <c r="AL45" s="512" t="s">
        <v>145</v>
      </c>
    </row>
    <row r="46" spans="1:38" ht="15.6" customHeight="1">
      <c r="A46" s="31"/>
      <c r="B46" s="30">
        <v>42</v>
      </c>
      <c r="C46" s="31" t="s">
        <v>1</v>
      </c>
      <c r="D46" s="32" t="s">
        <v>143</v>
      </c>
      <c r="E46" s="33" t="s">
        <v>111</v>
      </c>
      <c r="F46" s="34" t="s">
        <v>144</v>
      </c>
      <c r="G46" s="506" t="str">
        <f t="shared" si="0"/>
        <v>REALEletricista - Com Periculosidade</v>
      </c>
      <c r="H46" s="525">
        <f t="shared" si="1"/>
        <v>0.39570707070707067</v>
      </c>
      <c r="I46" s="35">
        <v>6.0999999999999988</v>
      </c>
      <c r="J46" s="35">
        <v>8.3666666666666671</v>
      </c>
      <c r="K46" s="35">
        <v>8.4</v>
      </c>
      <c r="L46" s="35">
        <v>6.5333333333333332</v>
      </c>
      <c r="M46" s="35">
        <v>7.2333333333333334</v>
      </c>
      <c r="N46" s="35">
        <v>7.3666666666666671</v>
      </c>
      <c r="O46" s="35">
        <v>8.2333333333333343</v>
      </c>
      <c r="P46" s="35"/>
      <c r="Q46" s="35"/>
      <c r="R46" s="35"/>
      <c r="S46" s="35"/>
      <c r="T46" s="35"/>
      <c r="U46" s="35"/>
      <c r="V46" s="36">
        <f t="shared" si="2"/>
        <v>52.233333333333334</v>
      </c>
      <c r="W46" s="36">
        <v>7104.43</v>
      </c>
      <c r="X46" s="37">
        <f t="shared" si="3"/>
        <v>371088.06033333333</v>
      </c>
      <c r="Y46" s="38">
        <f t="shared" ref="Y46" si="22">X46/X45</f>
        <v>0.39570707070707067</v>
      </c>
      <c r="Z46" s="529">
        <f>X45-AC46</f>
        <v>282045.87100000004</v>
      </c>
      <c r="AA46" s="534"/>
      <c r="AB46" s="535">
        <f>ROUND((AVERAGE(J46:T46)*12),1)</f>
        <v>92.3</v>
      </c>
      <c r="AC46" s="535">
        <f>IF(AB46*W46&gt;X45,X45,AB46*W46)</f>
        <v>655738.88899999997</v>
      </c>
      <c r="AD46" s="632">
        <f>AC46/X45</f>
        <v>0.69924242424242422</v>
      </c>
      <c r="AL46" s="512" t="s">
        <v>146</v>
      </c>
    </row>
    <row r="47" spans="1:38" ht="15.6" customHeight="1">
      <c r="B47" s="1">
        <v>43</v>
      </c>
      <c r="C47" s="2" t="s">
        <v>0</v>
      </c>
      <c r="D47" s="23" t="s">
        <v>147</v>
      </c>
      <c r="E47" s="24" t="s">
        <v>114</v>
      </c>
      <c r="F47" s="25" t="s">
        <v>148</v>
      </c>
      <c r="G47" s="506" t="str">
        <f t="shared" si="0"/>
        <v>PREVEngenheiro Júnior - Eletricista - Com Periculosidade</v>
      </c>
      <c r="H47" s="525" t="str">
        <f t="shared" si="1"/>
        <v/>
      </c>
      <c r="I47" s="26">
        <v>0.8</v>
      </c>
      <c r="J47" s="26">
        <v>1</v>
      </c>
      <c r="K47" s="26">
        <v>1</v>
      </c>
      <c r="L47" s="26">
        <v>1</v>
      </c>
      <c r="M47" s="26">
        <v>1</v>
      </c>
      <c r="N47" s="26">
        <v>1</v>
      </c>
      <c r="O47" s="26">
        <v>1</v>
      </c>
      <c r="P47" s="26">
        <v>1</v>
      </c>
      <c r="Q47" s="26">
        <v>1</v>
      </c>
      <c r="R47" s="26">
        <v>1</v>
      </c>
      <c r="S47" s="26">
        <v>1</v>
      </c>
      <c r="T47" s="26">
        <v>1</v>
      </c>
      <c r="U47" s="26">
        <v>0.2</v>
      </c>
      <c r="V47" s="27">
        <f t="shared" si="2"/>
        <v>12</v>
      </c>
      <c r="W47" s="27">
        <v>25568.86</v>
      </c>
      <c r="X47" s="28">
        <f t="shared" si="3"/>
        <v>306826.32</v>
      </c>
      <c r="Y47" s="29" t="s">
        <v>74</v>
      </c>
      <c r="Z47" s="528"/>
      <c r="AA47" s="532"/>
      <c r="AB47" s="533"/>
      <c r="AC47" s="533"/>
      <c r="AD47" s="658"/>
      <c r="AL47" s="512" t="s">
        <v>149</v>
      </c>
    </row>
    <row r="48" spans="1:38" ht="15.6" customHeight="1">
      <c r="A48" s="31"/>
      <c r="B48" s="30">
        <v>44</v>
      </c>
      <c r="C48" s="31" t="s">
        <v>1</v>
      </c>
      <c r="D48" s="32" t="s">
        <v>147</v>
      </c>
      <c r="E48" s="33" t="s">
        <v>114</v>
      </c>
      <c r="F48" s="34" t="s">
        <v>148</v>
      </c>
      <c r="G48" s="506" t="str">
        <f t="shared" si="0"/>
        <v>REALEngenheiro Júnior - Eletricista - Com Periculosidade</v>
      </c>
      <c r="H48" s="525">
        <f t="shared" si="1"/>
        <v>0.29876511472315581</v>
      </c>
      <c r="I48" s="35">
        <v>0.79999999999999993</v>
      </c>
      <c r="J48" s="35">
        <v>0.46419689611297843</v>
      </c>
      <c r="K48" s="35">
        <v>0.46419689611297843</v>
      </c>
      <c r="L48" s="35">
        <v>0.46419689611297843</v>
      </c>
      <c r="M48" s="35">
        <v>0.46419689611297843</v>
      </c>
      <c r="N48" s="35">
        <v>0.46419689611297843</v>
      </c>
      <c r="O48" s="35">
        <v>0.46419689611297843</v>
      </c>
      <c r="P48" s="35"/>
      <c r="Q48" s="35"/>
      <c r="R48" s="35"/>
      <c r="S48" s="35"/>
      <c r="T48" s="35"/>
      <c r="U48" s="35"/>
      <c r="V48" s="36">
        <f t="shared" si="2"/>
        <v>3.5851813766778702</v>
      </c>
      <c r="W48" s="36">
        <v>25568.86</v>
      </c>
      <c r="X48" s="37">
        <f t="shared" si="3"/>
        <v>91669.000694883725</v>
      </c>
      <c r="Y48" s="422">
        <f t="shared" ref="Y48" si="23">X48/X47</f>
        <v>0.29876511472315581</v>
      </c>
      <c r="Z48" s="529">
        <f>X47-AC48</f>
        <v>163640.70400000003</v>
      </c>
      <c r="AA48" s="534"/>
      <c r="AB48" s="535">
        <f>ROUND((AVERAGE(J48:T48)*12),1)</f>
        <v>5.6</v>
      </c>
      <c r="AC48" s="535">
        <f>IF(AB48*W48&gt;X47,X47,AB48*W48)</f>
        <v>143185.61599999998</v>
      </c>
      <c r="AD48" s="632">
        <f>AC48/X47</f>
        <v>0.46666666666666656</v>
      </c>
      <c r="AL48" s="512" t="s">
        <v>150</v>
      </c>
    </row>
    <row r="49" spans="1:38" ht="15.6" customHeight="1">
      <c r="B49" s="1">
        <v>45</v>
      </c>
      <c r="C49" s="2" t="s">
        <v>0</v>
      </c>
      <c r="D49" s="23" t="s">
        <v>151</v>
      </c>
      <c r="E49" s="24" t="s">
        <v>115</v>
      </c>
      <c r="F49" s="25" t="s">
        <v>152</v>
      </c>
      <c r="G49" s="506" t="str">
        <f t="shared" si="0"/>
        <v>PREVMotorista</v>
      </c>
      <c r="H49" s="525" t="str">
        <f t="shared" si="1"/>
        <v/>
      </c>
      <c r="I49" s="26">
        <v>15.2</v>
      </c>
      <c r="J49" s="26">
        <v>19</v>
      </c>
      <c r="K49" s="26">
        <v>19</v>
      </c>
      <c r="L49" s="26">
        <v>19</v>
      </c>
      <c r="M49" s="26">
        <v>19</v>
      </c>
      <c r="N49" s="26">
        <v>19</v>
      </c>
      <c r="O49" s="26">
        <v>19</v>
      </c>
      <c r="P49" s="26">
        <v>19</v>
      </c>
      <c r="Q49" s="26">
        <v>19</v>
      </c>
      <c r="R49" s="26">
        <v>19</v>
      </c>
      <c r="S49" s="26">
        <v>19</v>
      </c>
      <c r="T49" s="26">
        <v>19</v>
      </c>
      <c r="U49" s="26">
        <v>3.8</v>
      </c>
      <c r="V49" s="27">
        <f t="shared" si="2"/>
        <v>228</v>
      </c>
      <c r="W49" s="27">
        <v>5099.2299999999996</v>
      </c>
      <c r="X49" s="28">
        <f t="shared" si="3"/>
        <v>1162624.44</v>
      </c>
      <c r="Y49" s="29" t="s">
        <v>74</v>
      </c>
      <c r="Z49" s="528"/>
      <c r="AA49" s="532"/>
      <c r="AB49" s="533"/>
      <c r="AC49" s="533"/>
      <c r="AD49" s="658"/>
      <c r="AL49" s="512" t="s">
        <v>153</v>
      </c>
    </row>
    <row r="50" spans="1:38" ht="15.6" customHeight="1">
      <c r="A50" s="31"/>
      <c r="B50" s="30">
        <v>46</v>
      </c>
      <c r="C50" s="31" t="s">
        <v>1</v>
      </c>
      <c r="D50" s="32" t="s">
        <v>151</v>
      </c>
      <c r="E50" s="33" t="s">
        <v>115</v>
      </c>
      <c r="F50" s="34" t="s">
        <v>152</v>
      </c>
      <c r="G50" s="506" t="str">
        <f t="shared" si="0"/>
        <v>REALMotorista</v>
      </c>
      <c r="H50" s="525">
        <f t="shared" si="1"/>
        <v>0.62149122807017554</v>
      </c>
      <c r="I50" s="35">
        <v>14.300000000000004</v>
      </c>
      <c r="J50" s="35">
        <v>20.2</v>
      </c>
      <c r="K50" s="35">
        <v>22.8</v>
      </c>
      <c r="L50" s="35">
        <v>22.433333333333334</v>
      </c>
      <c r="M50" s="35">
        <v>22.433333333333334</v>
      </c>
      <c r="N50" s="35">
        <v>21.966666666666665</v>
      </c>
      <c r="O50" s="35">
        <v>17.566666666666666</v>
      </c>
      <c r="P50" s="35"/>
      <c r="Q50" s="35"/>
      <c r="R50" s="35"/>
      <c r="S50" s="35"/>
      <c r="T50" s="35"/>
      <c r="U50" s="35"/>
      <c r="V50" s="36">
        <f t="shared" si="2"/>
        <v>141.70000000000002</v>
      </c>
      <c r="W50" s="36">
        <v>5099.2299999999996</v>
      </c>
      <c r="X50" s="37">
        <f t="shared" si="3"/>
        <v>722560.89100000006</v>
      </c>
      <c r="Y50" s="38">
        <f t="shared" ref="Y50" si="24">X50/X49</f>
        <v>0.62149122807017554</v>
      </c>
      <c r="Z50" s="529">
        <f>X49-AC50</f>
        <v>0</v>
      </c>
      <c r="AA50" s="534"/>
      <c r="AB50" s="535">
        <f>ROUND((AVERAGE(J50:T50)*12),1)</f>
        <v>254.8</v>
      </c>
      <c r="AC50" s="535">
        <f>IF(AB50*W50&gt;X49,X49,AB50*W50)</f>
        <v>1162624.44</v>
      </c>
      <c r="AD50" s="632">
        <f>AC50/X49</f>
        <v>1</v>
      </c>
      <c r="AL50" s="512" t="s">
        <v>154</v>
      </c>
    </row>
    <row r="51" spans="1:38" ht="15.6" customHeight="1">
      <c r="B51" s="1">
        <v>47</v>
      </c>
      <c r="C51" s="2" t="s">
        <v>0</v>
      </c>
      <c r="D51" s="23" t="s">
        <v>155</v>
      </c>
      <c r="E51" s="24" t="s">
        <v>118</v>
      </c>
      <c r="F51" s="25" t="s">
        <v>156</v>
      </c>
      <c r="G51" s="506" t="str">
        <f t="shared" si="0"/>
        <v>PREVMotorista (12x36) - Noturno</v>
      </c>
      <c r="H51" s="525" t="str">
        <f t="shared" si="1"/>
        <v/>
      </c>
      <c r="I51" s="26">
        <v>6.4</v>
      </c>
      <c r="J51" s="26">
        <v>8</v>
      </c>
      <c r="K51" s="26">
        <v>8</v>
      </c>
      <c r="L51" s="26">
        <v>8</v>
      </c>
      <c r="M51" s="26">
        <v>8</v>
      </c>
      <c r="N51" s="26">
        <v>8</v>
      </c>
      <c r="O51" s="26">
        <v>8</v>
      </c>
      <c r="P51" s="26">
        <v>8</v>
      </c>
      <c r="Q51" s="26">
        <v>8</v>
      </c>
      <c r="R51" s="26">
        <v>8</v>
      </c>
      <c r="S51" s="26">
        <v>8</v>
      </c>
      <c r="T51" s="26">
        <v>8</v>
      </c>
      <c r="U51" s="26">
        <v>1.6</v>
      </c>
      <c r="V51" s="27">
        <f t="shared" si="2"/>
        <v>96</v>
      </c>
      <c r="W51" s="27">
        <v>7575.99</v>
      </c>
      <c r="X51" s="28">
        <f t="shared" si="3"/>
        <v>727295.04</v>
      </c>
      <c r="Y51" s="29" t="s">
        <v>74</v>
      </c>
      <c r="Z51" s="528"/>
      <c r="AA51" s="532"/>
      <c r="AB51" s="533"/>
      <c r="AC51" s="533"/>
      <c r="AD51" s="658"/>
      <c r="AL51" s="512" t="s">
        <v>157</v>
      </c>
    </row>
    <row r="52" spans="1:38" ht="15.6" customHeight="1">
      <c r="A52" s="31"/>
      <c r="B52" s="30">
        <v>48</v>
      </c>
      <c r="C52" s="31" t="s">
        <v>1</v>
      </c>
      <c r="D52" s="32" t="s">
        <v>155</v>
      </c>
      <c r="E52" s="33" t="s">
        <v>118</v>
      </c>
      <c r="F52" s="34" t="s">
        <v>156</v>
      </c>
      <c r="G52" s="506" t="str">
        <f t="shared" si="0"/>
        <v>REALMotorista (12x36) - Noturno</v>
      </c>
      <c r="H52" s="525">
        <f t="shared" si="1"/>
        <v>0.5840277777777777</v>
      </c>
      <c r="I52" s="35">
        <v>6.2333333333333325</v>
      </c>
      <c r="J52" s="35">
        <v>9.8333333333333339</v>
      </c>
      <c r="K52" s="35">
        <v>8</v>
      </c>
      <c r="L52" s="35">
        <v>8</v>
      </c>
      <c r="M52" s="35">
        <v>8</v>
      </c>
      <c r="N52" s="35">
        <v>8</v>
      </c>
      <c r="O52" s="35">
        <v>8</v>
      </c>
      <c r="P52" s="35"/>
      <c r="Q52" s="35"/>
      <c r="R52" s="35"/>
      <c r="S52" s="35"/>
      <c r="T52" s="35"/>
      <c r="U52" s="35"/>
      <c r="V52" s="36">
        <f t="shared" si="2"/>
        <v>56.066666666666663</v>
      </c>
      <c r="W52" s="36">
        <v>7575.99</v>
      </c>
      <c r="X52" s="37">
        <f t="shared" si="3"/>
        <v>424760.50599999994</v>
      </c>
      <c r="Y52" s="38">
        <f t="shared" ref="Y52" si="25">X52/X51</f>
        <v>0.5840277777777777</v>
      </c>
      <c r="Z52" s="529">
        <f>X51-AC52</f>
        <v>0</v>
      </c>
      <c r="AA52" s="534"/>
      <c r="AB52" s="535">
        <f>ROUND((AVERAGE(J52:T52)*12),1)</f>
        <v>99.7</v>
      </c>
      <c r="AC52" s="535">
        <f>IF(AB52*W52&gt;X51,X51,AB52*W52)</f>
        <v>727295.04</v>
      </c>
      <c r="AD52" s="632">
        <f>AC52/X51</f>
        <v>1</v>
      </c>
      <c r="AL52" s="512" t="s">
        <v>158</v>
      </c>
    </row>
    <row r="53" spans="1:38" ht="15.6" customHeight="1">
      <c r="B53" s="1">
        <v>49</v>
      </c>
      <c r="C53" s="2" t="s">
        <v>0</v>
      </c>
      <c r="D53" s="23" t="s">
        <v>159</v>
      </c>
      <c r="E53" s="24" t="s">
        <v>119</v>
      </c>
      <c r="F53" s="25" t="s">
        <v>160</v>
      </c>
      <c r="G53" s="506" t="str">
        <f t="shared" si="0"/>
        <v>PREVOficial - Pedreiro/Armador/Carpinteiro - Com Periculosidade</v>
      </c>
      <c r="H53" s="525" t="str">
        <f t="shared" si="1"/>
        <v/>
      </c>
      <c r="I53" s="26">
        <v>1.6</v>
      </c>
      <c r="J53" s="26">
        <v>2</v>
      </c>
      <c r="K53" s="26">
        <v>2</v>
      </c>
      <c r="L53" s="26">
        <v>2</v>
      </c>
      <c r="M53" s="26">
        <v>2</v>
      </c>
      <c r="N53" s="26">
        <v>2</v>
      </c>
      <c r="O53" s="26">
        <v>2</v>
      </c>
      <c r="P53" s="26">
        <v>2</v>
      </c>
      <c r="Q53" s="26">
        <v>2</v>
      </c>
      <c r="R53" s="26">
        <v>2</v>
      </c>
      <c r="S53" s="26">
        <v>2</v>
      </c>
      <c r="T53" s="26">
        <v>2</v>
      </c>
      <c r="U53" s="26">
        <v>0.4</v>
      </c>
      <c r="V53" s="27">
        <f t="shared" si="2"/>
        <v>24</v>
      </c>
      <c r="W53" s="27">
        <v>7296.61</v>
      </c>
      <c r="X53" s="28">
        <f t="shared" si="3"/>
        <v>175118.63999999998</v>
      </c>
      <c r="Y53" s="29" t="s">
        <v>74</v>
      </c>
      <c r="Z53" s="528"/>
      <c r="AA53" s="532"/>
      <c r="AB53" s="533"/>
      <c r="AC53" s="533"/>
      <c r="AD53" s="658"/>
      <c r="AL53" s="512" t="s">
        <v>161</v>
      </c>
    </row>
    <row r="54" spans="1:38" ht="15.6" customHeight="1">
      <c r="A54" s="31"/>
      <c r="B54" s="30">
        <v>50</v>
      </c>
      <c r="C54" s="31" t="s">
        <v>1</v>
      </c>
      <c r="D54" s="32" t="s">
        <v>159</v>
      </c>
      <c r="E54" s="33" t="s">
        <v>119</v>
      </c>
      <c r="F54" s="34" t="s">
        <v>160</v>
      </c>
      <c r="G54" s="506" t="str">
        <f t="shared" si="0"/>
        <v>REALOficial - Pedreiro/Armador/Carpinteiro - Com Periculosidade</v>
      </c>
      <c r="H54" s="525">
        <f t="shared" si="1"/>
        <v>0.48333333333333334</v>
      </c>
      <c r="I54" s="35">
        <v>1.6</v>
      </c>
      <c r="J54" s="35">
        <v>2</v>
      </c>
      <c r="K54" s="35">
        <v>1</v>
      </c>
      <c r="L54" s="35">
        <v>2</v>
      </c>
      <c r="M54" s="35">
        <v>1.5333333333333332</v>
      </c>
      <c r="N54" s="35">
        <v>1.4666666666666668</v>
      </c>
      <c r="O54" s="35">
        <v>2</v>
      </c>
      <c r="P54" s="35"/>
      <c r="Q54" s="35"/>
      <c r="R54" s="35"/>
      <c r="S54" s="35"/>
      <c r="T54" s="35"/>
      <c r="U54" s="35"/>
      <c r="V54" s="36">
        <f t="shared" si="2"/>
        <v>11.6</v>
      </c>
      <c r="W54" s="36">
        <v>7296.61</v>
      </c>
      <c r="X54" s="37">
        <f t="shared" si="3"/>
        <v>84640.675999999992</v>
      </c>
      <c r="Y54" s="38">
        <f t="shared" ref="Y54" si="26">X54/X53</f>
        <v>0.48333333333333334</v>
      </c>
      <c r="Z54" s="529">
        <f>X53-AC54</f>
        <v>29186.440000000002</v>
      </c>
      <c r="AA54" s="534"/>
      <c r="AB54" s="535">
        <f>ROUND((AVERAGE(J54:T54)*12),1)</f>
        <v>20</v>
      </c>
      <c r="AC54" s="535">
        <f>IF(AB54*W54&gt;X53,X53,AB54*W54)</f>
        <v>145932.19999999998</v>
      </c>
      <c r="AD54" s="632">
        <f>AC54/X53</f>
        <v>0.83333333333333326</v>
      </c>
      <c r="AL54" s="512" t="s">
        <v>162</v>
      </c>
    </row>
    <row r="55" spans="1:38" ht="15.6" customHeight="1">
      <c r="B55" s="1">
        <v>51</v>
      </c>
      <c r="C55" s="2" t="s">
        <v>0</v>
      </c>
      <c r="D55" s="23" t="s">
        <v>163</v>
      </c>
      <c r="E55" s="24" t="s">
        <v>122</v>
      </c>
      <c r="F55" s="25" t="s">
        <v>164</v>
      </c>
      <c r="G55" s="506" t="str">
        <f t="shared" si="0"/>
        <v>PREVServente / Zelador</v>
      </c>
      <c r="H55" s="525" t="str">
        <f t="shared" si="1"/>
        <v/>
      </c>
      <c r="I55" s="26">
        <v>3.2</v>
      </c>
      <c r="J55" s="26">
        <v>4</v>
      </c>
      <c r="K55" s="26">
        <v>4</v>
      </c>
      <c r="L55" s="26">
        <v>4</v>
      </c>
      <c r="M55" s="26">
        <v>4</v>
      </c>
      <c r="N55" s="26">
        <v>4</v>
      </c>
      <c r="O55" s="26">
        <v>4</v>
      </c>
      <c r="P55" s="26">
        <v>4</v>
      </c>
      <c r="Q55" s="26">
        <v>4</v>
      </c>
      <c r="R55" s="26">
        <v>4</v>
      </c>
      <c r="S55" s="26">
        <v>4</v>
      </c>
      <c r="T55" s="26">
        <v>4</v>
      </c>
      <c r="U55" s="26">
        <v>0.8</v>
      </c>
      <c r="V55" s="27">
        <f t="shared" si="2"/>
        <v>48</v>
      </c>
      <c r="W55" s="27">
        <v>3767.94</v>
      </c>
      <c r="X55" s="28">
        <f t="shared" si="3"/>
        <v>180861.12</v>
      </c>
      <c r="Y55" s="29" t="s">
        <v>74</v>
      </c>
      <c r="Z55" s="528"/>
      <c r="AA55" s="532"/>
      <c r="AB55" s="533"/>
      <c r="AC55" s="533"/>
      <c r="AD55" s="658"/>
      <c r="AL55" s="512" t="s">
        <v>165</v>
      </c>
    </row>
    <row r="56" spans="1:38" ht="15.6" customHeight="1">
      <c r="A56" s="31"/>
      <c r="B56" s="30">
        <v>52</v>
      </c>
      <c r="C56" s="31" t="s">
        <v>1</v>
      </c>
      <c r="D56" s="32" t="s">
        <v>163</v>
      </c>
      <c r="E56" s="33" t="s">
        <v>122</v>
      </c>
      <c r="F56" s="34" t="s">
        <v>164</v>
      </c>
      <c r="G56" s="506" t="str">
        <f t="shared" si="0"/>
        <v>REALServente / Zelador</v>
      </c>
      <c r="H56" s="525">
        <f t="shared" si="1"/>
        <v>0.5805555555555556</v>
      </c>
      <c r="I56" s="35">
        <v>4.8</v>
      </c>
      <c r="J56" s="35">
        <v>4</v>
      </c>
      <c r="K56" s="35">
        <v>4</v>
      </c>
      <c r="L56" s="35">
        <v>4</v>
      </c>
      <c r="M56" s="35">
        <v>3.5</v>
      </c>
      <c r="N56" s="35">
        <v>4</v>
      </c>
      <c r="O56" s="35">
        <v>3.5666666666666664</v>
      </c>
      <c r="P56" s="35"/>
      <c r="Q56" s="35"/>
      <c r="R56" s="35"/>
      <c r="S56" s="35"/>
      <c r="T56" s="35"/>
      <c r="U56" s="35"/>
      <c r="V56" s="36">
        <f t="shared" si="2"/>
        <v>27.866666666666667</v>
      </c>
      <c r="W56" s="36">
        <v>3767.94</v>
      </c>
      <c r="X56" s="37">
        <f t="shared" si="3"/>
        <v>104999.928</v>
      </c>
      <c r="Y56" s="38">
        <f t="shared" ref="Y56" si="27">X56/X55</f>
        <v>0.5805555555555556</v>
      </c>
      <c r="Z56" s="529">
        <f>X55-AC56</f>
        <v>7159.0859999999811</v>
      </c>
      <c r="AA56" s="534"/>
      <c r="AB56" s="535">
        <f>ROUND((AVERAGE(J56:T56)*12),1)</f>
        <v>46.1</v>
      </c>
      <c r="AC56" s="535">
        <f>IF(AB56*W56&gt;X55,X55,AB56*W56)</f>
        <v>173702.03400000001</v>
      </c>
      <c r="AD56" s="632">
        <f>AC56/X55</f>
        <v>0.96041666666666681</v>
      </c>
      <c r="AL56" s="512" t="s">
        <v>166</v>
      </c>
    </row>
    <row r="57" spans="1:38" ht="15.6" customHeight="1">
      <c r="B57" s="1">
        <v>53</v>
      </c>
      <c r="C57" s="2" t="s">
        <v>0</v>
      </c>
      <c r="D57" s="23" t="s">
        <v>167</v>
      </c>
      <c r="E57" s="24" t="s">
        <v>123</v>
      </c>
      <c r="F57" s="25" t="s">
        <v>168</v>
      </c>
      <c r="G57" s="506" t="str">
        <f t="shared" si="0"/>
        <v>PREVServente - Com Periculosidade</v>
      </c>
      <c r="H57" s="525" t="str">
        <f t="shared" si="1"/>
        <v/>
      </c>
      <c r="I57" s="26">
        <v>17.600000000000001</v>
      </c>
      <c r="J57" s="26">
        <v>22</v>
      </c>
      <c r="K57" s="26">
        <v>22</v>
      </c>
      <c r="L57" s="26">
        <v>22</v>
      </c>
      <c r="M57" s="26">
        <v>22</v>
      </c>
      <c r="N57" s="26">
        <v>22</v>
      </c>
      <c r="O57" s="26">
        <v>22</v>
      </c>
      <c r="P57" s="26">
        <v>22</v>
      </c>
      <c r="Q57" s="26">
        <v>22</v>
      </c>
      <c r="R57" s="26">
        <v>22</v>
      </c>
      <c r="S57" s="26">
        <v>22</v>
      </c>
      <c r="T57" s="26">
        <v>22</v>
      </c>
      <c r="U57" s="26">
        <v>4.4000000000000004</v>
      </c>
      <c r="V57" s="27">
        <f t="shared" si="2"/>
        <v>264</v>
      </c>
      <c r="W57" s="27">
        <v>4898.32</v>
      </c>
      <c r="X57" s="28">
        <f t="shared" si="3"/>
        <v>1293156.48</v>
      </c>
      <c r="Y57" s="29" t="s">
        <v>74</v>
      </c>
      <c r="Z57" s="528"/>
      <c r="AA57" s="532"/>
      <c r="AB57" s="533"/>
      <c r="AC57" s="533"/>
      <c r="AD57" s="658"/>
      <c r="AL57" s="512" t="s">
        <v>169</v>
      </c>
    </row>
    <row r="58" spans="1:38" ht="15.6" customHeight="1">
      <c r="A58" s="31"/>
      <c r="B58" s="30">
        <v>54</v>
      </c>
      <c r="C58" s="31" t="s">
        <v>1</v>
      </c>
      <c r="D58" s="32" t="s">
        <v>167</v>
      </c>
      <c r="E58" s="33" t="s">
        <v>123</v>
      </c>
      <c r="F58" s="34" t="s">
        <v>168</v>
      </c>
      <c r="G58" s="506" t="str">
        <f t="shared" si="0"/>
        <v>REALServente - Com Periculosidade</v>
      </c>
      <c r="H58" s="525">
        <f t="shared" si="1"/>
        <v>0.50290404040404046</v>
      </c>
      <c r="I58" s="35">
        <v>17.266666666666673</v>
      </c>
      <c r="J58" s="35">
        <v>20.033333333333335</v>
      </c>
      <c r="K58" s="35">
        <v>20.566666666666666</v>
      </c>
      <c r="L58" s="35">
        <v>20.433333333333337</v>
      </c>
      <c r="M58" s="35">
        <v>18.666666666666664</v>
      </c>
      <c r="N58" s="35">
        <v>17</v>
      </c>
      <c r="O58" s="35">
        <v>18.8</v>
      </c>
      <c r="P58" s="35"/>
      <c r="Q58" s="35"/>
      <c r="R58" s="35"/>
      <c r="S58" s="35"/>
      <c r="T58" s="35"/>
      <c r="U58" s="35"/>
      <c r="V58" s="36">
        <f t="shared" si="2"/>
        <v>132.76666666666668</v>
      </c>
      <c r="W58" s="36">
        <v>4898.32</v>
      </c>
      <c r="X58" s="37">
        <f t="shared" si="3"/>
        <v>650333.61866666668</v>
      </c>
      <c r="Y58" s="38">
        <f t="shared" ref="Y58" si="28">X58/X57</f>
        <v>0.50290404040404046</v>
      </c>
      <c r="Z58" s="529">
        <f>X57-AC58</f>
        <v>161644.56000000006</v>
      </c>
      <c r="AA58" s="534"/>
      <c r="AB58" s="535">
        <f>ROUND((AVERAGE(J58:T58)*12),1)</f>
        <v>231</v>
      </c>
      <c r="AC58" s="535">
        <f>IF(AB58*W58&gt;X57,X57,AB58*W58)</f>
        <v>1131511.92</v>
      </c>
      <c r="AD58" s="632">
        <f>AC58/X57</f>
        <v>0.875</v>
      </c>
      <c r="AL58" s="512" t="s">
        <v>170</v>
      </c>
    </row>
    <row r="59" spans="1:38" ht="15.6" customHeight="1">
      <c r="B59" s="1">
        <v>55</v>
      </c>
      <c r="C59" s="2" t="s">
        <v>0</v>
      </c>
      <c r="D59" s="23" t="s">
        <v>171</v>
      </c>
      <c r="E59" s="24" t="s">
        <v>126</v>
      </c>
      <c r="F59" s="25" t="s">
        <v>172</v>
      </c>
      <c r="G59" s="506" t="str">
        <f t="shared" si="0"/>
        <v>PREVEngenheiro Coordenador</v>
      </c>
      <c r="H59" s="525" t="str">
        <f t="shared" si="1"/>
        <v/>
      </c>
      <c r="I59" s="26">
        <v>0.8</v>
      </c>
      <c r="J59" s="26">
        <v>1</v>
      </c>
      <c r="K59" s="26">
        <v>1</v>
      </c>
      <c r="L59" s="26">
        <v>1</v>
      </c>
      <c r="M59" s="26">
        <v>1</v>
      </c>
      <c r="N59" s="26">
        <v>1</v>
      </c>
      <c r="O59" s="26">
        <v>1</v>
      </c>
      <c r="P59" s="26">
        <v>1</v>
      </c>
      <c r="Q59" s="26">
        <v>1</v>
      </c>
      <c r="R59" s="26">
        <v>1</v>
      </c>
      <c r="S59" s="26">
        <v>1</v>
      </c>
      <c r="T59" s="26">
        <v>1</v>
      </c>
      <c r="U59" s="26">
        <v>0.2</v>
      </c>
      <c r="V59" s="27">
        <f t="shared" si="2"/>
        <v>12</v>
      </c>
      <c r="W59" s="27">
        <v>32114.49</v>
      </c>
      <c r="X59" s="28">
        <f t="shared" si="3"/>
        <v>385373.88</v>
      </c>
      <c r="Y59" s="29" t="s">
        <v>74</v>
      </c>
      <c r="Z59" s="528"/>
      <c r="AA59" s="532"/>
      <c r="AB59" s="533"/>
      <c r="AC59" s="533"/>
      <c r="AD59" s="658"/>
      <c r="AL59" s="512" t="s">
        <v>173</v>
      </c>
    </row>
    <row r="60" spans="1:38" ht="15.6" customHeight="1">
      <c r="A60" s="31"/>
      <c r="B60" s="30">
        <v>56</v>
      </c>
      <c r="C60" s="31" t="s">
        <v>1</v>
      </c>
      <c r="D60" s="32" t="s">
        <v>171</v>
      </c>
      <c r="E60" s="33" t="s">
        <v>126</v>
      </c>
      <c r="F60" s="34" t="s">
        <v>172</v>
      </c>
      <c r="G60" s="506" t="str">
        <f t="shared" si="0"/>
        <v>REALEngenheiro Coordenador</v>
      </c>
      <c r="H60" s="525">
        <f t="shared" si="1"/>
        <v>0.56666666666666665</v>
      </c>
      <c r="I60" s="35">
        <v>0.8</v>
      </c>
      <c r="J60" s="35">
        <v>1</v>
      </c>
      <c r="K60" s="35">
        <v>1</v>
      </c>
      <c r="L60" s="35">
        <v>1</v>
      </c>
      <c r="M60" s="35">
        <v>1</v>
      </c>
      <c r="N60" s="35">
        <v>1</v>
      </c>
      <c r="O60" s="35">
        <v>1</v>
      </c>
      <c r="P60" s="35"/>
      <c r="Q60" s="35"/>
      <c r="R60" s="35"/>
      <c r="S60" s="35"/>
      <c r="T60" s="35"/>
      <c r="U60" s="35"/>
      <c r="V60" s="36">
        <f t="shared" si="2"/>
        <v>6.8</v>
      </c>
      <c r="W60" s="36">
        <v>32114.49</v>
      </c>
      <c r="X60" s="37">
        <f t="shared" si="3"/>
        <v>218378.53200000001</v>
      </c>
      <c r="Y60" s="38">
        <f t="shared" ref="Y60" si="29">X60/X59</f>
        <v>0.56666666666666665</v>
      </c>
      <c r="Z60" s="529">
        <f>X59-AC60</f>
        <v>0</v>
      </c>
      <c r="AA60" s="534"/>
      <c r="AB60" s="535">
        <f>ROUND((AVERAGE(J60:T60)*12),1)</f>
        <v>12</v>
      </c>
      <c r="AC60" s="535">
        <f>IF(AB60*W60&gt;X59,X59,AB60*W60)</f>
        <v>385373.88</v>
      </c>
      <c r="AD60" s="632">
        <f>AC60/X59</f>
        <v>1</v>
      </c>
      <c r="AL60" s="512" t="s">
        <v>174</v>
      </c>
    </row>
    <row r="61" spans="1:38" ht="15.6" customHeight="1">
      <c r="B61" s="1">
        <v>57</v>
      </c>
      <c r="C61" s="2" t="s">
        <v>0</v>
      </c>
      <c r="D61" s="23" t="s">
        <v>175</v>
      </c>
      <c r="E61" s="655" t="s">
        <v>127</v>
      </c>
      <c r="F61" s="25" t="s">
        <v>176</v>
      </c>
      <c r="G61" s="506" t="str">
        <f t="shared" si="0"/>
        <v>PREVPrevisão de Horas Extras - Eletromecânico - Montador</v>
      </c>
      <c r="H61" s="525" t="str">
        <f t="shared" si="1"/>
        <v/>
      </c>
      <c r="I61" s="26"/>
      <c r="J61" s="26"/>
      <c r="K61" s="26"/>
      <c r="L61" s="26"/>
      <c r="M61" s="26"/>
      <c r="N61" s="26"/>
      <c r="O61" s="26"/>
      <c r="P61" s="26"/>
      <c r="Q61" s="26"/>
      <c r="R61" s="26"/>
      <c r="S61" s="26"/>
      <c r="T61" s="26"/>
      <c r="U61" s="26">
        <v>1</v>
      </c>
      <c r="V61" s="27">
        <f t="shared" si="2"/>
        <v>1</v>
      </c>
      <c r="W61" s="27">
        <v>58.005000000000003</v>
      </c>
      <c r="X61" s="28">
        <f t="shared" si="3"/>
        <v>58.005000000000003</v>
      </c>
      <c r="Y61" s="29" t="s">
        <v>74</v>
      </c>
      <c r="Z61" s="528"/>
      <c r="AA61" s="532"/>
      <c r="AB61" s="533"/>
      <c r="AC61" s="533"/>
      <c r="AD61" s="658"/>
      <c r="AL61" s="512" t="s">
        <v>177</v>
      </c>
    </row>
    <row r="62" spans="1:38" ht="15.6" customHeight="1">
      <c r="A62" s="31"/>
      <c r="B62" s="30">
        <v>58</v>
      </c>
      <c r="C62" s="31" t="s">
        <v>1</v>
      </c>
      <c r="D62" s="32" t="s">
        <v>175</v>
      </c>
      <c r="E62" s="33" t="s">
        <v>127</v>
      </c>
      <c r="F62" s="34" t="s">
        <v>176</v>
      </c>
      <c r="G62" s="506" t="str">
        <f t="shared" si="0"/>
        <v>REALPrevisão de Horas Extras - Eletromecânico - Montador</v>
      </c>
      <c r="H62" s="525">
        <f t="shared" si="1"/>
        <v>0</v>
      </c>
      <c r="I62" s="35">
        <v>0</v>
      </c>
      <c r="J62" s="35">
        <v>0</v>
      </c>
      <c r="K62" s="35">
        <v>0</v>
      </c>
      <c r="L62" s="35">
        <v>0</v>
      </c>
      <c r="M62" s="35">
        <v>0</v>
      </c>
      <c r="N62" s="35">
        <v>0</v>
      </c>
      <c r="O62" s="35">
        <v>0</v>
      </c>
      <c r="P62" s="35"/>
      <c r="Q62" s="35"/>
      <c r="R62" s="35"/>
      <c r="S62" s="35"/>
      <c r="T62" s="35"/>
      <c r="U62" s="35"/>
      <c r="V62" s="36">
        <f t="shared" si="2"/>
        <v>0</v>
      </c>
      <c r="W62" s="36">
        <v>58.005000000000003</v>
      </c>
      <c r="X62" s="37">
        <f t="shared" si="3"/>
        <v>0</v>
      </c>
      <c r="Y62" s="422">
        <f t="shared" ref="Y62" si="30">X62/X61</f>
        <v>0</v>
      </c>
      <c r="Z62" s="529">
        <f>X61-AC62</f>
        <v>58.005000000000003</v>
      </c>
      <c r="AA62" s="536"/>
      <c r="AB62" s="535">
        <f>ROUND((AVERAGE(J62:T62)*12),1)</f>
        <v>0</v>
      </c>
      <c r="AC62" s="535">
        <f>IF(AB62*W62&gt;X61,X61,AB62*W62)</f>
        <v>0</v>
      </c>
      <c r="AD62" s="632">
        <f>AC62/X61</f>
        <v>0</v>
      </c>
      <c r="AL62" s="512" t="s">
        <v>178</v>
      </c>
    </row>
    <row r="63" spans="1:38" ht="15.6" customHeight="1">
      <c r="B63" s="1">
        <v>59</v>
      </c>
      <c r="C63" s="2" t="s">
        <v>0</v>
      </c>
      <c r="D63" s="23" t="s">
        <v>179</v>
      </c>
      <c r="E63" s="655" t="s">
        <v>127</v>
      </c>
      <c r="F63" s="25" t="s">
        <v>180</v>
      </c>
      <c r="G63" s="506" t="str">
        <f t="shared" si="0"/>
        <v>PREVPrevisão de Horas Extras - Eletromecânico - Montador</v>
      </c>
      <c r="H63" s="525" t="str">
        <f t="shared" si="1"/>
        <v/>
      </c>
      <c r="I63" s="26"/>
      <c r="J63" s="26"/>
      <c r="K63" s="26"/>
      <c r="L63" s="26"/>
      <c r="M63" s="26"/>
      <c r="N63" s="26"/>
      <c r="O63" s="26"/>
      <c r="P63" s="26"/>
      <c r="Q63" s="26"/>
      <c r="R63" s="26"/>
      <c r="S63" s="26"/>
      <c r="T63" s="26"/>
      <c r="U63" s="26">
        <v>1</v>
      </c>
      <c r="V63" s="27">
        <f t="shared" si="2"/>
        <v>1</v>
      </c>
      <c r="W63" s="27">
        <v>86.174999999999997</v>
      </c>
      <c r="X63" s="28">
        <f t="shared" si="3"/>
        <v>86.174999999999997</v>
      </c>
      <c r="Y63" s="29" t="s">
        <v>74</v>
      </c>
      <c r="Z63" s="528"/>
      <c r="AA63" s="537"/>
      <c r="AB63" s="533"/>
      <c r="AC63" s="533"/>
      <c r="AD63" s="658"/>
      <c r="AL63" s="512" t="s">
        <v>181</v>
      </c>
    </row>
    <row r="64" spans="1:38" ht="15.6" customHeight="1">
      <c r="A64" s="31"/>
      <c r="B64" s="30">
        <v>60</v>
      </c>
      <c r="C64" s="31" t="s">
        <v>1</v>
      </c>
      <c r="D64" s="32" t="s">
        <v>179</v>
      </c>
      <c r="E64" s="33" t="s">
        <v>127</v>
      </c>
      <c r="F64" s="34" t="s">
        <v>180</v>
      </c>
      <c r="G64" s="506" t="str">
        <f t="shared" si="0"/>
        <v>REALPrevisão de Horas Extras - Eletromecânico - Montador</v>
      </c>
      <c r="H64" s="525">
        <f t="shared" si="1"/>
        <v>0</v>
      </c>
      <c r="I64" s="35">
        <v>0</v>
      </c>
      <c r="J64" s="35">
        <v>0</v>
      </c>
      <c r="K64" s="35">
        <v>0</v>
      </c>
      <c r="L64" s="35">
        <v>0</v>
      </c>
      <c r="M64" s="35">
        <v>0</v>
      </c>
      <c r="N64" s="35">
        <v>0</v>
      </c>
      <c r="O64" s="35">
        <v>0</v>
      </c>
      <c r="P64" s="35"/>
      <c r="Q64" s="35"/>
      <c r="R64" s="35"/>
      <c r="S64" s="35"/>
      <c r="T64" s="35"/>
      <c r="U64" s="35"/>
      <c r="V64" s="36">
        <f t="shared" si="2"/>
        <v>0</v>
      </c>
      <c r="W64" s="36">
        <v>86.174999999999997</v>
      </c>
      <c r="X64" s="37">
        <f t="shared" si="3"/>
        <v>0</v>
      </c>
      <c r="Y64" s="422">
        <f t="shared" ref="Y64" si="31">X64/X63</f>
        <v>0</v>
      </c>
      <c r="Z64" s="529">
        <f>X63-AC64</f>
        <v>86.174999999999997</v>
      </c>
      <c r="AA64" s="536"/>
      <c r="AB64" s="535">
        <f>ROUND((AVERAGE(J64:T64)*12),1)</f>
        <v>0</v>
      </c>
      <c r="AC64" s="535">
        <f>IF(AB64*W64&gt;X63,X63,AB64*W64)</f>
        <v>0</v>
      </c>
      <c r="AD64" s="632">
        <f>AC64/X63</f>
        <v>0</v>
      </c>
      <c r="AL64" s="512" t="s">
        <v>182</v>
      </c>
    </row>
    <row r="65" spans="1:38" ht="15.6" customHeight="1">
      <c r="B65" s="1">
        <v>61</v>
      </c>
      <c r="C65" s="2" t="s">
        <v>0</v>
      </c>
      <c r="D65" s="23" t="s">
        <v>183</v>
      </c>
      <c r="E65" s="655" t="s">
        <v>130</v>
      </c>
      <c r="F65" s="25" t="s">
        <v>184</v>
      </c>
      <c r="G65" s="506" t="str">
        <f t="shared" si="0"/>
        <v xml:space="preserve">PREVPrevisão de Horas Sobreaviso - Técnico Sênior Eletromecânico/Eletrotécnico/Eletrônico </v>
      </c>
      <c r="H65" s="525" t="str">
        <f t="shared" si="1"/>
        <v/>
      </c>
      <c r="I65" s="26"/>
      <c r="J65" s="26"/>
      <c r="K65" s="26"/>
      <c r="L65" s="26"/>
      <c r="M65" s="26"/>
      <c r="N65" s="26"/>
      <c r="O65" s="26"/>
      <c r="P65" s="26"/>
      <c r="Q65" s="26"/>
      <c r="R65" s="26"/>
      <c r="S65" s="26"/>
      <c r="T65" s="26"/>
      <c r="U65" s="26">
        <v>1</v>
      </c>
      <c r="V65" s="27">
        <f t="shared" si="2"/>
        <v>1</v>
      </c>
      <c r="W65" s="27">
        <v>11.430000164195526</v>
      </c>
      <c r="X65" s="28">
        <f t="shared" si="3"/>
        <v>11.430000164195526</v>
      </c>
      <c r="Y65" s="29" t="s">
        <v>74</v>
      </c>
      <c r="Z65" s="528"/>
      <c r="AA65" s="537"/>
      <c r="AB65" s="533"/>
      <c r="AC65" s="533"/>
      <c r="AD65" s="658"/>
      <c r="AL65" s="512" t="s">
        <v>185</v>
      </c>
    </row>
    <row r="66" spans="1:38" ht="15.6" customHeight="1">
      <c r="A66" s="31"/>
      <c r="B66" s="30">
        <v>62</v>
      </c>
      <c r="C66" s="31" t="s">
        <v>1</v>
      </c>
      <c r="D66" s="32" t="s">
        <v>183</v>
      </c>
      <c r="E66" s="33" t="s">
        <v>130</v>
      </c>
      <c r="F66" s="34" t="s">
        <v>184</v>
      </c>
      <c r="G66" s="506" t="str">
        <f t="shared" si="0"/>
        <v xml:space="preserve">REALPrevisão de Horas Sobreaviso - Técnico Sênior Eletromecânico/Eletrotécnico/Eletrônico </v>
      </c>
      <c r="H66" s="525">
        <f t="shared" si="1"/>
        <v>0</v>
      </c>
      <c r="I66" s="35">
        <v>0</v>
      </c>
      <c r="J66" s="35">
        <v>0</v>
      </c>
      <c r="K66" s="35">
        <v>0</v>
      </c>
      <c r="L66" s="35">
        <v>0</v>
      </c>
      <c r="M66" s="35">
        <v>0</v>
      </c>
      <c r="N66" s="35">
        <v>0</v>
      </c>
      <c r="O66" s="35">
        <v>0</v>
      </c>
      <c r="P66" s="35"/>
      <c r="Q66" s="35"/>
      <c r="R66" s="35"/>
      <c r="S66" s="35"/>
      <c r="T66" s="35"/>
      <c r="U66" s="35"/>
      <c r="V66" s="36">
        <f t="shared" si="2"/>
        <v>0</v>
      </c>
      <c r="W66" s="36">
        <v>11.430000164195526</v>
      </c>
      <c r="X66" s="37">
        <f t="shared" si="3"/>
        <v>0</v>
      </c>
      <c r="Y66" s="422">
        <f t="shared" ref="Y66" si="32">X66/X65</f>
        <v>0</v>
      </c>
      <c r="Z66" s="529">
        <f>X65-AC66</f>
        <v>11.430000164195526</v>
      </c>
      <c r="AA66" s="536"/>
      <c r="AB66" s="535">
        <f>ROUND((AVERAGE(J66:T66)*12),1)</f>
        <v>0</v>
      </c>
      <c r="AC66" s="535">
        <f>IF(AB66*W66&gt;X65,X65,AB66*W66)</f>
        <v>0</v>
      </c>
      <c r="AD66" s="632">
        <f>AC66/X65</f>
        <v>0</v>
      </c>
      <c r="AL66" s="512" t="s">
        <v>186</v>
      </c>
    </row>
    <row r="67" spans="1:38" ht="15.6" customHeight="1">
      <c r="B67" s="1">
        <v>63</v>
      </c>
      <c r="C67" s="2" t="s">
        <v>0</v>
      </c>
      <c r="D67" s="23" t="s">
        <v>187</v>
      </c>
      <c r="E67" s="655" t="s">
        <v>133</v>
      </c>
      <c r="F67" s="25" t="s">
        <v>188</v>
      </c>
      <c r="G67" s="506" t="str">
        <f t="shared" si="0"/>
        <v xml:space="preserve">PREVPrevisão de Horas Extras - Técnico Sênior Eletromecânico/Eletrotécnico/Eletrônico </v>
      </c>
      <c r="H67" s="525" t="str">
        <f t="shared" si="1"/>
        <v/>
      </c>
      <c r="I67" s="26"/>
      <c r="J67" s="26"/>
      <c r="K67" s="26"/>
      <c r="L67" s="26"/>
      <c r="M67" s="26"/>
      <c r="N67" s="26"/>
      <c r="O67" s="26"/>
      <c r="P67" s="26"/>
      <c r="Q67" s="26"/>
      <c r="R67" s="26"/>
      <c r="S67" s="26"/>
      <c r="T67" s="26"/>
      <c r="U67" s="26">
        <v>1</v>
      </c>
      <c r="V67" s="27">
        <f t="shared" si="2"/>
        <v>1</v>
      </c>
      <c r="W67" s="27">
        <v>66.900000000000006</v>
      </c>
      <c r="X67" s="28">
        <f t="shared" si="3"/>
        <v>66.900000000000006</v>
      </c>
      <c r="Y67" s="29" t="s">
        <v>74</v>
      </c>
      <c r="Z67" s="528"/>
      <c r="AA67" s="537"/>
      <c r="AB67" s="533"/>
      <c r="AC67" s="533"/>
      <c r="AD67" s="658"/>
      <c r="AL67" s="512" t="s">
        <v>189</v>
      </c>
    </row>
    <row r="68" spans="1:38" ht="15.6" customHeight="1">
      <c r="A68" s="31"/>
      <c r="B68" s="30">
        <v>64</v>
      </c>
      <c r="C68" s="31" t="s">
        <v>1</v>
      </c>
      <c r="D68" s="32" t="s">
        <v>187</v>
      </c>
      <c r="E68" s="33" t="s">
        <v>133</v>
      </c>
      <c r="F68" s="34" t="s">
        <v>188</v>
      </c>
      <c r="G68" s="506" t="str">
        <f t="shared" si="0"/>
        <v xml:space="preserve">REALPrevisão de Horas Extras - Técnico Sênior Eletromecânico/Eletrotécnico/Eletrônico </v>
      </c>
      <c r="H68" s="525">
        <f t="shared" si="1"/>
        <v>0</v>
      </c>
      <c r="I68" s="35">
        <v>0</v>
      </c>
      <c r="J68" s="35">
        <v>0</v>
      </c>
      <c r="K68" s="35">
        <v>0</v>
      </c>
      <c r="L68" s="35">
        <v>0</v>
      </c>
      <c r="M68" s="35">
        <v>0</v>
      </c>
      <c r="N68" s="35">
        <v>0</v>
      </c>
      <c r="O68" s="35">
        <v>0</v>
      </c>
      <c r="P68" s="35"/>
      <c r="Q68" s="35"/>
      <c r="R68" s="35"/>
      <c r="S68" s="35"/>
      <c r="T68" s="35"/>
      <c r="U68" s="35"/>
      <c r="V68" s="36">
        <f t="shared" si="2"/>
        <v>0</v>
      </c>
      <c r="W68" s="36">
        <v>66.900000000000006</v>
      </c>
      <c r="X68" s="37">
        <f t="shared" si="3"/>
        <v>0</v>
      </c>
      <c r="Y68" s="422">
        <f t="shared" ref="Y68" si="33">X68/X67</f>
        <v>0</v>
      </c>
      <c r="Z68" s="529">
        <f>X67-AC68</f>
        <v>66.900000000000006</v>
      </c>
      <c r="AA68" s="536"/>
      <c r="AB68" s="535">
        <f>ROUND((AVERAGE(J68:T68)*12),1)</f>
        <v>0</v>
      </c>
      <c r="AC68" s="535">
        <f>IF(AB68*W68&gt;X67,X67,AB68*W68)</f>
        <v>0</v>
      </c>
      <c r="AD68" s="632">
        <f>AC68/X67</f>
        <v>0</v>
      </c>
      <c r="AL68" s="512" t="s">
        <v>190</v>
      </c>
    </row>
    <row r="69" spans="1:38" ht="15.6" customHeight="1">
      <c r="B69" s="1">
        <v>65</v>
      </c>
      <c r="C69" s="2" t="s">
        <v>0</v>
      </c>
      <c r="D69" s="23" t="s">
        <v>191</v>
      </c>
      <c r="E69" s="655" t="s">
        <v>133</v>
      </c>
      <c r="F69" s="25" t="s">
        <v>192</v>
      </c>
      <c r="G69" s="506" t="str">
        <f t="shared" si="0"/>
        <v xml:space="preserve">PREVPrevisão de Horas Extras - Técnico Sênior Eletromecânico/Eletrotécnico/Eletrônico </v>
      </c>
      <c r="H69" s="525" t="str">
        <f t="shared" si="1"/>
        <v/>
      </c>
      <c r="I69" s="26"/>
      <c r="J69" s="26"/>
      <c r="K69" s="26"/>
      <c r="L69" s="26"/>
      <c r="M69" s="26"/>
      <c r="N69" s="26"/>
      <c r="O69" s="26"/>
      <c r="P69" s="26"/>
      <c r="Q69" s="26"/>
      <c r="R69" s="26"/>
      <c r="S69" s="26"/>
      <c r="T69" s="26"/>
      <c r="U69" s="26">
        <v>1</v>
      </c>
      <c r="V69" s="27">
        <f t="shared" si="2"/>
        <v>1</v>
      </c>
      <c r="W69" s="27">
        <v>99.390003176115584</v>
      </c>
      <c r="X69" s="28">
        <f t="shared" si="3"/>
        <v>99.390003176115584</v>
      </c>
      <c r="Y69" s="29" t="s">
        <v>74</v>
      </c>
      <c r="Z69" s="528"/>
      <c r="AA69" s="537"/>
      <c r="AB69" s="533"/>
      <c r="AC69" s="533"/>
      <c r="AD69" s="658"/>
      <c r="AL69" s="512" t="s">
        <v>193</v>
      </c>
    </row>
    <row r="70" spans="1:38" ht="15.6" customHeight="1">
      <c r="A70" s="31"/>
      <c r="B70" s="30">
        <v>66</v>
      </c>
      <c r="C70" s="31" t="s">
        <v>1</v>
      </c>
      <c r="D70" s="32" t="s">
        <v>191</v>
      </c>
      <c r="E70" s="33" t="s">
        <v>133</v>
      </c>
      <c r="F70" s="34" t="s">
        <v>192</v>
      </c>
      <c r="G70" s="506" t="str">
        <f t="shared" si="0"/>
        <v xml:space="preserve">REALPrevisão de Horas Extras - Técnico Sênior Eletromecânico/Eletrotécnico/Eletrônico </v>
      </c>
      <c r="H70" s="525">
        <f t="shared" si="1"/>
        <v>0</v>
      </c>
      <c r="I70" s="35">
        <v>0</v>
      </c>
      <c r="J70" s="35">
        <v>0</v>
      </c>
      <c r="K70" s="35">
        <v>0</v>
      </c>
      <c r="L70" s="35">
        <v>0</v>
      </c>
      <c r="M70" s="35">
        <v>0</v>
      </c>
      <c r="N70" s="35">
        <v>0</v>
      </c>
      <c r="O70" s="35">
        <v>0</v>
      </c>
      <c r="P70" s="35"/>
      <c r="Q70" s="35"/>
      <c r="R70" s="35"/>
      <c r="S70" s="35"/>
      <c r="T70" s="35"/>
      <c r="U70" s="35"/>
      <c r="V70" s="36">
        <f t="shared" si="2"/>
        <v>0</v>
      </c>
      <c r="W70" s="36">
        <v>99.390003176115584</v>
      </c>
      <c r="X70" s="37">
        <f t="shared" si="3"/>
        <v>0</v>
      </c>
      <c r="Y70" s="422">
        <f t="shared" ref="Y70" si="34">X70/X69</f>
        <v>0</v>
      </c>
      <c r="Z70" s="529">
        <f>X69-AC70</f>
        <v>99.390003176115584</v>
      </c>
      <c r="AA70" s="536"/>
      <c r="AB70" s="535">
        <f>ROUND((AVERAGE(J70:T70)*12),1)</f>
        <v>0</v>
      </c>
      <c r="AC70" s="535">
        <f>IF(AB70*W70&gt;X69,X69,AB70*W70)</f>
        <v>0</v>
      </c>
      <c r="AD70" s="632">
        <f>AC70/X69</f>
        <v>0</v>
      </c>
      <c r="AL70" s="512" t="s">
        <v>194</v>
      </c>
    </row>
    <row r="71" spans="1:38" ht="15.6" customHeight="1">
      <c r="B71" s="1">
        <v>67</v>
      </c>
      <c r="C71" s="2" t="s">
        <v>0</v>
      </c>
      <c r="D71" s="23" t="s">
        <v>195</v>
      </c>
      <c r="E71" s="655" t="s">
        <v>136</v>
      </c>
      <c r="F71" s="25" t="s">
        <v>196</v>
      </c>
      <c r="G71" s="506" t="str">
        <f t="shared" ref="G71:G80" si="35">C71&amp;E71</f>
        <v>PREVPrevisão de Horas Sobreaviso ‐ Motorista</v>
      </c>
      <c r="H71" s="525" t="str">
        <f t="shared" si="1"/>
        <v/>
      </c>
      <c r="I71" s="26"/>
      <c r="J71" s="26"/>
      <c r="K71" s="26"/>
      <c r="L71" s="26"/>
      <c r="M71" s="26"/>
      <c r="N71" s="26"/>
      <c r="O71" s="26"/>
      <c r="P71" s="26"/>
      <c r="Q71" s="26"/>
      <c r="R71" s="26"/>
      <c r="S71" s="26"/>
      <c r="T71" s="26"/>
      <c r="U71" s="26">
        <v>1</v>
      </c>
      <c r="V71" s="27">
        <f t="shared" si="2"/>
        <v>1</v>
      </c>
      <c r="W71" s="27">
        <v>9.2166666666666686</v>
      </c>
      <c r="X71" s="28">
        <f t="shared" si="3"/>
        <v>9.2166666666666686</v>
      </c>
      <c r="Y71" s="29" t="s">
        <v>74</v>
      </c>
      <c r="Z71" s="528"/>
      <c r="AA71" s="537"/>
      <c r="AB71" s="533"/>
      <c r="AC71" s="533"/>
      <c r="AD71" s="658"/>
      <c r="AL71" s="512" t="s">
        <v>197</v>
      </c>
    </row>
    <row r="72" spans="1:38" ht="15.6" customHeight="1">
      <c r="A72" s="31"/>
      <c r="B72" s="30">
        <v>68</v>
      </c>
      <c r="C72" s="31" t="s">
        <v>1</v>
      </c>
      <c r="D72" s="32" t="s">
        <v>195</v>
      </c>
      <c r="E72" s="33" t="s">
        <v>136</v>
      </c>
      <c r="F72" s="34" t="s">
        <v>196</v>
      </c>
      <c r="G72" s="506" t="str">
        <f t="shared" si="35"/>
        <v>REALPrevisão de Horas Sobreaviso ‐ Motorista</v>
      </c>
      <c r="H72" s="525">
        <f t="shared" ref="H72:H80" si="36">Y72</f>
        <v>0</v>
      </c>
      <c r="I72" s="35">
        <v>0</v>
      </c>
      <c r="J72" s="35">
        <v>0</v>
      </c>
      <c r="K72" s="35">
        <v>0</v>
      </c>
      <c r="L72" s="35">
        <v>0</v>
      </c>
      <c r="M72" s="35">
        <v>0</v>
      </c>
      <c r="N72" s="35">
        <v>0</v>
      </c>
      <c r="O72" s="35">
        <v>0</v>
      </c>
      <c r="P72" s="35"/>
      <c r="Q72" s="35"/>
      <c r="R72" s="35"/>
      <c r="S72" s="35"/>
      <c r="T72" s="35"/>
      <c r="U72" s="35"/>
      <c r="V72" s="36">
        <f t="shared" ref="V72" si="37">SUM(I72:U72)</f>
        <v>0</v>
      </c>
      <c r="W72" s="36">
        <v>9.2166666666666686</v>
      </c>
      <c r="X72" s="37">
        <f t="shared" ref="X72:X80" si="38">W72*V72</f>
        <v>0</v>
      </c>
      <c r="Y72" s="422">
        <f t="shared" ref="Y72" si="39">X72/X71</f>
        <v>0</v>
      </c>
      <c r="Z72" s="529">
        <f>X71-AC72</f>
        <v>9.2166666666666686</v>
      </c>
      <c r="AA72" s="536"/>
      <c r="AB72" s="535">
        <f>ROUND((AVERAGE(J72:T72)*12),1)</f>
        <v>0</v>
      </c>
      <c r="AC72" s="535">
        <f>IF(AB72*W72&gt;X71,X71,AB72*W72)</f>
        <v>0</v>
      </c>
      <c r="AD72" s="632">
        <f>AC72/X71</f>
        <v>0</v>
      </c>
      <c r="AL72" s="512" t="s">
        <v>198</v>
      </c>
    </row>
    <row r="73" spans="1:38" ht="15.6" customHeight="1">
      <c r="B73" s="1">
        <v>69</v>
      </c>
      <c r="C73" s="2" t="s">
        <v>0</v>
      </c>
      <c r="D73" s="23" t="s">
        <v>199</v>
      </c>
      <c r="E73" s="655" t="s">
        <v>137</v>
      </c>
      <c r="F73" s="25" t="s">
        <v>196</v>
      </c>
      <c r="G73" s="506" t="str">
        <f t="shared" si="35"/>
        <v>PREVPrevisão de Horas Extras - Motorista</v>
      </c>
      <c r="H73" s="525" t="str">
        <f t="shared" si="36"/>
        <v/>
      </c>
      <c r="I73" s="26"/>
      <c r="J73" s="26"/>
      <c r="K73" s="26"/>
      <c r="L73" s="26"/>
      <c r="M73" s="26"/>
      <c r="N73" s="26"/>
      <c r="O73" s="26"/>
      <c r="P73" s="26"/>
      <c r="Q73" s="26"/>
      <c r="R73" s="26"/>
      <c r="S73" s="26"/>
      <c r="T73" s="26"/>
      <c r="U73" s="26">
        <v>1</v>
      </c>
      <c r="V73" s="27">
        <v>1</v>
      </c>
      <c r="W73" s="27">
        <v>41.4750033346672</v>
      </c>
      <c r="X73" s="28">
        <f t="shared" si="38"/>
        <v>41.4750033346672</v>
      </c>
      <c r="Y73" s="29" t="s">
        <v>74</v>
      </c>
      <c r="Z73" s="528"/>
      <c r="AA73" s="537"/>
      <c r="AB73" s="533"/>
      <c r="AC73" s="533"/>
      <c r="AD73" s="658"/>
      <c r="AL73" s="512" t="s">
        <v>200</v>
      </c>
    </row>
    <row r="74" spans="1:38" ht="15.6" customHeight="1">
      <c r="A74" s="31"/>
      <c r="B74" s="30">
        <v>70</v>
      </c>
      <c r="C74" s="31" t="s">
        <v>1</v>
      </c>
      <c r="D74" s="32" t="s">
        <v>199</v>
      </c>
      <c r="E74" s="33" t="s">
        <v>137</v>
      </c>
      <c r="F74" s="34" t="s">
        <v>196</v>
      </c>
      <c r="G74" s="506" t="str">
        <f t="shared" si="35"/>
        <v>REALPrevisão de Horas Extras - Motorista</v>
      </c>
      <c r="H74" s="525">
        <f t="shared" si="36"/>
        <v>0</v>
      </c>
      <c r="I74" s="35">
        <v>0</v>
      </c>
      <c r="J74" s="35">
        <v>0</v>
      </c>
      <c r="K74" s="35">
        <v>0</v>
      </c>
      <c r="L74" s="35">
        <v>0</v>
      </c>
      <c r="M74" s="35">
        <v>0</v>
      </c>
      <c r="N74" s="35">
        <v>0</v>
      </c>
      <c r="O74" s="35">
        <v>0</v>
      </c>
      <c r="P74" s="35"/>
      <c r="Q74" s="35"/>
      <c r="R74" s="35"/>
      <c r="S74" s="35"/>
      <c r="T74" s="35"/>
      <c r="U74" s="35"/>
      <c r="V74" s="36">
        <f t="shared" ref="V74" si="40">SUM(I74:U74)</f>
        <v>0</v>
      </c>
      <c r="W74" s="36">
        <v>41.4750033346672</v>
      </c>
      <c r="X74" s="37">
        <f t="shared" si="38"/>
        <v>0</v>
      </c>
      <c r="Y74" s="422">
        <f t="shared" ref="Y74" si="41">X74/X73</f>
        <v>0</v>
      </c>
      <c r="Z74" s="529">
        <f>X73-AC74</f>
        <v>41.4750033346672</v>
      </c>
      <c r="AA74" s="536"/>
      <c r="AB74" s="535">
        <f>ROUND((AVERAGE(J74:T74)*12),1)</f>
        <v>0</v>
      </c>
      <c r="AC74" s="535">
        <f>IF(AB74*W74&gt;X73,X73,AB74*W74)</f>
        <v>0</v>
      </c>
      <c r="AD74" s="632">
        <f>AC74/X73</f>
        <v>0</v>
      </c>
      <c r="AL74" s="512" t="s">
        <v>201</v>
      </c>
    </row>
    <row r="75" spans="1:38" ht="15.6" customHeight="1">
      <c r="B75" s="1">
        <v>71</v>
      </c>
      <c r="C75" s="2" t="s">
        <v>0</v>
      </c>
      <c r="D75" s="23" t="s">
        <v>202</v>
      </c>
      <c r="E75" s="655" t="s">
        <v>137</v>
      </c>
      <c r="F75" s="25" t="s">
        <v>203</v>
      </c>
      <c r="G75" s="506" t="str">
        <f t="shared" si="35"/>
        <v>PREVPrevisão de Horas Extras - Motorista</v>
      </c>
      <c r="H75" s="525" t="str">
        <f t="shared" si="36"/>
        <v/>
      </c>
      <c r="I75" s="26"/>
      <c r="J75" s="26"/>
      <c r="K75" s="26"/>
      <c r="L75" s="26"/>
      <c r="M75" s="26"/>
      <c r="N75" s="26"/>
      <c r="O75" s="26"/>
      <c r="P75" s="26"/>
      <c r="Q75" s="26"/>
      <c r="R75" s="26"/>
      <c r="S75" s="26"/>
      <c r="T75" s="26"/>
      <c r="U75" s="26">
        <v>1</v>
      </c>
      <c r="V75" s="27">
        <v>1</v>
      </c>
      <c r="W75" s="27">
        <v>61.635000666933436</v>
      </c>
      <c r="X75" s="28">
        <f t="shared" si="38"/>
        <v>61.635000666933436</v>
      </c>
      <c r="Y75" s="29" t="s">
        <v>74</v>
      </c>
      <c r="Z75" s="528"/>
      <c r="AA75" s="537"/>
      <c r="AB75" s="533"/>
      <c r="AC75" s="533"/>
      <c r="AD75" s="658"/>
      <c r="AL75" s="512" t="s">
        <v>204</v>
      </c>
    </row>
    <row r="76" spans="1:38" ht="15.6" customHeight="1">
      <c r="A76" s="31"/>
      <c r="B76" s="30">
        <v>72</v>
      </c>
      <c r="C76" s="31" t="s">
        <v>1</v>
      </c>
      <c r="D76" s="32" t="s">
        <v>202</v>
      </c>
      <c r="E76" s="33" t="s">
        <v>137</v>
      </c>
      <c r="F76" s="34" t="s">
        <v>203</v>
      </c>
      <c r="G76" s="506" t="str">
        <f t="shared" si="35"/>
        <v>REALPrevisão de Horas Extras - Motorista</v>
      </c>
      <c r="H76" s="525">
        <f t="shared" si="36"/>
        <v>0</v>
      </c>
      <c r="I76" s="35">
        <v>0</v>
      </c>
      <c r="J76" s="35">
        <v>0</v>
      </c>
      <c r="K76" s="35">
        <v>0</v>
      </c>
      <c r="L76" s="35">
        <v>0</v>
      </c>
      <c r="M76" s="35">
        <v>0</v>
      </c>
      <c r="N76" s="35">
        <v>0</v>
      </c>
      <c r="O76" s="35">
        <v>0</v>
      </c>
      <c r="P76" s="35"/>
      <c r="Q76" s="35"/>
      <c r="R76" s="35"/>
      <c r="S76" s="35"/>
      <c r="T76" s="35"/>
      <c r="U76" s="35"/>
      <c r="V76" s="36">
        <f t="shared" ref="V76:V80" si="42">SUM(I76:U76)</f>
        <v>0</v>
      </c>
      <c r="W76" s="36">
        <v>61.635000666933436</v>
      </c>
      <c r="X76" s="37">
        <f t="shared" si="38"/>
        <v>0</v>
      </c>
      <c r="Y76" s="422">
        <f t="shared" ref="Y76" si="43">X76/X75</f>
        <v>0</v>
      </c>
      <c r="Z76" s="529">
        <f>X75-AC76</f>
        <v>61.635000666933436</v>
      </c>
      <c r="AA76" s="536"/>
      <c r="AB76" s="535">
        <f>ROUND((AVERAGE(J76:T76)*12),1)</f>
        <v>0</v>
      </c>
      <c r="AC76" s="535">
        <f>IF(AB76*W76&gt;X75,X75,AB76*W76)</f>
        <v>0</v>
      </c>
      <c r="AD76" s="632">
        <f>AC76/X75</f>
        <v>0</v>
      </c>
      <c r="AL76" s="512" t="s">
        <v>205</v>
      </c>
    </row>
    <row r="77" spans="1:38" ht="15.6" customHeight="1">
      <c r="B77" s="1">
        <v>73</v>
      </c>
      <c r="C77" s="2" t="s">
        <v>0</v>
      </c>
      <c r="D77" s="23" t="s">
        <v>206</v>
      </c>
      <c r="E77" s="655" t="s">
        <v>127</v>
      </c>
      <c r="F77" s="25" t="s">
        <v>207</v>
      </c>
      <c r="G77" s="506" t="str">
        <f t="shared" si="35"/>
        <v>PREVPrevisão de Horas Extras - Eletromecânico - Montador</v>
      </c>
      <c r="H77" s="525" t="str">
        <f t="shared" si="36"/>
        <v/>
      </c>
      <c r="I77" s="26"/>
      <c r="J77" s="26"/>
      <c r="K77" s="26"/>
      <c r="L77" s="26"/>
      <c r="M77" s="26"/>
      <c r="N77" s="26"/>
      <c r="O77" s="26"/>
      <c r="P77" s="26"/>
      <c r="Q77" s="26"/>
      <c r="R77" s="26"/>
      <c r="S77" s="26"/>
      <c r="T77" s="26"/>
      <c r="U77" s="26">
        <v>1</v>
      </c>
      <c r="V77" s="27">
        <f t="shared" si="42"/>
        <v>1</v>
      </c>
      <c r="W77" s="27">
        <v>48.42</v>
      </c>
      <c r="X77" s="28">
        <f t="shared" si="38"/>
        <v>48.42</v>
      </c>
      <c r="Y77" s="29" t="s">
        <v>74</v>
      </c>
      <c r="Z77" s="528"/>
      <c r="AA77" s="537"/>
      <c r="AB77" s="533"/>
      <c r="AC77" s="533"/>
      <c r="AD77" s="658"/>
      <c r="AL77" s="512" t="s">
        <v>208</v>
      </c>
    </row>
    <row r="78" spans="1:38" ht="15.6" customHeight="1">
      <c r="A78" s="31"/>
      <c r="B78" s="30">
        <v>74</v>
      </c>
      <c r="C78" s="31" t="s">
        <v>1</v>
      </c>
      <c r="D78" s="32" t="s">
        <v>206</v>
      </c>
      <c r="E78" s="33" t="s">
        <v>127</v>
      </c>
      <c r="F78" s="34" t="s">
        <v>207</v>
      </c>
      <c r="G78" s="506" t="str">
        <f t="shared" si="35"/>
        <v>REALPrevisão de Horas Extras - Eletromecânico - Montador</v>
      </c>
      <c r="H78" s="525">
        <f t="shared" si="36"/>
        <v>0</v>
      </c>
      <c r="I78" s="35">
        <v>0</v>
      </c>
      <c r="J78" s="35">
        <v>0</v>
      </c>
      <c r="K78" s="35">
        <v>0</v>
      </c>
      <c r="L78" s="35">
        <v>0</v>
      </c>
      <c r="M78" s="35">
        <v>0</v>
      </c>
      <c r="N78" s="35">
        <v>0</v>
      </c>
      <c r="O78" s="35">
        <v>0</v>
      </c>
      <c r="P78" s="35"/>
      <c r="Q78" s="35"/>
      <c r="R78" s="35"/>
      <c r="S78" s="35"/>
      <c r="T78" s="35"/>
      <c r="U78" s="35"/>
      <c r="V78" s="36">
        <f t="shared" si="42"/>
        <v>0</v>
      </c>
      <c r="W78" s="36">
        <v>48.42</v>
      </c>
      <c r="X78" s="37">
        <f t="shared" si="38"/>
        <v>0</v>
      </c>
      <c r="Y78" s="422">
        <f t="shared" ref="Y78" si="44">X78/X77</f>
        <v>0</v>
      </c>
      <c r="Z78" s="529">
        <f>X77-AC78</f>
        <v>48.42</v>
      </c>
      <c r="AA78" s="536"/>
      <c r="AB78" s="535">
        <f>ROUND((AVERAGE(J78:T78)*12),1)</f>
        <v>0</v>
      </c>
      <c r="AC78" s="535">
        <f>IF(AB78*W78&gt;X77,X77,AB78*W78)</f>
        <v>0</v>
      </c>
      <c r="AD78" s="632">
        <f>AC78/X77</f>
        <v>0</v>
      </c>
      <c r="AL78" s="512" t="s">
        <v>209</v>
      </c>
    </row>
    <row r="79" spans="1:38" ht="15.6" customHeight="1">
      <c r="B79" s="1">
        <v>75</v>
      </c>
      <c r="C79" s="2" t="s">
        <v>0</v>
      </c>
      <c r="D79" s="23" t="s">
        <v>210</v>
      </c>
      <c r="E79" s="655" t="s">
        <v>127</v>
      </c>
      <c r="F79" s="25" t="s">
        <v>211</v>
      </c>
      <c r="G79" s="506" t="str">
        <f t="shared" si="35"/>
        <v>PREVPrevisão de Horas Extras - Eletromecânico - Montador</v>
      </c>
      <c r="H79" s="525" t="str">
        <f t="shared" si="36"/>
        <v/>
      </c>
      <c r="I79" s="26"/>
      <c r="J79" s="26"/>
      <c r="K79" s="26"/>
      <c r="L79" s="26"/>
      <c r="M79" s="26"/>
      <c r="N79" s="26"/>
      <c r="O79" s="26"/>
      <c r="P79" s="26"/>
      <c r="Q79" s="26"/>
      <c r="R79" s="26"/>
      <c r="S79" s="26"/>
      <c r="T79" s="26"/>
      <c r="U79" s="26">
        <v>1</v>
      </c>
      <c r="V79" s="27">
        <f t="shared" si="42"/>
        <v>1</v>
      </c>
      <c r="W79" s="27">
        <v>84.6</v>
      </c>
      <c r="X79" s="28">
        <f t="shared" si="38"/>
        <v>84.6</v>
      </c>
      <c r="Y79" s="29" t="s">
        <v>74</v>
      </c>
      <c r="Z79" s="528"/>
      <c r="AA79" s="537"/>
      <c r="AB79" s="533"/>
      <c r="AC79" s="533"/>
      <c r="AD79" s="658"/>
      <c r="AL79" s="512" t="s">
        <v>212</v>
      </c>
    </row>
    <row r="80" spans="1:38" ht="15.6" customHeight="1">
      <c r="A80" s="31"/>
      <c r="B80" s="30">
        <v>76</v>
      </c>
      <c r="C80" s="31" t="s">
        <v>1</v>
      </c>
      <c r="D80" s="32" t="s">
        <v>210</v>
      </c>
      <c r="E80" s="33" t="s">
        <v>127</v>
      </c>
      <c r="F80" s="34" t="s">
        <v>211</v>
      </c>
      <c r="G80" s="506" t="str">
        <f t="shared" si="35"/>
        <v>REALPrevisão de Horas Extras - Eletromecânico - Montador</v>
      </c>
      <c r="H80" s="525">
        <f t="shared" si="36"/>
        <v>0</v>
      </c>
      <c r="I80" s="35">
        <v>0</v>
      </c>
      <c r="J80" s="35">
        <v>0</v>
      </c>
      <c r="K80" s="35">
        <v>0</v>
      </c>
      <c r="L80" s="35">
        <v>0</v>
      </c>
      <c r="M80" s="35">
        <v>0</v>
      </c>
      <c r="N80" s="35">
        <v>0</v>
      </c>
      <c r="O80" s="35">
        <v>0</v>
      </c>
      <c r="P80" s="35"/>
      <c r="Q80" s="35"/>
      <c r="R80" s="35"/>
      <c r="S80" s="35"/>
      <c r="T80" s="35"/>
      <c r="U80" s="35"/>
      <c r="V80" s="36">
        <f t="shared" si="42"/>
        <v>0</v>
      </c>
      <c r="W80" s="36">
        <v>84.6</v>
      </c>
      <c r="X80" s="37">
        <f t="shared" si="38"/>
        <v>0</v>
      </c>
      <c r="Y80" s="422">
        <f t="shared" ref="Y80" si="45">X80/X79</f>
        <v>0</v>
      </c>
      <c r="Z80" s="529">
        <f>X79-AC80</f>
        <v>84.6</v>
      </c>
      <c r="AA80" s="536"/>
      <c r="AB80" s="535">
        <f>ROUND((AVERAGE(J80:T80)*12),1)</f>
        <v>0</v>
      </c>
      <c r="AC80" s="535">
        <f>IF(AB80*W80&gt;X79,X79,AB80*W80)</f>
        <v>0</v>
      </c>
      <c r="AD80" s="632">
        <f>AC80/X79</f>
        <v>0</v>
      </c>
      <c r="AL80" s="512" t="s">
        <v>213</v>
      </c>
    </row>
    <row r="81" spans="1:38" ht="15.6" customHeight="1">
      <c r="A81" s="31"/>
      <c r="B81" s="1">
        <v>77</v>
      </c>
      <c r="C81" s="31"/>
      <c r="D81" s="32"/>
      <c r="E81" s="33"/>
      <c r="F81" s="34"/>
      <c r="G81" s="507"/>
      <c r="H81" s="34"/>
      <c r="I81" s="35"/>
      <c r="J81" s="35"/>
      <c r="K81" s="35"/>
      <c r="L81" s="35"/>
      <c r="M81" s="41"/>
      <c r="N81" s="41"/>
      <c r="O81" s="41"/>
      <c r="P81" s="35"/>
      <c r="Q81" s="35"/>
      <c r="R81" s="35"/>
      <c r="S81" s="35"/>
      <c r="T81" s="41"/>
      <c r="U81" s="41"/>
      <c r="V81" s="36"/>
      <c r="W81" s="36"/>
      <c r="X81" s="37"/>
      <c r="Y81" s="29" t="s">
        <v>74</v>
      </c>
      <c r="Z81" s="528"/>
      <c r="AA81" s="538"/>
      <c r="AB81" s="533"/>
      <c r="AC81" s="535"/>
      <c r="AD81" s="658"/>
      <c r="AL81" s="512" t="s">
        <v>214</v>
      </c>
    </row>
    <row r="82" spans="1:38" s="513" customFormat="1" ht="15.6" customHeight="1">
      <c r="A82" s="44"/>
      <c r="B82" s="30">
        <v>78</v>
      </c>
      <c r="C82" s="2" t="s">
        <v>0</v>
      </c>
      <c r="D82" s="715" t="s">
        <v>215</v>
      </c>
      <c r="E82" s="716"/>
      <c r="F82" s="716"/>
      <c r="G82" s="716"/>
      <c r="H82" s="716"/>
      <c r="I82" s="42">
        <v>166.5</v>
      </c>
      <c r="J82" s="42">
        <v>166.5</v>
      </c>
      <c r="K82" s="42">
        <v>166.5</v>
      </c>
      <c r="L82" s="42">
        <v>166.5</v>
      </c>
      <c r="M82" s="42">
        <v>166.5</v>
      </c>
      <c r="N82" s="42">
        <v>166.5</v>
      </c>
      <c r="O82" s="42">
        <v>166.5</v>
      </c>
      <c r="P82" s="42">
        <v>166.5</v>
      </c>
      <c r="Q82" s="42">
        <v>166.5</v>
      </c>
      <c r="R82" s="42">
        <v>166.5</v>
      </c>
      <c r="S82" s="42">
        <v>166.5</v>
      </c>
      <c r="T82" s="42">
        <v>166.5</v>
      </c>
      <c r="U82" s="42">
        <v>166.5</v>
      </c>
      <c r="V82" s="42">
        <f>SUMIF($C$7:$C$60,$C$82,V7:V60)</f>
        <v>2286</v>
      </c>
      <c r="W82" s="42"/>
      <c r="X82" s="43">
        <f>SUMIF($C$7:$C$80,$C$82,X7:X80)+0.01</f>
        <v>18310884.076674007</v>
      </c>
      <c r="Y82" s="476">
        <f ca="1">X82/$X$260</f>
        <v>0.59132232723670219</v>
      </c>
      <c r="Z82" s="528"/>
      <c r="AA82" s="539"/>
      <c r="AB82" s="535"/>
      <c r="AC82" s="540"/>
      <c r="AD82" s="658"/>
      <c r="AL82" s="512" t="s">
        <v>216</v>
      </c>
    </row>
    <row r="83" spans="1:38" s="513" customFormat="1" ht="15.6" customHeight="1">
      <c r="A83" s="47"/>
      <c r="B83" s="1">
        <v>79</v>
      </c>
      <c r="C83" s="31" t="s">
        <v>1</v>
      </c>
      <c r="D83" s="717" t="s">
        <v>215</v>
      </c>
      <c r="E83" s="718"/>
      <c r="F83" s="718"/>
      <c r="G83" s="718"/>
      <c r="H83" s="719"/>
      <c r="I83" s="393">
        <f t="shared" ref="I83:V83" si="46">SUMIF($C$7:$C$60,$C$83,I7:I60)</f>
        <v>134.03823319816712</v>
      </c>
      <c r="J83" s="393">
        <f t="shared" si="46"/>
        <v>176.66032216472493</v>
      </c>
      <c r="K83" s="393">
        <f t="shared" si="46"/>
        <v>179.80160422587699</v>
      </c>
      <c r="L83" s="393">
        <f t="shared" si="46"/>
        <v>180.74636623250697</v>
      </c>
      <c r="M83" s="393">
        <f t="shared" si="46"/>
        <v>176.26541412937664</v>
      </c>
      <c r="N83" s="393">
        <f t="shared" si="46"/>
        <v>169.55398513195425</v>
      </c>
      <c r="O83" s="393">
        <f t="shared" si="46"/>
        <v>168.81969911206428</v>
      </c>
      <c r="P83" s="393">
        <f t="shared" si="46"/>
        <v>0</v>
      </c>
      <c r="Q83" s="393">
        <f t="shared" si="46"/>
        <v>0</v>
      </c>
      <c r="R83" s="393">
        <f t="shared" si="46"/>
        <v>0</v>
      </c>
      <c r="S83" s="393">
        <f t="shared" si="46"/>
        <v>0</v>
      </c>
      <c r="T83" s="393">
        <f t="shared" si="46"/>
        <v>0</v>
      </c>
      <c r="U83" s="393">
        <f t="shared" si="46"/>
        <v>0</v>
      </c>
      <c r="V83" s="45">
        <f t="shared" si="46"/>
        <v>1185.885624194671</v>
      </c>
      <c r="W83" s="45"/>
      <c r="X83" s="46">
        <f>SUMIF($C$7:$C$60,$C$83,X7:X60)</f>
        <v>9407553.8248052541</v>
      </c>
      <c r="Y83" s="38">
        <f>X83/X82</f>
        <v>0.51376841147661534</v>
      </c>
      <c r="Z83" s="47"/>
      <c r="AA83" s="541">
        <f>SUM(Z8:Z80)</f>
        <v>1769328.8306740073</v>
      </c>
      <c r="AB83" s="533"/>
      <c r="AC83" s="542">
        <f>SUM(AC10:AC80)</f>
        <v>16541555.236</v>
      </c>
      <c r="AD83" s="633">
        <f>AC83/X82</f>
        <v>0.90337283370561383</v>
      </c>
      <c r="AL83" s="512" t="s">
        <v>217</v>
      </c>
    </row>
    <row r="84" spans="1:38" s="513" customFormat="1" ht="15.6" customHeight="1">
      <c r="A84" s="44"/>
      <c r="B84" s="30">
        <v>80</v>
      </c>
      <c r="C84" s="2" t="s">
        <v>0</v>
      </c>
      <c r="D84" s="651"/>
      <c r="E84" s="48" t="s">
        <v>218</v>
      </c>
      <c r="F84" s="670"/>
      <c r="G84" s="670"/>
      <c r="H84" s="670"/>
      <c r="I84" s="49"/>
      <c r="J84" s="49"/>
      <c r="K84" s="49"/>
      <c r="L84" s="49"/>
      <c r="M84" s="49"/>
      <c r="N84" s="49"/>
      <c r="O84" s="49"/>
      <c r="P84" s="49"/>
      <c r="Q84" s="49"/>
      <c r="R84" s="49"/>
      <c r="S84" s="49"/>
      <c r="T84" s="49"/>
      <c r="U84" s="49"/>
      <c r="V84" s="49"/>
      <c r="W84" s="49"/>
      <c r="X84" s="49"/>
      <c r="Y84" s="38"/>
      <c r="Z84" s="529"/>
      <c r="AA84" s="539"/>
      <c r="AB84" s="535"/>
      <c r="AC84" s="540"/>
      <c r="AD84" s="658"/>
      <c r="AL84" s="512" t="s">
        <v>219</v>
      </c>
    </row>
    <row r="85" spans="1:38" s="513" customFormat="1" ht="15.6" customHeight="1">
      <c r="A85" s="47"/>
      <c r="B85" s="1">
        <v>81</v>
      </c>
      <c r="C85" s="31" t="s">
        <v>1</v>
      </c>
      <c r="D85" s="674"/>
      <c r="E85" s="50" t="s">
        <v>218</v>
      </c>
      <c r="F85" s="671"/>
      <c r="G85" s="671"/>
      <c r="H85" s="671"/>
      <c r="I85" s="51"/>
      <c r="J85" s="51"/>
      <c r="K85" s="51"/>
      <c r="L85" s="51"/>
      <c r="M85" s="51"/>
      <c r="N85" s="51"/>
      <c r="O85" s="51"/>
      <c r="P85" s="51"/>
      <c r="Q85" s="51"/>
      <c r="R85" s="51"/>
      <c r="S85" s="51"/>
      <c r="T85" s="51"/>
      <c r="U85" s="51"/>
      <c r="V85" s="51"/>
      <c r="W85" s="51"/>
      <c r="X85" s="51"/>
      <c r="Y85" s="38"/>
      <c r="Z85" s="529"/>
      <c r="AA85" s="543"/>
      <c r="AB85" s="533"/>
      <c r="AC85" s="544"/>
      <c r="AD85" s="658"/>
      <c r="AL85" s="512" t="s">
        <v>220</v>
      </c>
    </row>
    <row r="86" spans="1:38" ht="15.6" customHeight="1">
      <c r="A86" s="15"/>
      <c r="B86" s="30">
        <v>82</v>
      </c>
      <c r="C86" s="2" t="s">
        <v>0</v>
      </c>
      <c r="D86" s="52">
        <v>2</v>
      </c>
      <c r="E86" s="53" t="s">
        <v>221</v>
      </c>
      <c r="F86" s="54"/>
      <c r="G86" s="54"/>
      <c r="H86" s="55"/>
      <c r="I86" s="56"/>
      <c r="J86" s="56"/>
      <c r="K86" s="56"/>
      <c r="L86" s="56"/>
      <c r="M86" s="56"/>
      <c r="N86" s="56"/>
      <c r="O86" s="56"/>
      <c r="P86" s="56"/>
      <c r="Q86" s="56"/>
      <c r="R86" s="56"/>
      <c r="S86" s="56"/>
      <c r="T86" s="56"/>
      <c r="U86" s="56"/>
      <c r="V86" s="56"/>
      <c r="W86" s="56"/>
      <c r="X86" s="57"/>
      <c r="Y86" s="14">
        <f ca="1">Y87</f>
        <v>0.51248057414734782</v>
      </c>
      <c r="Z86" s="510"/>
      <c r="AA86" s="531"/>
      <c r="AB86" s="531"/>
      <c r="AC86" s="531"/>
      <c r="AD86" s="630"/>
      <c r="AL86" s="512" t="s">
        <v>222</v>
      </c>
    </row>
    <row r="87" spans="1:38" ht="15.6" customHeight="1">
      <c r="A87" s="22"/>
      <c r="B87" s="1">
        <v>83</v>
      </c>
      <c r="C87" s="31" t="s">
        <v>1</v>
      </c>
      <c r="D87" s="58">
        <v>2</v>
      </c>
      <c r="E87" s="59" t="s">
        <v>221</v>
      </c>
      <c r="F87" s="60"/>
      <c r="G87" s="60"/>
      <c r="H87" s="61"/>
      <c r="I87" s="62"/>
      <c r="J87" s="62"/>
      <c r="K87" s="62"/>
      <c r="L87" s="62"/>
      <c r="M87" s="62"/>
      <c r="N87" s="62"/>
      <c r="O87" s="62"/>
      <c r="P87" s="62"/>
      <c r="Q87" s="62"/>
      <c r="R87" s="62"/>
      <c r="S87" s="62"/>
      <c r="T87" s="62"/>
      <c r="U87" s="62"/>
      <c r="V87" s="62"/>
      <c r="W87" s="62"/>
      <c r="X87" s="63"/>
      <c r="Y87" s="14">
        <f ca="1">Y252</f>
        <v>0.51248057414734782</v>
      </c>
      <c r="Z87" s="510"/>
      <c r="AA87" s="531"/>
      <c r="AB87" s="531"/>
      <c r="AC87" s="531"/>
      <c r="AD87" s="630"/>
      <c r="AL87" s="512" t="s">
        <v>223</v>
      </c>
    </row>
    <row r="88" spans="1:38" s="513" customFormat="1" ht="15.6" customHeight="1">
      <c r="A88" s="71"/>
      <c r="B88" s="30">
        <v>84</v>
      </c>
      <c r="C88" s="2" t="s">
        <v>0</v>
      </c>
      <c r="D88" s="64" t="s">
        <v>16</v>
      </c>
      <c r="E88" s="65" t="s">
        <v>224</v>
      </c>
      <c r="F88" s="66"/>
      <c r="G88" s="66"/>
      <c r="H88" s="66"/>
      <c r="I88" s="67"/>
      <c r="J88" s="67"/>
      <c r="K88" s="67"/>
      <c r="L88" s="67"/>
      <c r="M88" s="67"/>
      <c r="N88" s="67"/>
      <c r="O88" s="67"/>
      <c r="P88" s="67"/>
      <c r="Q88" s="67"/>
      <c r="R88" s="67"/>
      <c r="S88" s="67"/>
      <c r="T88" s="67"/>
      <c r="U88" s="67"/>
      <c r="V88" s="68"/>
      <c r="W88" s="69"/>
      <c r="X88" s="69">
        <f>SUMIF($C89:$C98,$C88,X89:X98)</f>
        <v>382021.68000000005</v>
      </c>
      <c r="Y88" s="70"/>
      <c r="Z88" s="511"/>
      <c r="AA88" s="545">
        <f>SUM(Z90:Z99)</f>
        <v>286810.90000000002</v>
      </c>
      <c r="AB88" s="545"/>
      <c r="AC88" s="545"/>
      <c r="AD88" s="634"/>
      <c r="AL88" s="512" t="s">
        <v>225</v>
      </c>
    </row>
    <row r="89" spans="1:38" s="513" customFormat="1" ht="15.6" customHeight="1">
      <c r="A89" s="78"/>
      <c r="B89" s="1">
        <v>85</v>
      </c>
      <c r="C89" s="31" t="s">
        <v>1</v>
      </c>
      <c r="D89" s="72" t="s">
        <v>16</v>
      </c>
      <c r="E89" s="73" t="s">
        <v>224</v>
      </c>
      <c r="F89" s="74"/>
      <c r="G89" s="74"/>
      <c r="H89" s="74"/>
      <c r="I89" s="75">
        <f t="shared" ref="I89:U89" si="47">SUMIF($C90:$C99,$C89,I90:I99)</f>
        <v>0</v>
      </c>
      <c r="J89" s="75">
        <f t="shared" si="47"/>
        <v>86</v>
      </c>
      <c r="K89" s="75">
        <f t="shared" si="47"/>
        <v>30.5</v>
      </c>
      <c r="L89" s="75">
        <f t="shared" si="47"/>
        <v>117</v>
      </c>
      <c r="M89" s="75">
        <f t="shared" si="47"/>
        <v>36.5</v>
      </c>
      <c r="N89" s="75">
        <f t="shared" si="47"/>
        <v>88</v>
      </c>
      <c r="O89" s="75">
        <f t="shared" si="47"/>
        <v>3</v>
      </c>
      <c r="P89" s="75">
        <f t="shared" si="47"/>
        <v>0</v>
      </c>
      <c r="Q89" s="75">
        <f t="shared" si="47"/>
        <v>0</v>
      </c>
      <c r="R89" s="75">
        <f t="shared" si="47"/>
        <v>0</v>
      </c>
      <c r="S89" s="75">
        <f t="shared" si="47"/>
        <v>0</v>
      </c>
      <c r="T89" s="75">
        <f t="shared" si="47"/>
        <v>0</v>
      </c>
      <c r="U89" s="75">
        <f t="shared" si="47"/>
        <v>0</v>
      </c>
      <c r="V89" s="76"/>
      <c r="W89" s="77"/>
      <c r="X89" s="77">
        <f>SUMIF($C90:$C99,$C89,X90:X99)</f>
        <v>94516.989999999991</v>
      </c>
      <c r="Y89" s="70">
        <f t="shared" ref="Y89:Y151" si="48">X89/X88</f>
        <v>0.24741263375418898</v>
      </c>
      <c r="Z89" s="511"/>
      <c r="AA89" s="545"/>
      <c r="AB89" s="545"/>
      <c r="AC89" s="545">
        <f>SUM(AC91:AC99)</f>
        <v>95210.78</v>
      </c>
      <c r="AD89" s="635">
        <f>AC89/X88</f>
        <v>0.24922873487180094</v>
      </c>
      <c r="AL89" s="512" t="s">
        <v>226</v>
      </c>
    </row>
    <row r="90" spans="1:38" ht="15.6" customHeight="1">
      <c r="B90" s="30">
        <v>86</v>
      </c>
      <c r="C90" s="2" t="s">
        <v>0</v>
      </c>
      <c r="D90" s="23" t="s">
        <v>227</v>
      </c>
      <c r="E90" s="24" t="s">
        <v>142</v>
      </c>
      <c r="F90" s="416" t="s">
        <v>228</v>
      </c>
      <c r="G90" s="506" t="str">
        <f>C90&amp;E90</f>
        <v>PREVViagens Aéreas  - 1 trecho (ida)</v>
      </c>
      <c r="H90" s="525" t="str">
        <f t="shared" ref="H90:H99" si="49">Y90</f>
        <v/>
      </c>
      <c r="I90" s="26">
        <v>7.5</v>
      </c>
      <c r="J90" s="79">
        <v>7.5</v>
      </c>
      <c r="K90" s="79">
        <v>7.5</v>
      </c>
      <c r="L90" s="79">
        <v>7.5</v>
      </c>
      <c r="M90" s="79">
        <v>7.5</v>
      </c>
      <c r="N90" s="79">
        <v>7.5</v>
      </c>
      <c r="O90" s="79">
        <v>7.5</v>
      </c>
      <c r="P90" s="79">
        <v>7.5</v>
      </c>
      <c r="Q90" s="79">
        <v>7.5</v>
      </c>
      <c r="R90" s="79">
        <v>7.5</v>
      </c>
      <c r="S90" s="79">
        <v>7.5</v>
      </c>
      <c r="T90" s="79">
        <v>7.5</v>
      </c>
      <c r="U90" s="79"/>
      <c r="V90" s="27">
        <f>SUM(I90:U90)</f>
        <v>90</v>
      </c>
      <c r="W90" s="80">
        <v>693.79</v>
      </c>
      <c r="X90" s="28">
        <f t="shared" ref="X90:X99" si="50">W90*V90</f>
        <v>62441.1</v>
      </c>
      <c r="Y90" s="29" t="s">
        <v>74</v>
      </c>
      <c r="Z90" s="528"/>
      <c r="AA90" s="532"/>
      <c r="AB90" s="535"/>
      <c r="AC90" s="533"/>
      <c r="AD90" s="658"/>
      <c r="AL90" s="514" t="s">
        <v>229</v>
      </c>
    </row>
    <row r="91" spans="1:38" ht="15.6" customHeight="1">
      <c r="A91" s="31"/>
      <c r="B91" s="1">
        <v>87</v>
      </c>
      <c r="C91" s="31" t="s">
        <v>1</v>
      </c>
      <c r="D91" s="32" t="s">
        <v>227</v>
      </c>
      <c r="E91" s="33" t="s">
        <v>142</v>
      </c>
      <c r="F91" s="417" t="s">
        <v>228</v>
      </c>
      <c r="G91" s="506" t="str">
        <f t="shared" ref="G91:G99" si="51">C91&amp;E91</f>
        <v>REALViagens Aéreas  - 1 trecho (ida)</v>
      </c>
      <c r="H91" s="525">
        <f t="shared" si="49"/>
        <v>1.1111111111111112E-2</v>
      </c>
      <c r="I91" s="35">
        <v>0</v>
      </c>
      <c r="J91" s="35">
        <v>1</v>
      </c>
      <c r="K91" s="35">
        <v>0</v>
      </c>
      <c r="L91" s="35">
        <v>0</v>
      </c>
      <c r="M91" s="35">
        <v>0</v>
      </c>
      <c r="N91" s="35">
        <v>0</v>
      </c>
      <c r="O91" s="35">
        <v>0</v>
      </c>
      <c r="P91" s="35"/>
      <c r="Q91" s="35"/>
      <c r="R91" s="35"/>
      <c r="S91" s="35"/>
      <c r="T91" s="35"/>
      <c r="U91" s="35"/>
      <c r="V91" s="36">
        <f t="shared" ref="V91:V97" si="52">SUM(I91:U91)</f>
        <v>1</v>
      </c>
      <c r="W91" s="81">
        <v>693.79</v>
      </c>
      <c r="X91" s="37">
        <f t="shared" si="50"/>
        <v>693.79</v>
      </c>
      <c r="Y91" s="422">
        <f t="shared" si="48"/>
        <v>1.1111111111111112E-2</v>
      </c>
      <c r="Z91" s="529">
        <f>X90-AC91</f>
        <v>61053.52</v>
      </c>
      <c r="AA91" s="546"/>
      <c r="AB91" s="535">
        <f>ROUND((AVERAGE(J91:T91)*12),1)</f>
        <v>2</v>
      </c>
      <c r="AC91" s="535">
        <f>IF(AB91*W91&gt;X90,X90,AB91*W91)</f>
        <v>1387.58</v>
      </c>
      <c r="AD91" s="632">
        <f>AC91/X90</f>
        <v>2.2222222222222223E-2</v>
      </c>
      <c r="AL91" s="514" t="s">
        <v>230</v>
      </c>
    </row>
    <row r="92" spans="1:38" ht="15.6" customHeight="1">
      <c r="B92" s="30">
        <v>88</v>
      </c>
      <c r="C92" s="2" t="s">
        <v>0</v>
      </c>
      <c r="D92" s="23" t="s">
        <v>231</v>
      </c>
      <c r="E92" s="24" t="s">
        <v>145</v>
      </c>
      <c r="F92" s="416" t="s">
        <v>228</v>
      </c>
      <c r="G92" s="506" t="str">
        <f t="shared" si="51"/>
        <v>PREVViagens Aéreas  - 1 trecho (volta)</v>
      </c>
      <c r="H92" s="525" t="str">
        <f t="shared" si="49"/>
        <v/>
      </c>
      <c r="I92" s="26"/>
      <c r="J92" s="26">
        <v>7.5</v>
      </c>
      <c r="K92" s="79">
        <v>7.5</v>
      </c>
      <c r="L92" s="79">
        <v>7.5</v>
      </c>
      <c r="M92" s="79">
        <v>7.5</v>
      </c>
      <c r="N92" s="79">
        <v>7.5</v>
      </c>
      <c r="O92" s="79">
        <v>7.5</v>
      </c>
      <c r="P92" s="79">
        <v>7.5</v>
      </c>
      <c r="Q92" s="79">
        <v>7.5</v>
      </c>
      <c r="R92" s="79">
        <v>7.5</v>
      </c>
      <c r="S92" s="79">
        <v>7.5</v>
      </c>
      <c r="T92" s="79">
        <v>7.5</v>
      </c>
      <c r="U92" s="79">
        <v>7.5</v>
      </c>
      <c r="V92" s="27">
        <f t="shared" si="52"/>
        <v>90</v>
      </c>
      <c r="W92" s="80">
        <v>693.79</v>
      </c>
      <c r="X92" s="28">
        <f t="shared" si="50"/>
        <v>62441.1</v>
      </c>
      <c r="Y92" s="29" t="s">
        <v>74</v>
      </c>
      <c r="Z92" s="528"/>
      <c r="AA92" s="532"/>
      <c r="AB92" s="535"/>
      <c r="AC92" s="533"/>
      <c r="AD92" s="658"/>
      <c r="AL92" s="514" t="s">
        <v>232</v>
      </c>
    </row>
    <row r="93" spans="1:38" ht="15.6" customHeight="1">
      <c r="A93" s="31"/>
      <c r="B93" s="1">
        <v>89</v>
      </c>
      <c r="C93" s="31" t="s">
        <v>1</v>
      </c>
      <c r="D93" s="32" t="s">
        <v>231</v>
      </c>
      <c r="E93" s="33" t="s">
        <v>145</v>
      </c>
      <c r="F93" s="417" t="s">
        <v>228</v>
      </c>
      <c r="G93" s="506" t="str">
        <f t="shared" si="51"/>
        <v>REALViagens Aéreas  - 1 trecho (volta)</v>
      </c>
      <c r="H93" s="525">
        <f t="shared" si="49"/>
        <v>0</v>
      </c>
      <c r="I93" s="35">
        <v>0</v>
      </c>
      <c r="J93" s="35">
        <v>0</v>
      </c>
      <c r="K93" s="35">
        <v>0</v>
      </c>
      <c r="L93" s="35">
        <v>0</v>
      </c>
      <c r="M93" s="35">
        <v>0</v>
      </c>
      <c r="N93" s="35">
        <v>0</v>
      </c>
      <c r="O93" s="35">
        <v>0</v>
      </c>
      <c r="P93" s="35"/>
      <c r="Q93" s="35"/>
      <c r="R93" s="35"/>
      <c r="S93" s="35"/>
      <c r="T93" s="35"/>
      <c r="U93" s="35"/>
      <c r="V93" s="36">
        <f t="shared" si="52"/>
        <v>0</v>
      </c>
      <c r="W93" s="81">
        <v>693.79</v>
      </c>
      <c r="X93" s="37">
        <f t="shared" si="50"/>
        <v>0</v>
      </c>
      <c r="Y93" s="422">
        <f t="shared" si="48"/>
        <v>0</v>
      </c>
      <c r="Z93" s="529">
        <f>X92-AC93</f>
        <v>62441.1</v>
      </c>
      <c r="AA93" s="546"/>
      <c r="AB93" s="535">
        <f>ROUND((AVERAGE(J93:T93)*12),1)</f>
        <v>0</v>
      </c>
      <c r="AC93" s="535">
        <f>IF(AB93*W93&gt;X92,X92,AB93*W93)</f>
        <v>0</v>
      </c>
      <c r="AD93" s="632">
        <f>AC93/X92</f>
        <v>0</v>
      </c>
      <c r="AL93" s="514" t="s">
        <v>233</v>
      </c>
    </row>
    <row r="94" spans="1:38" ht="15.6" customHeight="1">
      <c r="B94" s="30">
        <v>90</v>
      </c>
      <c r="C94" s="2" t="s">
        <v>0</v>
      </c>
      <c r="D94" s="23" t="s">
        <v>234</v>
      </c>
      <c r="E94" s="24" t="s">
        <v>146</v>
      </c>
      <c r="F94" s="416" t="s">
        <v>228</v>
      </c>
      <c r="G94" s="506" t="str">
        <f t="shared" si="51"/>
        <v>PREVViagens Terrestres - 1 trecho (ida)</v>
      </c>
      <c r="H94" s="525" t="str">
        <f t="shared" si="49"/>
        <v/>
      </c>
      <c r="I94" s="26">
        <v>37.166666666666664</v>
      </c>
      <c r="J94" s="79">
        <v>37.166666666666664</v>
      </c>
      <c r="K94" s="79">
        <v>37.166666666666664</v>
      </c>
      <c r="L94" s="79">
        <v>37.166666666666664</v>
      </c>
      <c r="M94" s="79">
        <v>37.166666666666664</v>
      </c>
      <c r="N94" s="79">
        <v>37.166666666666664</v>
      </c>
      <c r="O94" s="79">
        <v>37.166666666666664</v>
      </c>
      <c r="P94" s="79">
        <v>37.166666666666664</v>
      </c>
      <c r="Q94" s="79">
        <v>37.166666666666664</v>
      </c>
      <c r="R94" s="79">
        <v>37.166666666666664</v>
      </c>
      <c r="S94" s="79">
        <v>37.166666666666664</v>
      </c>
      <c r="T94" s="79">
        <v>37.166666666666664</v>
      </c>
      <c r="U94" s="79">
        <v>0</v>
      </c>
      <c r="V94" s="27">
        <f t="shared" si="52"/>
        <v>446.00000000000006</v>
      </c>
      <c r="W94" s="80">
        <v>183.09</v>
      </c>
      <c r="X94" s="28">
        <f t="shared" si="50"/>
        <v>81658.140000000014</v>
      </c>
      <c r="Y94" s="29" t="s">
        <v>74</v>
      </c>
      <c r="Z94" s="528"/>
      <c r="AA94" s="532"/>
      <c r="AB94" s="535"/>
      <c r="AC94" s="533"/>
      <c r="AD94" s="658"/>
      <c r="AL94" s="514" t="s">
        <v>235</v>
      </c>
    </row>
    <row r="95" spans="1:38" ht="15.6" customHeight="1">
      <c r="A95" s="31"/>
      <c r="B95" s="1">
        <v>91</v>
      </c>
      <c r="C95" s="31" t="s">
        <v>1</v>
      </c>
      <c r="D95" s="32" t="s">
        <v>234</v>
      </c>
      <c r="E95" s="33" t="s">
        <v>146</v>
      </c>
      <c r="F95" s="417" t="s">
        <v>228</v>
      </c>
      <c r="G95" s="506" t="str">
        <f t="shared" si="51"/>
        <v>REALViagens Terrestres - 1 trecho (ida)</v>
      </c>
      <c r="H95" s="525">
        <f t="shared" si="49"/>
        <v>0</v>
      </c>
      <c r="I95" s="35">
        <v>0</v>
      </c>
      <c r="J95" s="35">
        <v>0</v>
      </c>
      <c r="K95" s="35">
        <v>0</v>
      </c>
      <c r="L95" s="35">
        <v>0</v>
      </c>
      <c r="M95" s="35">
        <v>0</v>
      </c>
      <c r="N95" s="35">
        <v>0</v>
      </c>
      <c r="O95" s="35">
        <v>0</v>
      </c>
      <c r="P95" s="35"/>
      <c r="Q95" s="35"/>
      <c r="R95" s="35"/>
      <c r="S95" s="35"/>
      <c r="T95" s="35"/>
      <c r="U95" s="35"/>
      <c r="V95" s="36">
        <f t="shared" si="52"/>
        <v>0</v>
      </c>
      <c r="W95" s="81">
        <v>183.09</v>
      </c>
      <c r="X95" s="37">
        <f t="shared" si="50"/>
        <v>0</v>
      </c>
      <c r="Y95" s="422">
        <f t="shared" si="48"/>
        <v>0</v>
      </c>
      <c r="Z95" s="529">
        <f>X94-AC95</f>
        <v>81658.140000000014</v>
      </c>
      <c r="AA95" s="546"/>
      <c r="AB95" s="535">
        <f>ROUND((AVERAGE(J95:T95)*12),1)</f>
        <v>0</v>
      </c>
      <c r="AC95" s="535">
        <f>IF(AB95*W95&gt;X94,X94,AB95*W95)</f>
        <v>0</v>
      </c>
      <c r="AD95" s="632">
        <f>AC95/X94</f>
        <v>0</v>
      </c>
      <c r="AL95" s="514" t="s">
        <v>236</v>
      </c>
    </row>
    <row r="96" spans="1:38" ht="15.6" customHeight="1">
      <c r="B96" s="30">
        <v>92</v>
      </c>
      <c r="C96" s="2" t="s">
        <v>0</v>
      </c>
      <c r="D96" s="23" t="s">
        <v>237</v>
      </c>
      <c r="E96" s="24" t="s">
        <v>149</v>
      </c>
      <c r="F96" s="416" t="s">
        <v>228</v>
      </c>
      <c r="G96" s="506" t="str">
        <f t="shared" si="51"/>
        <v>PREVViagens Terrestres - 1 trecho (volta)</v>
      </c>
      <c r="H96" s="525" t="str">
        <f t="shared" si="49"/>
        <v/>
      </c>
      <c r="I96" s="79"/>
      <c r="J96" s="26">
        <v>37.166666666666664</v>
      </c>
      <c r="K96" s="79">
        <v>37.166666666666664</v>
      </c>
      <c r="L96" s="79">
        <v>37.166666666666664</v>
      </c>
      <c r="M96" s="79">
        <v>37.166666666666664</v>
      </c>
      <c r="N96" s="79">
        <v>37.166666666666664</v>
      </c>
      <c r="O96" s="79">
        <v>37.166666666666664</v>
      </c>
      <c r="P96" s="79">
        <v>37.166666666666664</v>
      </c>
      <c r="Q96" s="79">
        <v>37.166666666666664</v>
      </c>
      <c r="R96" s="79">
        <v>37.166666666666664</v>
      </c>
      <c r="S96" s="79">
        <v>37.166666666666664</v>
      </c>
      <c r="T96" s="79">
        <v>37.166666666666664</v>
      </c>
      <c r="U96" s="79">
        <v>37.166666666666664</v>
      </c>
      <c r="V96" s="27">
        <f t="shared" si="52"/>
        <v>446.00000000000006</v>
      </c>
      <c r="W96" s="80">
        <v>183.09</v>
      </c>
      <c r="X96" s="28">
        <f t="shared" si="50"/>
        <v>81658.140000000014</v>
      </c>
      <c r="Y96" s="29" t="s">
        <v>74</v>
      </c>
      <c r="Z96" s="528"/>
      <c r="AA96" s="532"/>
      <c r="AB96" s="535"/>
      <c r="AC96" s="533"/>
      <c r="AD96" s="658"/>
      <c r="AL96" s="514" t="s">
        <v>238</v>
      </c>
    </row>
    <row r="97" spans="1:38" ht="15.6" customHeight="1">
      <c r="A97" s="31"/>
      <c r="B97" s="1">
        <v>93</v>
      </c>
      <c r="C97" s="31" t="s">
        <v>1</v>
      </c>
      <c r="D97" s="32" t="s">
        <v>237</v>
      </c>
      <c r="E97" s="33" t="s">
        <v>149</v>
      </c>
      <c r="F97" s="417" t="s">
        <v>228</v>
      </c>
      <c r="G97" s="506" t="str">
        <f t="shared" si="51"/>
        <v>REALViagens Terrestres - 1 trecho (volta)</v>
      </c>
      <c r="H97" s="525">
        <f t="shared" si="49"/>
        <v>0</v>
      </c>
      <c r="I97" s="35">
        <v>0</v>
      </c>
      <c r="J97" s="35">
        <v>0</v>
      </c>
      <c r="K97" s="35">
        <v>0</v>
      </c>
      <c r="L97" s="35">
        <v>0</v>
      </c>
      <c r="M97" s="35">
        <v>0</v>
      </c>
      <c r="N97" s="35">
        <v>0</v>
      </c>
      <c r="O97" s="35">
        <v>0</v>
      </c>
      <c r="P97" s="35"/>
      <c r="Q97" s="35"/>
      <c r="R97" s="35"/>
      <c r="S97" s="35"/>
      <c r="T97" s="35"/>
      <c r="U97" s="35"/>
      <c r="V97" s="36">
        <f t="shared" si="52"/>
        <v>0</v>
      </c>
      <c r="W97" s="81">
        <v>183.09</v>
      </c>
      <c r="X97" s="37">
        <f t="shared" si="50"/>
        <v>0</v>
      </c>
      <c r="Y97" s="422">
        <f t="shared" si="48"/>
        <v>0</v>
      </c>
      <c r="Z97" s="529">
        <f>X96-AC97</f>
        <v>81658.140000000014</v>
      </c>
      <c r="AA97" s="546"/>
      <c r="AB97" s="535">
        <f>ROUND((AVERAGE(J97:T97)*12),1)</f>
        <v>0</v>
      </c>
      <c r="AC97" s="535">
        <f>IF(AB97*W97&gt;X96,X96,AB97*W97)</f>
        <v>0</v>
      </c>
      <c r="AD97" s="632">
        <f>AC97/X96</f>
        <v>0</v>
      </c>
      <c r="AL97" s="514" t="s">
        <v>239</v>
      </c>
    </row>
    <row r="98" spans="1:38" ht="15.6" customHeight="1">
      <c r="B98" s="30">
        <v>94</v>
      </c>
      <c r="C98" s="2" t="s">
        <v>0</v>
      </c>
      <c r="D98" s="23" t="s">
        <v>240</v>
      </c>
      <c r="E98" s="24" t="s">
        <v>150</v>
      </c>
      <c r="F98" s="416" t="s">
        <v>228</v>
      </c>
      <c r="G98" s="506" t="str">
        <f t="shared" si="51"/>
        <v>PREVDiárias Nacionais</v>
      </c>
      <c r="H98" s="525" t="str">
        <f t="shared" si="49"/>
        <v/>
      </c>
      <c r="I98" s="79">
        <v>24</v>
      </c>
      <c r="J98" s="26">
        <v>30</v>
      </c>
      <c r="K98" s="79">
        <v>30</v>
      </c>
      <c r="L98" s="79">
        <v>30</v>
      </c>
      <c r="M98" s="79">
        <v>30</v>
      </c>
      <c r="N98" s="79">
        <v>30</v>
      </c>
      <c r="O98" s="79">
        <v>30</v>
      </c>
      <c r="P98" s="79">
        <v>30</v>
      </c>
      <c r="Q98" s="79">
        <v>30</v>
      </c>
      <c r="R98" s="79">
        <v>30</v>
      </c>
      <c r="S98" s="79">
        <v>30</v>
      </c>
      <c r="T98" s="79">
        <v>30</v>
      </c>
      <c r="U98" s="79">
        <f>T98*0.2</f>
        <v>6</v>
      </c>
      <c r="V98" s="27">
        <f t="shared" ref="V98" si="53">SUM(I98:U98)</f>
        <v>360</v>
      </c>
      <c r="W98" s="80">
        <v>260.62</v>
      </c>
      <c r="X98" s="28">
        <f t="shared" si="50"/>
        <v>93823.2</v>
      </c>
      <c r="Y98" s="29" t="s">
        <v>74</v>
      </c>
      <c r="Z98" s="528"/>
      <c r="AA98" s="532"/>
      <c r="AB98" s="535"/>
      <c r="AC98" s="533"/>
      <c r="AD98" s="658"/>
      <c r="AL98" s="514" t="s">
        <v>241</v>
      </c>
    </row>
    <row r="99" spans="1:38" ht="15.6" customHeight="1">
      <c r="A99" s="31"/>
      <c r="B99" s="1">
        <v>95</v>
      </c>
      <c r="C99" s="31" t="s">
        <v>1</v>
      </c>
      <c r="D99" s="32" t="s">
        <v>240</v>
      </c>
      <c r="E99" s="33" t="s">
        <v>150</v>
      </c>
      <c r="F99" s="417" t="s">
        <v>228</v>
      </c>
      <c r="G99" s="506" t="str">
        <f t="shared" si="51"/>
        <v>REALDiárias Nacionais</v>
      </c>
      <c r="H99" s="525">
        <f t="shared" si="49"/>
        <v>1</v>
      </c>
      <c r="I99" s="35">
        <v>0</v>
      </c>
      <c r="J99" s="35">
        <v>85</v>
      </c>
      <c r="K99" s="35">
        <v>30.5</v>
      </c>
      <c r="L99" s="35">
        <v>117</v>
      </c>
      <c r="M99" s="35">
        <v>36.5</v>
      </c>
      <c r="N99" s="35">
        <v>88</v>
      </c>
      <c r="O99" s="35">
        <v>3</v>
      </c>
      <c r="P99" s="35"/>
      <c r="Q99" s="35"/>
      <c r="R99" s="35"/>
      <c r="S99" s="35"/>
      <c r="T99" s="35"/>
      <c r="U99" s="35"/>
      <c r="V99" s="36">
        <f t="shared" ref="V99" si="54">SUM(I99:U99)</f>
        <v>360</v>
      </c>
      <c r="W99" s="81">
        <v>260.62</v>
      </c>
      <c r="X99" s="470">
        <f t="shared" si="50"/>
        <v>93823.2</v>
      </c>
      <c r="Y99" s="38">
        <f t="shared" si="48"/>
        <v>1</v>
      </c>
      <c r="Z99" s="529">
        <f>X98-AC99</f>
        <v>0</v>
      </c>
      <c r="AA99" s="546"/>
      <c r="AB99" s="535">
        <f>ROUND((AVERAGE(J99:T99)*12),1)</f>
        <v>720</v>
      </c>
      <c r="AC99" s="535">
        <f>IF(AB99*W99&gt;X98,X98,AB99*W99)</f>
        <v>93823.2</v>
      </c>
      <c r="AD99" s="632">
        <f>AC99/X98</f>
        <v>1</v>
      </c>
      <c r="AL99" s="514" t="s">
        <v>242</v>
      </c>
    </row>
    <row r="100" spans="1:38" s="513" customFormat="1" ht="15.6" customHeight="1">
      <c r="A100" s="71"/>
      <c r="B100" s="30">
        <v>96</v>
      </c>
      <c r="C100" s="2" t="s">
        <v>0</v>
      </c>
      <c r="D100" s="83" t="s">
        <v>13</v>
      </c>
      <c r="E100" s="84" t="s">
        <v>243</v>
      </c>
      <c r="F100" s="85"/>
      <c r="G100" s="85"/>
      <c r="H100" s="85"/>
      <c r="I100" s="86"/>
      <c r="J100" s="86"/>
      <c r="K100" s="86"/>
      <c r="L100" s="86"/>
      <c r="M100" s="86"/>
      <c r="N100" s="86"/>
      <c r="O100" s="86"/>
      <c r="P100" s="86"/>
      <c r="Q100" s="86"/>
      <c r="R100" s="86"/>
      <c r="S100" s="86"/>
      <c r="T100" s="86"/>
      <c r="U100" s="86"/>
      <c r="V100" s="86"/>
      <c r="W100" s="87"/>
      <c r="X100" s="87">
        <f>SUMIF($C101:$C108,$C100,X101:X108)</f>
        <v>138086.16</v>
      </c>
      <c r="Y100" s="70" t="s">
        <v>74</v>
      </c>
      <c r="Z100" s="511"/>
      <c r="AA100" s="545">
        <f>SUM(Z102:Z109)</f>
        <v>0</v>
      </c>
      <c r="AB100" s="545"/>
      <c r="AC100" s="545"/>
      <c r="AD100" s="634"/>
      <c r="AL100" s="512" t="s">
        <v>244</v>
      </c>
    </row>
    <row r="101" spans="1:38" s="513" customFormat="1" ht="15.6" customHeight="1">
      <c r="A101" s="78"/>
      <c r="B101" s="1">
        <v>97</v>
      </c>
      <c r="C101" s="31" t="s">
        <v>1</v>
      </c>
      <c r="D101" s="88" t="s">
        <v>13</v>
      </c>
      <c r="E101" s="89" t="s">
        <v>243</v>
      </c>
      <c r="F101" s="90"/>
      <c r="G101" s="90"/>
      <c r="H101" s="90"/>
      <c r="I101" s="75">
        <f t="shared" ref="I101:U101" si="55">SUMIF($C102:$C109,$C101,I102:I109)</f>
        <v>31.200000000000006</v>
      </c>
      <c r="J101" s="75">
        <f t="shared" si="55"/>
        <v>39</v>
      </c>
      <c r="K101" s="75">
        <f t="shared" si="55"/>
        <v>39</v>
      </c>
      <c r="L101" s="75">
        <f t="shared" si="55"/>
        <v>39</v>
      </c>
      <c r="M101" s="75">
        <f t="shared" si="55"/>
        <v>39</v>
      </c>
      <c r="N101" s="75">
        <f t="shared" si="55"/>
        <v>39</v>
      </c>
      <c r="O101" s="75">
        <f t="shared" si="55"/>
        <v>39</v>
      </c>
      <c r="P101" s="75">
        <f t="shared" si="55"/>
        <v>0</v>
      </c>
      <c r="Q101" s="75">
        <f t="shared" si="55"/>
        <v>0</v>
      </c>
      <c r="R101" s="75">
        <f t="shared" si="55"/>
        <v>0</v>
      </c>
      <c r="S101" s="75">
        <f t="shared" si="55"/>
        <v>0</v>
      </c>
      <c r="T101" s="75">
        <f t="shared" si="55"/>
        <v>0</v>
      </c>
      <c r="U101" s="75">
        <f t="shared" si="55"/>
        <v>0</v>
      </c>
      <c r="V101" s="91">
        <f>SUM(I101:U101)</f>
        <v>265.2</v>
      </c>
      <c r="W101" s="92"/>
      <c r="X101" s="77">
        <f>SUMIF($C102:$C109,$C101,X102:X109)</f>
        <v>78248.824000000008</v>
      </c>
      <c r="Y101" s="70">
        <f t="shared" si="48"/>
        <v>0.56666666666666676</v>
      </c>
      <c r="Z101" s="511"/>
      <c r="AA101" s="545"/>
      <c r="AB101" s="545"/>
      <c r="AC101" s="545">
        <f>SUM(AC103:AC109)</f>
        <v>138086.16</v>
      </c>
      <c r="AD101" s="635">
        <f>AC101/X100</f>
        <v>1</v>
      </c>
      <c r="AL101" s="512" t="s">
        <v>245</v>
      </c>
    </row>
    <row r="102" spans="1:38" ht="15.6" customHeight="1">
      <c r="B102" s="30">
        <v>98</v>
      </c>
      <c r="C102" s="2" t="s">
        <v>0</v>
      </c>
      <c r="D102" s="23" t="s">
        <v>246</v>
      </c>
      <c r="E102" s="24" t="s">
        <v>153</v>
      </c>
      <c r="F102" s="416" t="s">
        <v>247</v>
      </c>
      <c r="G102" s="506" t="str">
        <f t="shared" ref="G102:G109" si="56">C102&amp;E102</f>
        <v>PREVAluguel Notebook ‐ com software ‐ tipo 2 (i7, HD 1Tb, Memória RAM 8Gb, Tela 15,6" + Sist.
Operacional Windows 10)</v>
      </c>
      <c r="H102" s="525" t="str">
        <f t="shared" ref="H102:H109" si="57">Y102</f>
        <v/>
      </c>
      <c r="I102" s="26">
        <v>26.400000000000002</v>
      </c>
      <c r="J102" s="79">
        <v>33</v>
      </c>
      <c r="K102" s="79">
        <v>33</v>
      </c>
      <c r="L102" s="79">
        <v>33</v>
      </c>
      <c r="M102" s="79">
        <v>33</v>
      </c>
      <c r="N102" s="79">
        <v>33</v>
      </c>
      <c r="O102" s="79">
        <v>33</v>
      </c>
      <c r="P102" s="79">
        <v>33</v>
      </c>
      <c r="Q102" s="79">
        <v>33</v>
      </c>
      <c r="R102" s="79">
        <v>33</v>
      </c>
      <c r="S102" s="79">
        <v>33</v>
      </c>
      <c r="T102" s="79">
        <v>33</v>
      </c>
      <c r="U102" s="26">
        <v>6.6000000000000005</v>
      </c>
      <c r="V102" s="80">
        <v>396</v>
      </c>
      <c r="W102" s="80">
        <v>247.15</v>
      </c>
      <c r="X102" s="28">
        <f t="shared" ref="X102:X109" si="58">W102*V102</f>
        <v>97871.400000000009</v>
      </c>
      <c r="Y102" s="38" t="s">
        <v>74</v>
      </c>
      <c r="Z102" s="528"/>
      <c r="AA102" s="532"/>
      <c r="AB102" s="535"/>
      <c r="AC102" s="533"/>
      <c r="AD102" s="658"/>
      <c r="AL102" s="512" t="s">
        <v>248</v>
      </c>
    </row>
    <row r="103" spans="1:38" ht="15.6" customHeight="1">
      <c r="A103" s="31"/>
      <c r="B103" s="1">
        <v>99</v>
      </c>
      <c r="C103" s="31" t="s">
        <v>1</v>
      </c>
      <c r="D103" s="32" t="s">
        <v>246</v>
      </c>
      <c r="E103" s="33" t="s">
        <v>153</v>
      </c>
      <c r="F103" s="417" t="s">
        <v>247</v>
      </c>
      <c r="G103" s="506" t="str">
        <f t="shared" si="56"/>
        <v>REALAluguel Notebook ‐ com software ‐ tipo 2 (i7, HD 1Tb, Memória RAM 8Gb, Tela 15,6" + Sist.
Operacional Windows 10)</v>
      </c>
      <c r="H103" s="525">
        <f t="shared" si="57"/>
        <v>0.56666666666666665</v>
      </c>
      <c r="I103" s="35">
        <v>26.400000000000002</v>
      </c>
      <c r="J103" s="35">
        <v>33</v>
      </c>
      <c r="K103" s="35">
        <v>33</v>
      </c>
      <c r="L103" s="35">
        <v>33</v>
      </c>
      <c r="M103" s="35">
        <v>33</v>
      </c>
      <c r="N103" s="35">
        <v>33</v>
      </c>
      <c r="O103" s="35">
        <v>33</v>
      </c>
      <c r="P103" s="35"/>
      <c r="Q103" s="35"/>
      <c r="R103" s="35"/>
      <c r="S103" s="35"/>
      <c r="T103" s="35"/>
      <c r="U103" s="35"/>
      <c r="V103" s="36">
        <f t="shared" ref="V103:V105" si="59">SUM(I103:U103)</f>
        <v>224.4</v>
      </c>
      <c r="W103" s="81">
        <v>247.15</v>
      </c>
      <c r="X103" s="37">
        <f t="shared" si="58"/>
        <v>55460.46</v>
      </c>
      <c r="Y103" s="38">
        <f t="shared" si="48"/>
        <v>0.56666666666666665</v>
      </c>
      <c r="Z103" s="529">
        <f>X102-AC103</f>
        <v>0</v>
      </c>
      <c r="AA103" s="546"/>
      <c r="AB103" s="535">
        <f>ROUND((AVERAGE(J103:T103)*12),1)</f>
        <v>396</v>
      </c>
      <c r="AC103" s="535">
        <f>IF(AB103*W103&gt;X102,X102,AB103*W103)</f>
        <v>97871.400000000009</v>
      </c>
      <c r="AD103" s="632">
        <f>AC103/X102</f>
        <v>1</v>
      </c>
      <c r="AL103" s="512" t="s">
        <v>249</v>
      </c>
    </row>
    <row r="104" spans="1:38" ht="15.6" customHeight="1">
      <c r="B104" s="30">
        <v>100</v>
      </c>
      <c r="C104" s="2" t="s">
        <v>0</v>
      </c>
      <c r="D104" s="23" t="s">
        <v>250</v>
      </c>
      <c r="E104" s="24" t="s">
        <v>154</v>
      </c>
      <c r="F104" s="416" t="s">
        <v>247</v>
      </c>
      <c r="G104" s="506" t="str">
        <f t="shared" si="56"/>
        <v>PREVAluguel de Impressora A3</v>
      </c>
      <c r="H104" s="525" t="str">
        <f t="shared" si="57"/>
        <v/>
      </c>
      <c r="I104" s="26">
        <v>2.4000000000000004</v>
      </c>
      <c r="J104" s="79">
        <v>3</v>
      </c>
      <c r="K104" s="79">
        <v>3</v>
      </c>
      <c r="L104" s="79">
        <v>3</v>
      </c>
      <c r="M104" s="79">
        <v>3</v>
      </c>
      <c r="N104" s="79">
        <v>3</v>
      </c>
      <c r="O104" s="79">
        <v>3</v>
      </c>
      <c r="P104" s="79">
        <v>3</v>
      </c>
      <c r="Q104" s="79">
        <v>3</v>
      </c>
      <c r="R104" s="79">
        <v>3</v>
      </c>
      <c r="S104" s="79">
        <v>3</v>
      </c>
      <c r="T104" s="79">
        <v>3</v>
      </c>
      <c r="U104" s="26">
        <v>0.60000000000000009</v>
      </c>
      <c r="V104" s="80">
        <v>36</v>
      </c>
      <c r="W104" s="80">
        <v>177.77</v>
      </c>
      <c r="X104" s="28">
        <f t="shared" si="58"/>
        <v>6399.72</v>
      </c>
      <c r="Y104" s="38" t="s">
        <v>74</v>
      </c>
      <c r="Z104" s="528"/>
      <c r="AA104" s="532"/>
      <c r="AB104" s="535"/>
      <c r="AC104" s="533"/>
      <c r="AD104" s="658"/>
      <c r="AL104" s="512" t="s">
        <v>251</v>
      </c>
    </row>
    <row r="105" spans="1:38" ht="15.6" customHeight="1">
      <c r="A105" s="31"/>
      <c r="B105" s="1">
        <v>101</v>
      </c>
      <c r="C105" s="31" t="s">
        <v>1</v>
      </c>
      <c r="D105" s="32" t="s">
        <v>250</v>
      </c>
      <c r="E105" s="33" t="s">
        <v>154</v>
      </c>
      <c r="F105" s="417" t="s">
        <v>247</v>
      </c>
      <c r="G105" s="506" t="str">
        <f t="shared" si="56"/>
        <v>REALAluguel de Impressora A3</v>
      </c>
      <c r="H105" s="525">
        <f t="shared" si="57"/>
        <v>0.56666666666666665</v>
      </c>
      <c r="I105" s="35">
        <v>2.4000000000000004</v>
      </c>
      <c r="J105" s="35">
        <v>3</v>
      </c>
      <c r="K105" s="35">
        <v>3</v>
      </c>
      <c r="L105" s="35">
        <v>3</v>
      </c>
      <c r="M105" s="35">
        <v>3</v>
      </c>
      <c r="N105" s="35">
        <v>3</v>
      </c>
      <c r="O105" s="35">
        <v>3</v>
      </c>
      <c r="P105" s="35"/>
      <c r="Q105" s="35"/>
      <c r="R105" s="35"/>
      <c r="S105" s="35"/>
      <c r="T105" s="35"/>
      <c r="U105" s="35"/>
      <c r="V105" s="36">
        <f t="shared" si="59"/>
        <v>20.399999999999999</v>
      </c>
      <c r="W105" s="81">
        <v>177.77</v>
      </c>
      <c r="X105" s="37">
        <f t="shared" si="58"/>
        <v>3626.5079999999998</v>
      </c>
      <c r="Y105" s="38">
        <f t="shared" si="48"/>
        <v>0.56666666666666665</v>
      </c>
      <c r="Z105" s="529">
        <f>X104-AC105</f>
        <v>0</v>
      </c>
      <c r="AA105" s="546"/>
      <c r="AB105" s="535">
        <f>ROUND((AVERAGE(J105:T105)*12),1)</f>
        <v>36</v>
      </c>
      <c r="AC105" s="535">
        <f>IF(AB105*W105&gt;X104,X104,AB105*W105)</f>
        <v>6399.72</v>
      </c>
      <c r="AD105" s="632">
        <f>AC105/X104</f>
        <v>1</v>
      </c>
      <c r="AL105" s="512" t="s">
        <v>252</v>
      </c>
    </row>
    <row r="106" spans="1:38" ht="15.6" customHeight="1">
      <c r="B106" s="30">
        <v>102</v>
      </c>
      <c r="C106" s="2" t="s">
        <v>0</v>
      </c>
      <c r="D106" s="23" t="s">
        <v>253</v>
      </c>
      <c r="E106" s="24" t="s">
        <v>157</v>
      </c>
      <c r="F106" s="416" t="s">
        <v>247</v>
      </c>
      <c r="G106" s="506" t="str">
        <f t="shared" si="56"/>
        <v>PREVAluguel de Servidor</v>
      </c>
      <c r="H106" s="525" t="str">
        <f t="shared" si="57"/>
        <v/>
      </c>
      <c r="I106" s="26">
        <v>1.6</v>
      </c>
      <c r="J106" s="79">
        <v>2</v>
      </c>
      <c r="K106" s="79">
        <v>2</v>
      </c>
      <c r="L106" s="79">
        <v>2</v>
      </c>
      <c r="M106" s="79">
        <v>2</v>
      </c>
      <c r="N106" s="79">
        <v>2</v>
      </c>
      <c r="O106" s="79">
        <v>2</v>
      </c>
      <c r="P106" s="79">
        <v>2</v>
      </c>
      <c r="Q106" s="79">
        <v>2</v>
      </c>
      <c r="R106" s="79">
        <v>2</v>
      </c>
      <c r="S106" s="79">
        <v>2</v>
      </c>
      <c r="T106" s="79">
        <v>2</v>
      </c>
      <c r="U106" s="26">
        <v>0.4</v>
      </c>
      <c r="V106" s="80">
        <v>24</v>
      </c>
      <c r="W106" s="80">
        <v>1350.87</v>
      </c>
      <c r="X106" s="28">
        <f t="shared" si="58"/>
        <v>32420.879999999997</v>
      </c>
      <c r="Y106" s="38" t="s">
        <v>74</v>
      </c>
      <c r="Z106" s="528"/>
      <c r="AA106" s="532"/>
      <c r="AB106" s="535"/>
      <c r="AC106" s="533"/>
      <c r="AD106" s="658"/>
      <c r="AL106" s="512" t="s">
        <v>254</v>
      </c>
    </row>
    <row r="107" spans="1:38" ht="15.6" customHeight="1">
      <c r="A107" s="31"/>
      <c r="B107" s="1">
        <v>103</v>
      </c>
      <c r="C107" s="31" t="s">
        <v>1</v>
      </c>
      <c r="D107" s="32" t="s">
        <v>253</v>
      </c>
      <c r="E107" s="33" t="s">
        <v>157</v>
      </c>
      <c r="F107" s="417" t="s">
        <v>247</v>
      </c>
      <c r="G107" s="506" t="str">
        <f t="shared" si="56"/>
        <v>REALAluguel de Servidor</v>
      </c>
      <c r="H107" s="525">
        <f t="shared" si="57"/>
        <v>0.56666666666666665</v>
      </c>
      <c r="I107" s="35">
        <v>1.6</v>
      </c>
      <c r="J107" s="35">
        <v>2</v>
      </c>
      <c r="K107" s="35">
        <v>2</v>
      </c>
      <c r="L107" s="35">
        <v>2</v>
      </c>
      <c r="M107" s="35">
        <v>2</v>
      </c>
      <c r="N107" s="35">
        <v>2</v>
      </c>
      <c r="O107" s="35">
        <v>2</v>
      </c>
      <c r="P107" s="35"/>
      <c r="Q107" s="35"/>
      <c r="R107" s="35"/>
      <c r="S107" s="35"/>
      <c r="T107" s="35"/>
      <c r="U107" s="35"/>
      <c r="V107" s="36">
        <f t="shared" ref="V107" si="60">SUM(I107:U107)</f>
        <v>13.6</v>
      </c>
      <c r="W107" s="81">
        <v>1350.87</v>
      </c>
      <c r="X107" s="37">
        <f t="shared" si="58"/>
        <v>18371.831999999999</v>
      </c>
      <c r="Y107" s="38">
        <f t="shared" si="48"/>
        <v>0.56666666666666665</v>
      </c>
      <c r="Z107" s="529">
        <f>X106-AC107</f>
        <v>0</v>
      </c>
      <c r="AA107" s="546"/>
      <c r="AB107" s="535">
        <f>ROUND((AVERAGE(J107:T107)*12),1)</f>
        <v>24</v>
      </c>
      <c r="AC107" s="535">
        <f>IF(AB107*W107&gt;X106,X106,AB107*W107)</f>
        <v>32420.879999999997</v>
      </c>
      <c r="AD107" s="632">
        <f>AC107/X106</f>
        <v>1</v>
      </c>
      <c r="AL107" s="512"/>
    </row>
    <row r="108" spans="1:38" ht="15.6" customHeight="1">
      <c r="B108" s="30">
        <v>104</v>
      </c>
      <c r="C108" s="2" t="s">
        <v>0</v>
      </c>
      <c r="D108" s="23" t="s">
        <v>255</v>
      </c>
      <c r="E108" s="24" t="s">
        <v>158</v>
      </c>
      <c r="F108" s="416" t="s">
        <v>247</v>
      </c>
      <c r="G108" s="506" t="str">
        <f t="shared" si="56"/>
        <v>PREVAluguel de Plotter</v>
      </c>
      <c r="H108" s="525" t="str">
        <f t="shared" si="57"/>
        <v/>
      </c>
      <c r="I108" s="26">
        <v>0.8</v>
      </c>
      <c r="J108" s="79">
        <v>1</v>
      </c>
      <c r="K108" s="79">
        <v>1</v>
      </c>
      <c r="L108" s="79">
        <v>1</v>
      </c>
      <c r="M108" s="79">
        <v>1</v>
      </c>
      <c r="N108" s="79">
        <v>1</v>
      </c>
      <c r="O108" s="79">
        <v>1</v>
      </c>
      <c r="P108" s="79">
        <v>1</v>
      </c>
      <c r="Q108" s="79">
        <v>1</v>
      </c>
      <c r="R108" s="79">
        <v>1</v>
      </c>
      <c r="S108" s="79">
        <v>1</v>
      </c>
      <c r="T108" s="79">
        <v>1</v>
      </c>
      <c r="U108" s="26">
        <v>0.2</v>
      </c>
      <c r="V108" s="80">
        <v>12</v>
      </c>
      <c r="W108" s="80">
        <v>116.18</v>
      </c>
      <c r="X108" s="28">
        <f t="shared" si="58"/>
        <v>1394.16</v>
      </c>
      <c r="Y108" s="38" t="s">
        <v>74</v>
      </c>
      <c r="Z108" s="528"/>
      <c r="AA108" s="532"/>
      <c r="AB108" s="535"/>
      <c r="AC108" s="533"/>
      <c r="AD108" s="658"/>
      <c r="AL108" s="512"/>
    </row>
    <row r="109" spans="1:38" ht="15.6" customHeight="1">
      <c r="A109" s="31"/>
      <c r="B109" s="1">
        <v>105</v>
      </c>
      <c r="C109" s="31" t="s">
        <v>1</v>
      </c>
      <c r="D109" s="32" t="s">
        <v>255</v>
      </c>
      <c r="E109" s="33" t="s">
        <v>158</v>
      </c>
      <c r="F109" s="417" t="s">
        <v>247</v>
      </c>
      <c r="G109" s="506" t="str">
        <f t="shared" si="56"/>
        <v>REALAluguel de Plotter</v>
      </c>
      <c r="H109" s="525">
        <f t="shared" si="57"/>
        <v>0.56666666666666665</v>
      </c>
      <c r="I109" s="35">
        <v>0.8</v>
      </c>
      <c r="J109" s="35">
        <v>1</v>
      </c>
      <c r="K109" s="35">
        <v>1</v>
      </c>
      <c r="L109" s="35">
        <v>1</v>
      </c>
      <c r="M109" s="35">
        <v>1</v>
      </c>
      <c r="N109" s="35">
        <v>1</v>
      </c>
      <c r="O109" s="35">
        <v>1</v>
      </c>
      <c r="P109" s="35"/>
      <c r="Q109" s="35"/>
      <c r="R109" s="35"/>
      <c r="S109" s="35"/>
      <c r="T109" s="35"/>
      <c r="U109" s="35"/>
      <c r="V109" s="36">
        <f t="shared" ref="V109" si="61">SUM(I109:U109)</f>
        <v>6.8</v>
      </c>
      <c r="W109" s="81">
        <v>116.18</v>
      </c>
      <c r="X109" s="37">
        <f t="shared" si="58"/>
        <v>790.024</v>
      </c>
      <c r="Y109" s="38">
        <f t="shared" si="48"/>
        <v>0.56666666666666665</v>
      </c>
      <c r="Z109" s="529">
        <f>X108-AC109</f>
        <v>0</v>
      </c>
      <c r="AA109" s="546"/>
      <c r="AB109" s="535">
        <f>ROUND((AVERAGE(J109:T109)*12),1)</f>
        <v>12</v>
      </c>
      <c r="AC109" s="535">
        <f>IF(AB109*W109&gt;X108,X108,AB109*W109)</f>
        <v>1394.16</v>
      </c>
      <c r="AD109" s="632">
        <f>AC109/X108</f>
        <v>1</v>
      </c>
      <c r="AL109" s="513"/>
    </row>
    <row r="110" spans="1:38" s="513" customFormat="1" ht="15.6" customHeight="1">
      <c r="A110" s="71"/>
      <c r="B110" s="30">
        <v>112</v>
      </c>
      <c r="C110" s="2" t="s">
        <v>0</v>
      </c>
      <c r="D110" s="83" t="s">
        <v>23</v>
      </c>
      <c r="E110" s="84" t="s">
        <v>256</v>
      </c>
      <c r="F110" s="85"/>
      <c r="G110" s="85"/>
      <c r="H110" s="85"/>
      <c r="I110" s="86"/>
      <c r="J110" s="86"/>
      <c r="K110" s="86"/>
      <c r="L110" s="86"/>
      <c r="M110" s="86"/>
      <c r="N110" s="86"/>
      <c r="O110" s="86"/>
      <c r="P110" s="86"/>
      <c r="Q110" s="86"/>
      <c r="R110" s="86"/>
      <c r="S110" s="86"/>
      <c r="T110" s="86"/>
      <c r="U110" s="86"/>
      <c r="V110" s="86"/>
      <c r="W110" s="87"/>
      <c r="X110" s="87">
        <f>SUMIF($C111:$C122,$C110,X111:X122)</f>
        <v>3783418.92</v>
      </c>
      <c r="Y110" s="70" t="s">
        <v>74</v>
      </c>
      <c r="Z110" s="511"/>
      <c r="AA110" s="545">
        <f>SUM(Z112:Z123)</f>
        <v>63109</v>
      </c>
      <c r="AB110" s="545"/>
      <c r="AC110" s="545"/>
      <c r="AD110" s="634"/>
    </row>
    <row r="111" spans="1:38" s="513" customFormat="1" ht="15.6" customHeight="1">
      <c r="A111" s="78"/>
      <c r="B111" s="1">
        <v>113</v>
      </c>
      <c r="C111" s="31" t="s">
        <v>1</v>
      </c>
      <c r="D111" s="88" t="s">
        <v>23</v>
      </c>
      <c r="E111" s="89" t="s">
        <v>256</v>
      </c>
      <c r="F111" s="90"/>
      <c r="G111" s="90"/>
      <c r="H111" s="90"/>
      <c r="I111" s="75">
        <f t="shared" ref="I111:U111" si="62">SUMIF($C112:$C123,$C111,I112:I123)</f>
        <v>33.6</v>
      </c>
      <c r="J111" s="75">
        <f t="shared" si="62"/>
        <v>42</v>
      </c>
      <c r="K111" s="75">
        <f t="shared" si="62"/>
        <v>42</v>
      </c>
      <c r="L111" s="75">
        <f t="shared" si="62"/>
        <v>41</v>
      </c>
      <c r="M111" s="75">
        <f t="shared" si="62"/>
        <v>41</v>
      </c>
      <c r="N111" s="75">
        <f t="shared" si="62"/>
        <v>41</v>
      </c>
      <c r="O111" s="75">
        <f t="shared" si="62"/>
        <v>41</v>
      </c>
      <c r="P111" s="75">
        <f t="shared" si="62"/>
        <v>0</v>
      </c>
      <c r="Q111" s="75">
        <f t="shared" si="62"/>
        <v>0</v>
      </c>
      <c r="R111" s="75">
        <f t="shared" si="62"/>
        <v>0</v>
      </c>
      <c r="S111" s="75">
        <f t="shared" si="62"/>
        <v>0</v>
      </c>
      <c r="T111" s="75">
        <f t="shared" si="62"/>
        <v>0</v>
      </c>
      <c r="U111" s="75">
        <f t="shared" si="62"/>
        <v>0</v>
      </c>
      <c r="V111" s="91">
        <f>SUM(I111:U111)</f>
        <v>281.60000000000002</v>
      </c>
      <c r="W111" s="92"/>
      <c r="X111" s="77">
        <f>SUMIF($C112:$C123,$C111,X112:X123)</f>
        <v>2109858.5279999999</v>
      </c>
      <c r="Y111" s="70">
        <f t="shared" si="48"/>
        <v>0.55765924223902752</v>
      </c>
      <c r="Z111" s="511"/>
      <c r="AA111" s="545"/>
      <c r="AB111" s="545"/>
      <c r="AC111" s="545">
        <f>SUM(AC113:AC123)</f>
        <v>3720309.92</v>
      </c>
      <c r="AD111" s="635">
        <f>AC111/X110</f>
        <v>0.98331958439326095</v>
      </c>
    </row>
    <row r="112" spans="1:38" ht="15.6" customHeight="1">
      <c r="B112" s="30">
        <v>114</v>
      </c>
      <c r="C112" s="2" t="s">
        <v>0</v>
      </c>
      <c r="D112" s="23" t="s">
        <v>257</v>
      </c>
      <c r="E112" s="24" t="s">
        <v>161</v>
      </c>
      <c r="F112" s="416" t="s">
        <v>247</v>
      </c>
      <c r="G112" s="506" t="str">
        <f t="shared" ref="G112:G123" si="63">C112&amp;E112</f>
        <v>PREVVeículo - caminhonete 4x4 cabine dupla</v>
      </c>
      <c r="H112" s="525" t="str">
        <f t="shared" ref="H112:H123" si="64">Y112</f>
        <v/>
      </c>
      <c r="I112" s="26">
        <v>5.6</v>
      </c>
      <c r="J112" s="79">
        <v>7</v>
      </c>
      <c r="K112" s="79">
        <v>7</v>
      </c>
      <c r="L112" s="79">
        <v>7</v>
      </c>
      <c r="M112" s="79">
        <v>7</v>
      </c>
      <c r="N112" s="79">
        <v>7</v>
      </c>
      <c r="O112" s="79">
        <v>7</v>
      </c>
      <c r="P112" s="79">
        <v>7</v>
      </c>
      <c r="Q112" s="79">
        <v>7</v>
      </c>
      <c r="R112" s="79">
        <v>7</v>
      </c>
      <c r="S112" s="79">
        <v>7</v>
      </c>
      <c r="T112" s="79">
        <v>7</v>
      </c>
      <c r="U112" s="26">
        <v>1.4</v>
      </c>
      <c r="V112" s="654">
        <f t="shared" ref="V112:V113" si="65">SUM(I112:U112)</f>
        <v>84</v>
      </c>
      <c r="W112" s="80">
        <v>7919.19</v>
      </c>
      <c r="X112" s="28">
        <f t="shared" ref="X112:X123" si="66">W112*V112</f>
        <v>665211.96</v>
      </c>
      <c r="Y112" s="38" t="s">
        <v>74</v>
      </c>
      <c r="Z112" s="528"/>
      <c r="AA112" s="532"/>
      <c r="AB112" s="535"/>
      <c r="AC112" s="533"/>
      <c r="AD112" s="658"/>
      <c r="AL112" s="513"/>
    </row>
    <row r="113" spans="1:38" ht="15.6" customHeight="1">
      <c r="A113" s="31"/>
      <c r="B113" s="1">
        <v>115</v>
      </c>
      <c r="C113" s="31" t="s">
        <v>1</v>
      </c>
      <c r="D113" s="32" t="s">
        <v>257</v>
      </c>
      <c r="E113" s="33" t="s">
        <v>161</v>
      </c>
      <c r="F113" s="417" t="s">
        <v>247</v>
      </c>
      <c r="G113" s="506" t="str">
        <f t="shared" si="63"/>
        <v>REALVeículo - caminhonete 4x4 cabine dupla</v>
      </c>
      <c r="H113" s="525">
        <f t="shared" si="64"/>
        <v>0.56666666666666676</v>
      </c>
      <c r="I113" s="35">
        <v>5.6000000000000005</v>
      </c>
      <c r="J113" s="35">
        <v>7</v>
      </c>
      <c r="K113" s="35">
        <v>7</v>
      </c>
      <c r="L113" s="35">
        <v>7</v>
      </c>
      <c r="M113" s="35">
        <v>7</v>
      </c>
      <c r="N113" s="35">
        <v>7</v>
      </c>
      <c r="O113" s="35">
        <v>7</v>
      </c>
      <c r="P113" s="35"/>
      <c r="Q113" s="35"/>
      <c r="R113" s="35"/>
      <c r="S113" s="35"/>
      <c r="T113" s="35"/>
      <c r="U113" s="35"/>
      <c r="V113" s="36">
        <f t="shared" si="65"/>
        <v>47.6</v>
      </c>
      <c r="W113" s="81">
        <v>7919.19</v>
      </c>
      <c r="X113" s="37">
        <f t="shared" si="66"/>
        <v>376953.44400000002</v>
      </c>
      <c r="Y113" s="38">
        <f t="shared" si="48"/>
        <v>0.56666666666666676</v>
      </c>
      <c r="Z113" s="529">
        <f>X112-AC113</f>
        <v>0</v>
      </c>
      <c r="AA113" s="546"/>
      <c r="AB113" s="535">
        <f>ROUND((AVERAGE(J113:T113)*12),1)</f>
        <v>84</v>
      </c>
      <c r="AC113" s="535">
        <f>IF(AB113*W113&gt;X112,X112,AB113*W113)</f>
        <v>665211.96</v>
      </c>
      <c r="AD113" s="632">
        <f>AC113/X112</f>
        <v>1</v>
      </c>
    </row>
    <row r="114" spans="1:38" ht="15.6" customHeight="1">
      <c r="B114" s="30">
        <v>116</v>
      </c>
      <c r="C114" s="2" t="s">
        <v>0</v>
      </c>
      <c r="D114" s="23" t="s">
        <v>258</v>
      </c>
      <c r="E114" s="39" t="s">
        <v>162</v>
      </c>
      <c r="F114" s="416" t="s">
        <v>247</v>
      </c>
      <c r="G114" s="506" t="str">
        <f t="shared" si="63"/>
        <v>PREVVeículo - caminhonete 4x4 cabine dupla c/ motorista</v>
      </c>
      <c r="H114" s="525" t="str">
        <f t="shared" si="64"/>
        <v/>
      </c>
      <c r="I114" s="26">
        <v>1.6</v>
      </c>
      <c r="J114" s="79">
        <v>2</v>
      </c>
      <c r="K114" s="79">
        <v>2</v>
      </c>
      <c r="L114" s="79">
        <v>2</v>
      </c>
      <c r="M114" s="79">
        <v>2</v>
      </c>
      <c r="N114" s="79">
        <v>2</v>
      </c>
      <c r="O114" s="79">
        <v>2</v>
      </c>
      <c r="P114" s="79">
        <v>2</v>
      </c>
      <c r="Q114" s="79">
        <v>2</v>
      </c>
      <c r="R114" s="79">
        <v>2</v>
      </c>
      <c r="S114" s="79">
        <v>2</v>
      </c>
      <c r="T114" s="79">
        <v>2</v>
      </c>
      <c r="U114" s="26">
        <v>0.4</v>
      </c>
      <c r="V114" s="80">
        <v>24</v>
      </c>
      <c r="W114" s="80">
        <v>12971.63</v>
      </c>
      <c r="X114" s="28">
        <f t="shared" si="66"/>
        <v>311319.12</v>
      </c>
      <c r="Y114" s="38" t="s">
        <v>74</v>
      </c>
      <c r="Z114" s="528"/>
      <c r="AA114" s="532"/>
      <c r="AB114" s="535"/>
      <c r="AC114" s="533"/>
      <c r="AD114" s="658"/>
    </row>
    <row r="115" spans="1:38" ht="15.6" customHeight="1">
      <c r="A115" s="31"/>
      <c r="B115" s="1">
        <v>117</v>
      </c>
      <c r="C115" s="31" t="s">
        <v>1</v>
      </c>
      <c r="D115" s="32" t="s">
        <v>258</v>
      </c>
      <c r="E115" s="40" t="s">
        <v>162</v>
      </c>
      <c r="F115" s="417" t="s">
        <v>247</v>
      </c>
      <c r="G115" s="506" t="str">
        <f t="shared" si="63"/>
        <v>REALVeículo - caminhonete 4x4 cabine dupla c/ motorista</v>
      </c>
      <c r="H115" s="525">
        <f t="shared" si="64"/>
        <v>0.56666666666666665</v>
      </c>
      <c r="I115" s="35">
        <v>1.6</v>
      </c>
      <c r="J115" s="35">
        <v>2</v>
      </c>
      <c r="K115" s="35">
        <v>2</v>
      </c>
      <c r="L115" s="35">
        <v>2</v>
      </c>
      <c r="M115" s="35">
        <v>2</v>
      </c>
      <c r="N115" s="35">
        <v>2</v>
      </c>
      <c r="O115" s="35">
        <v>2</v>
      </c>
      <c r="P115" s="35"/>
      <c r="Q115" s="35"/>
      <c r="R115" s="35"/>
      <c r="S115" s="35"/>
      <c r="T115" s="35"/>
      <c r="U115" s="35"/>
      <c r="V115" s="36">
        <f t="shared" ref="V115" si="67">SUM(I115:U115)</f>
        <v>13.6</v>
      </c>
      <c r="W115" s="81">
        <v>12971.63</v>
      </c>
      <c r="X115" s="37">
        <f t="shared" si="66"/>
        <v>176414.16799999998</v>
      </c>
      <c r="Y115" s="38">
        <f t="shared" si="48"/>
        <v>0.56666666666666665</v>
      </c>
      <c r="Z115" s="529">
        <f>X114-AC115</f>
        <v>0</v>
      </c>
      <c r="AA115" s="546"/>
      <c r="AB115" s="535">
        <f>ROUND((AVERAGE(J115:T115)*12),1)</f>
        <v>24</v>
      </c>
      <c r="AC115" s="535">
        <f>IF(AB115*W115&gt;X114,X114,AB115*W115)</f>
        <v>311319.12</v>
      </c>
      <c r="AD115" s="632">
        <f>AC115/X114</f>
        <v>1</v>
      </c>
    </row>
    <row r="116" spans="1:38" ht="15.6" customHeight="1">
      <c r="B116" s="30">
        <v>118</v>
      </c>
      <c r="C116" s="2" t="s">
        <v>0</v>
      </c>
      <c r="D116" s="23" t="s">
        <v>259</v>
      </c>
      <c r="E116" s="39" t="s">
        <v>165</v>
      </c>
      <c r="F116" s="416" t="s">
        <v>247</v>
      </c>
      <c r="G116" s="506" t="str">
        <f t="shared" si="63"/>
        <v>PREVVeículo - pick up  4x4  (E8891) - Operativo + Improdutivo</v>
      </c>
      <c r="H116" s="525" t="str">
        <f t="shared" si="64"/>
        <v/>
      </c>
      <c r="I116" s="26">
        <v>7.2</v>
      </c>
      <c r="J116" s="79">
        <v>9</v>
      </c>
      <c r="K116" s="79">
        <v>9</v>
      </c>
      <c r="L116" s="79">
        <v>9</v>
      </c>
      <c r="M116" s="79">
        <v>9</v>
      </c>
      <c r="N116" s="79">
        <v>9</v>
      </c>
      <c r="O116" s="79">
        <v>9</v>
      </c>
      <c r="P116" s="79">
        <v>9</v>
      </c>
      <c r="Q116" s="79">
        <v>9</v>
      </c>
      <c r="R116" s="79">
        <v>9</v>
      </c>
      <c r="S116" s="79">
        <v>9</v>
      </c>
      <c r="T116" s="79">
        <v>9</v>
      </c>
      <c r="U116" s="26">
        <v>1.8</v>
      </c>
      <c r="V116" s="80">
        <v>108</v>
      </c>
      <c r="W116" s="80">
        <v>7459.55</v>
      </c>
      <c r="X116" s="28">
        <f t="shared" si="66"/>
        <v>805631.4</v>
      </c>
      <c r="Y116" s="38" t="s">
        <v>74</v>
      </c>
      <c r="Z116" s="528"/>
      <c r="AA116" s="532"/>
      <c r="AB116" s="535"/>
      <c r="AC116" s="533"/>
      <c r="AD116" s="658"/>
    </row>
    <row r="117" spans="1:38" ht="15.6" customHeight="1">
      <c r="A117" s="31"/>
      <c r="B117" s="1">
        <v>119</v>
      </c>
      <c r="C117" s="31" t="s">
        <v>1</v>
      </c>
      <c r="D117" s="32" t="s">
        <v>259</v>
      </c>
      <c r="E117" s="40" t="s">
        <v>165</v>
      </c>
      <c r="F117" s="417" t="s">
        <v>247</v>
      </c>
      <c r="G117" s="506" t="str">
        <f t="shared" si="63"/>
        <v>REALVeículo - pick up  4x4  (E8891) - Operativo + Improdutivo</v>
      </c>
      <c r="H117" s="525">
        <f t="shared" si="64"/>
        <v>0.56666666666666665</v>
      </c>
      <c r="I117" s="35">
        <v>7.2</v>
      </c>
      <c r="J117" s="35">
        <v>9</v>
      </c>
      <c r="K117" s="35">
        <v>9</v>
      </c>
      <c r="L117" s="35">
        <v>9</v>
      </c>
      <c r="M117" s="35">
        <v>9</v>
      </c>
      <c r="N117" s="35">
        <v>9</v>
      </c>
      <c r="O117" s="35">
        <v>9</v>
      </c>
      <c r="P117" s="35"/>
      <c r="Q117" s="35"/>
      <c r="R117" s="35"/>
      <c r="S117" s="35"/>
      <c r="T117" s="35"/>
      <c r="U117" s="35"/>
      <c r="V117" s="36">
        <f t="shared" ref="V117" si="68">SUM(I117:U117)</f>
        <v>61.2</v>
      </c>
      <c r="W117" s="81">
        <v>7459.55</v>
      </c>
      <c r="X117" s="37">
        <f t="shared" si="66"/>
        <v>456524.46</v>
      </c>
      <c r="Y117" s="38">
        <f t="shared" si="48"/>
        <v>0.56666666666666665</v>
      </c>
      <c r="Z117" s="529">
        <f>X116-AC117</f>
        <v>0</v>
      </c>
      <c r="AA117" s="546"/>
      <c r="AB117" s="535">
        <f>ROUND((AVERAGE(J117:T117)*12),1)</f>
        <v>108</v>
      </c>
      <c r="AC117" s="535">
        <f>IF(AB117*W117&gt;X116,X116,AB117*W117)</f>
        <v>805631.4</v>
      </c>
      <c r="AD117" s="632">
        <f>AC117/X116</f>
        <v>1</v>
      </c>
    </row>
    <row r="118" spans="1:38" ht="15.6" customHeight="1">
      <c r="B118" s="30">
        <v>120</v>
      </c>
      <c r="C118" s="2" t="s">
        <v>0</v>
      </c>
      <c r="D118" s="23" t="s">
        <v>260</v>
      </c>
      <c r="E118" s="39" t="s">
        <v>166</v>
      </c>
      <c r="F118" s="416" t="s">
        <v>247</v>
      </c>
      <c r="G118" s="506" t="str">
        <f t="shared" si="63"/>
        <v>PREVVeículo - sedan 1.6 flex - 115CV (E8889) - Operativo + Improdutivo</v>
      </c>
      <c r="H118" s="525" t="str">
        <f t="shared" si="64"/>
        <v/>
      </c>
      <c r="I118" s="26">
        <v>12</v>
      </c>
      <c r="J118" s="79">
        <v>15</v>
      </c>
      <c r="K118" s="79">
        <v>15</v>
      </c>
      <c r="L118" s="79">
        <v>15</v>
      </c>
      <c r="M118" s="79">
        <v>15</v>
      </c>
      <c r="N118" s="79">
        <v>15</v>
      </c>
      <c r="O118" s="79">
        <v>15</v>
      </c>
      <c r="P118" s="79">
        <v>15</v>
      </c>
      <c r="Q118" s="79">
        <v>15</v>
      </c>
      <c r="R118" s="79">
        <v>15</v>
      </c>
      <c r="S118" s="79">
        <v>15</v>
      </c>
      <c r="T118" s="79">
        <v>15</v>
      </c>
      <c r="U118" s="26">
        <v>3</v>
      </c>
      <c r="V118" s="80">
        <v>180</v>
      </c>
      <c r="W118" s="80">
        <v>3155.45</v>
      </c>
      <c r="X118" s="28">
        <f t="shared" si="66"/>
        <v>567981</v>
      </c>
      <c r="Y118" s="38" t="s">
        <v>74</v>
      </c>
      <c r="Z118" s="528"/>
      <c r="AA118" s="532"/>
      <c r="AB118" s="535"/>
      <c r="AC118" s="533"/>
      <c r="AD118" s="658"/>
    </row>
    <row r="119" spans="1:38" ht="15.6" customHeight="1">
      <c r="A119" s="31"/>
      <c r="B119" s="1">
        <v>121</v>
      </c>
      <c r="C119" s="31" t="s">
        <v>1</v>
      </c>
      <c r="D119" s="32" t="s">
        <v>260</v>
      </c>
      <c r="E119" s="40" t="s">
        <v>166</v>
      </c>
      <c r="F119" s="417" t="s">
        <v>247</v>
      </c>
      <c r="G119" s="506" t="str">
        <f t="shared" si="63"/>
        <v>REALVeículo - sedan 1.6 flex - 115CV (E8889) - Operativo + Improdutivo</v>
      </c>
      <c r="H119" s="525">
        <f t="shared" si="64"/>
        <v>0.5066666666666666</v>
      </c>
      <c r="I119" s="35">
        <v>11.200000000000001</v>
      </c>
      <c r="J119" s="35">
        <v>14</v>
      </c>
      <c r="K119" s="35">
        <v>14</v>
      </c>
      <c r="L119" s="35">
        <v>13</v>
      </c>
      <c r="M119" s="35">
        <v>13</v>
      </c>
      <c r="N119" s="35">
        <v>13</v>
      </c>
      <c r="O119" s="35">
        <v>13</v>
      </c>
      <c r="P119" s="35"/>
      <c r="Q119" s="35"/>
      <c r="R119" s="35"/>
      <c r="S119" s="35"/>
      <c r="T119" s="35"/>
      <c r="U119" s="35"/>
      <c r="V119" s="36">
        <f t="shared" ref="V119" si="69">SUM(I119:U119)</f>
        <v>91.2</v>
      </c>
      <c r="W119" s="81">
        <v>3155.45</v>
      </c>
      <c r="X119" s="37">
        <f t="shared" si="66"/>
        <v>287777.03999999998</v>
      </c>
      <c r="Y119" s="422">
        <f t="shared" si="48"/>
        <v>0.5066666666666666</v>
      </c>
      <c r="Z119" s="529">
        <f>X118-AC119</f>
        <v>63109</v>
      </c>
      <c r="AA119" s="546"/>
      <c r="AB119" s="535">
        <f>ROUND((AVERAGE(J119:T119)*12),1)</f>
        <v>160</v>
      </c>
      <c r="AC119" s="535">
        <f>IF(AB119*W119&gt;X118,X118,AB119*W119)</f>
        <v>504872</v>
      </c>
      <c r="AD119" s="632">
        <f>AC119/X118</f>
        <v>0.88888888888888884</v>
      </c>
    </row>
    <row r="120" spans="1:38" ht="15.6" customHeight="1">
      <c r="B120" s="30">
        <v>122</v>
      </c>
      <c r="C120" s="2" t="s">
        <v>0</v>
      </c>
      <c r="D120" s="23" t="s">
        <v>261</v>
      </c>
      <c r="E120" s="39" t="s">
        <v>169</v>
      </c>
      <c r="F120" s="416" t="s">
        <v>247</v>
      </c>
      <c r="G120" s="506" t="str">
        <f t="shared" si="63"/>
        <v>PREVVeículo - van com motorista  tipo furgão (E8887) - Operativo + Improdutivo</v>
      </c>
      <c r="H120" s="525" t="str">
        <f t="shared" si="64"/>
        <v/>
      </c>
      <c r="I120" s="26">
        <v>5.6000000000000005</v>
      </c>
      <c r="J120" s="79">
        <v>7</v>
      </c>
      <c r="K120" s="79">
        <v>7</v>
      </c>
      <c r="L120" s="79">
        <v>7</v>
      </c>
      <c r="M120" s="79">
        <v>7</v>
      </c>
      <c r="N120" s="79">
        <v>7</v>
      </c>
      <c r="O120" s="79">
        <v>7</v>
      </c>
      <c r="P120" s="79">
        <v>7</v>
      </c>
      <c r="Q120" s="79">
        <v>7</v>
      </c>
      <c r="R120" s="79">
        <v>7</v>
      </c>
      <c r="S120" s="79">
        <v>7</v>
      </c>
      <c r="T120" s="79">
        <v>7</v>
      </c>
      <c r="U120" s="26">
        <v>1.4000000000000001</v>
      </c>
      <c r="V120" s="80">
        <v>84</v>
      </c>
      <c r="W120" s="80">
        <v>10274.93</v>
      </c>
      <c r="X120" s="28">
        <f t="shared" si="66"/>
        <v>863094.12</v>
      </c>
      <c r="Y120" s="38" t="s">
        <v>74</v>
      </c>
      <c r="Z120" s="528"/>
      <c r="AA120" s="532"/>
      <c r="AB120" s="535"/>
      <c r="AC120" s="533"/>
      <c r="AD120" s="658"/>
    </row>
    <row r="121" spans="1:38" ht="15.6" customHeight="1">
      <c r="A121" s="31"/>
      <c r="B121" s="1">
        <v>123</v>
      </c>
      <c r="C121" s="31" t="s">
        <v>1</v>
      </c>
      <c r="D121" s="32" t="s">
        <v>261</v>
      </c>
      <c r="E121" s="40" t="s">
        <v>169</v>
      </c>
      <c r="F121" s="417" t="s">
        <v>247</v>
      </c>
      <c r="G121" s="506" t="str">
        <f t="shared" si="63"/>
        <v>REALVeículo - van com motorista  tipo furgão (E8887) - Operativo + Improdutivo</v>
      </c>
      <c r="H121" s="525">
        <f t="shared" si="64"/>
        <v>0.56666666666666665</v>
      </c>
      <c r="I121" s="35">
        <v>5.6000000000000005</v>
      </c>
      <c r="J121" s="35">
        <v>7</v>
      </c>
      <c r="K121" s="35">
        <v>7</v>
      </c>
      <c r="L121" s="35">
        <v>7</v>
      </c>
      <c r="M121" s="35">
        <v>7</v>
      </c>
      <c r="N121" s="35">
        <v>7</v>
      </c>
      <c r="O121" s="35">
        <v>7</v>
      </c>
      <c r="P121" s="35"/>
      <c r="Q121" s="35"/>
      <c r="R121" s="35"/>
      <c r="S121" s="35"/>
      <c r="T121" s="35"/>
      <c r="U121" s="35"/>
      <c r="V121" s="36">
        <f t="shared" ref="V121" si="70">SUM(I121:U121)</f>
        <v>47.6</v>
      </c>
      <c r="W121" s="81">
        <v>10274.93</v>
      </c>
      <c r="X121" s="37">
        <f t="shared" si="66"/>
        <v>489086.66800000001</v>
      </c>
      <c r="Y121" s="422">
        <f t="shared" si="48"/>
        <v>0.56666666666666665</v>
      </c>
      <c r="Z121" s="529">
        <f>X120-AC121</f>
        <v>0</v>
      </c>
      <c r="AA121" s="546"/>
      <c r="AB121" s="535">
        <f>ROUND((AVERAGE(J121:T121)*12),1)</f>
        <v>84</v>
      </c>
      <c r="AC121" s="535">
        <f>IF(AB121*W121&gt;X120,X120,AB121*W121)</f>
        <v>863094.12</v>
      </c>
      <c r="AD121" s="632">
        <f>AC121/X120</f>
        <v>1</v>
      </c>
    </row>
    <row r="122" spans="1:38" ht="15.6" customHeight="1">
      <c r="B122" s="30">
        <v>124</v>
      </c>
      <c r="C122" s="2" t="s">
        <v>0</v>
      </c>
      <c r="D122" s="23" t="s">
        <v>262</v>
      </c>
      <c r="E122" s="24" t="s">
        <v>170</v>
      </c>
      <c r="F122" s="416" t="s">
        <v>247</v>
      </c>
      <c r="G122" s="506" t="str">
        <f t="shared" si="63"/>
        <v>PREVÔnibus com 45 lugares - 218CV (com motorista - incluindo combustível e manutenção)</v>
      </c>
      <c r="H122" s="525" t="str">
        <f t="shared" si="64"/>
        <v/>
      </c>
      <c r="I122" s="26">
        <v>2.4000000000000004</v>
      </c>
      <c r="J122" s="79">
        <v>3</v>
      </c>
      <c r="K122" s="79">
        <v>3</v>
      </c>
      <c r="L122" s="79">
        <v>3</v>
      </c>
      <c r="M122" s="79">
        <v>3</v>
      </c>
      <c r="N122" s="79">
        <v>3</v>
      </c>
      <c r="O122" s="79">
        <v>3</v>
      </c>
      <c r="P122" s="79">
        <v>3</v>
      </c>
      <c r="Q122" s="79">
        <v>3</v>
      </c>
      <c r="R122" s="79">
        <v>3</v>
      </c>
      <c r="S122" s="79">
        <v>3</v>
      </c>
      <c r="T122" s="79">
        <v>3</v>
      </c>
      <c r="U122" s="26">
        <v>0.60000000000000009</v>
      </c>
      <c r="V122" s="80">
        <v>36</v>
      </c>
      <c r="W122" s="80">
        <v>15838.37</v>
      </c>
      <c r="X122" s="28">
        <f t="shared" si="66"/>
        <v>570181.32000000007</v>
      </c>
      <c r="Y122" s="38" t="s">
        <v>74</v>
      </c>
      <c r="Z122" s="528"/>
      <c r="AA122" s="532"/>
      <c r="AB122" s="535"/>
      <c r="AC122" s="533"/>
      <c r="AD122" s="658"/>
    </row>
    <row r="123" spans="1:38" ht="15.6" customHeight="1">
      <c r="A123" s="31"/>
      <c r="B123" s="1">
        <v>125</v>
      </c>
      <c r="C123" s="31" t="s">
        <v>1</v>
      </c>
      <c r="D123" s="32" t="s">
        <v>262</v>
      </c>
      <c r="E123" s="33" t="s">
        <v>170</v>
      </c>
      <c r="F123" s="417" t="s">
        <v>247</v>
      </c>
      <c r="G123" s="506" t="str">
        <f t="shared" si="63"/>
        <v>REALÔnibus com 45 lugares - 218CV (com motorista - incluindo combustível e manutenção)</v>
      </c>
      <c r="H123" s="525">
        <f t="shared" si="64"/>
        <v>0.56666666666666665</v>
      </c>
      <c r="I123" s="35">
        <v>2.4000000000000004</v>
      </c>
      <c r="J123" s="35">
        <v>3</v>
      </c>
      <c r="K123" s="35">
        <v>3</v>
      </c>
      <c r="L123" s="35">
        <v>3</v>
      </c>
      <c r="M123" s="35">
        <v>3</v>
      </c>
      <c r="N123" s="35">
        <v>3</v>
      </c>
      <c r="O123" s="35">
        <v>3</v>
      </c>
      <c r="P123" s="35"/>
      <c r="Q123" s="35"/>
      <c r="R123" s="35"/>
      <c r="S123" s="35"/>
      <c r="T123" s="35"/>
      <c r="U123" s="35"/>
      <c r="V123" s="36">
        <f t="shared" ref="V123" si="71">SUM(I123:U123)</f>
        <v>20.399999999999999</v>
      </c>
      <c r="W123" s="81">
        <v>15838.37</v>
      </c>
      <c r="X123" s="37">
        <f t="shared" si="66"/>
        <v>323102.74800000002</v>
      </c>
      <c r="Y123" s="38">
        <f t="shared" si="48"/>
        <v>0.56666666666666665</v>
      </c>
      <c r="Z123" s="529">
        <f>X122-AC123</f>
        <v>0</v>
      </c>
      <c r="AA123" s="546"/>
      <c r="AB123" s="535">
        <f>ROUND((AVERAGE(J123:T123)*12),1)</f>
        <v>36</v>
      </c>
      <c r="AC123" s="535">
        <f>IF(AB123*W123&gt;X122,X122,AB123*W123)</f>
        <v>570181.32000000007</v>
      </c>
      <c r="AD123" s="632">
        <f>AC123/X122</f>
        <v>1</v>
      </c>
    </row>
    <row r="124" spans="1:38" s="513" customFormat="1" ht="15.6" customHeight="1">
      <c r="A124" s="71"/>
      <c r="B124" s="30">
        <v>126</v>
      </c>
      <c r="C124" s="2" t="s">
        <v>0</v>
      </c>
      <c r="D124" s="83" t="s">
        <v>19</v>
      </c>
      <c r="E124" s="84" t="s">
        <v>263</v>
      </c>
      <c r="F124" s="85"/>
      <c r="G124" s="85"/>
      <c r="H124" s="85"/>
      <c r="I124" s="86"/>
      <c r="J124" s="86"/>
      <c r="K124" s="86"/>
      <c r="L124" s="86"/>
      <c r="M124" s="86"/>
      <c r="N124" s="86"/>
      <c r="O124" s="86"/>
      <c r="P124" s="86"/>
      <c r="Q124" s="86"/>
      <c r="R124" s="86"/>
      <c r="S124" s="86"/>
      <c r="T124" s="86"/>
      <c r="U124" s="86"/>
      <c r="V124" s="86"/>
      <c r="W124" s="87"/>
      <c r="X124" s="87">
        <f>SUMIF($C125:$C138,$C124,X125:X138)</f>
        <v>518209.67999999993</v>
      </c>
      <c r="Y124" s="70" t="s">
        <v>74</v>
      </c>
      <c r="Z124" s="511"/>
      <c r="AA124" s="545">
        <f>SUM(Z126:Z139)</f>
        <v>0</v>
      </c>
      <c r="AB124" s="545"/>
      <c r="AC124" s="545"/>
      <c r="AD124" s="634"/>
      <c r="AL124" s="515"/>
    </row>
    <row r="125" spans="1:38" s="513" customFormat="1" ht="15.6" customHeight="1">
      <c r="A125" s="78"/>
      <c r="B125" s="1">
        <v>127</v>
      </c>
      <c r="C125" s="31" t="s">
        <v>1</v>
      </c>
      <c r="D125" s="88" t="s">
        <v>19</v>
      </c>
      <c r="E125" s="89" t="s">
        <v>263</v>
      </c>
      <c r="F125" s="90"/>
      <c r="G125" s="90"/>
      <c r="H125" s="90"/>
      <c r="I125" s="75">
        <f t="shared" ref="I125:U125" si="72">SUMIF($C126:$C139,$C125,I126:I139)</f>
        <v>44.000000000000007</v>
      </c>
      <c r="J125" s="75">
        <f t="shared" si="72"/>
        <v>82</v>
      </c>
      <c r="K125" s="75">
        <f t="shared" si="72"/>
        <v>82</v>
      </c>
      <c r="L125" s="75">
        <f t="shared" si="72"/>
        <v>82</v>
      </c>
      <c r="M125" s="75">
        <f t="shared" si="72"/>
        <v>82</v>
      </c>
      <c r="N125" s="75">
        <f t="shared" si="72"/>
        <v>82</v>
      </c>
      <c r="O125" s="75">
        <f t="shared" si="72"/>
        <v>82</v>
      </c>
      <c r="P125" s="75">
        <f t="shared" si="72"/>
        <v>0</v>
      </c>
      <c r="Q125" s="75">
        <f t="shared" si="72"/>
        <v>0</v>
      </c>
      <c r="R125" s="75">
        <f t="shared" si="72"/>
        <v>0</v>
      </c>
      <c r="S125" s="75">
        <f t="shared" si="72"/>
        <v>0</v>
      </c>
      <c r="T125" s="75">
        <f t="shared" si="72"/>
        <v>0</v>
      </c>
      <c r="U125" s="75">
        <f t="shared" si="72"/>
        <v>0</v>
      </c>
      <c r="V125" s="91">
        <f>SUM(I125:U125)</f>
        <v>536</v>
      </c>
      <c r="W125" s="92"/>
      <c r="X125" s="77">
        <f>SUMIF($C126:$C139,$C125,X126:X139)</f>
        <v>293425.62399999995</v>
      </c>
      <c r="Y125" s="70">
        <f t="shared" si="48"/>
        <v>0.56622953087252248</v>
      </c>
      <c r="Z125" s="511"/>
      <c r="AA125" s="545"/>
      <c r="AB125" s="545"/>
      <c r="AC125" s="545">
        <f>SUM(AC127:AC139)</f>
        <v>518209.67999999993</v>
      </c>
      <c r="AD125" s="635">
        <f>AC125/X124</f>
        <v>1</v>
      </c>
      <c r="AL125" s="515"/>
    </row>
    <row r="126" spans="1:38" ht="15.6" customHeight="1">
      <c r="B126" s="30">
        <v>128</v>
      </c>
      <c r="C126" s="2" t="s">
        <v>0</v>
      </c>
      <c r="D126" s="23" t="s">
        <v>264</v>
      </c>
      <c r="E126" s="24" t="s">
        <v>173</v>
      </c>
      <c r="F126" s="416" t="s">
        <v>265</v>
      </c>
      <c r="G126" s="506" t="str">
        <f t="shared" ref="G126:G139" si="73">C126&amp;E126</f>
        <v>PREVImóvel Comercial - Escritório + Almox (B8951) - 150 m²</v>
      </c>
      <c r="H126" s="525" t="str">
        <f t="shared" ref="H126:H139" si="74">Y126</f>
        <v/>
      </c>
      <c r="I126" s="26">
        <v>2.4000000000000004</v>
      </c>
      <c r="J126" s="79">
        <v>3</v>
      </c>
      <c r="K126" s="79">
        <v>3</v>
      </c>
      <c r="L126" s="79">
        <v>3</v>
      </c>
      <c r="M126" s="79">
        <v>3</v>
      </c>
      <c r="N126" s="79">
        <v>3</v>
      </c>
      <c r="O126" s="79">
        <v>3</v>
      </c>
      <c r="P126" s="79">
        <v>3</v>
      </c>
      <c r="Q126" s="79">
        <v>3</v>
      </c>
      <c r="R126" s="79">
        <v>3</v>
      </c>
      <c r="S126" s="79">
        <v>3</v>
      </c>
      <c r="T126" s="79">
        <v>3</v>
      </c>
      <c r="U126" s="26">
        <f>T126*0.2</f>
        <v>0.60000000000000009</v>
      </c>
      <c r="V126" s="80">
        <f t="shared" ref="V126:V127" si="75">SUM(I126:U126)</f>
        <v>36</v>
      </c>
      <c r="W126" s="80">
        <v>7471.5</v>
      </c>
      <c r="X126" s="28">
        <f t="shared" ref="X126:X139" si="76">W126*V126</f>
        <v>268974</v>
      </c>
      <c r="Y126" s="38" t="s">
        <v>74</v>
      </c>
      <c r="Z126" s="528"/>
      <c r="AA126" s="532"/>
      <c r="AB126" s="547"/>
      <c r="AC126" s="548"/>
      <c r="AD126" s="658"/>
    </row>
    <row r="127" spans="1:38" ht="15.6" customHeight="1">
      <c r="A127" s="31"/>
      <c r="B127" s="1">
        <v>129</v>
      </c>
      <c r="C127" s="31" t="s">
        <v>1</v>
      </c>
      <c r="D127" s="32" t="s">
        <v>264</v>
      </c>
      <c r="E127" s="33" t="s">
        <v>173</v>
      </c>
      <c r="F127" s="417" t="s">
        <v>265</v>
      </c>
      <c r="G127" s="506" t="str">
        <f t="shared" si="73"/>
        <v>REALImóvel Comercial - Escritório + Almox (B8951) - 150 m²</v>
      </c>
      <c r="H127" s="525">
        <f t="shared" si="74"/>
        <v>0.56666666666666654</v>
      </c>
      <c r="I127" s="35">
        <v>2.4000000000000004</v>
      </c>
      <c r="J127" s="35">
        <v>3</v>
      </c>
      <c r="K127" s="35">
        <v>3</v>
      </c>
      <c r="L127" s="35">
        <v>3</v>
      </c>
      <c r="M127" s="35">
        <v>3</v>
      </c>
      <c r="N127" s="35">
        <v>3</v>
      </c>
      <c r="O127" s="35">
        <v>3</v>
      </c>
      <c r="P127" s="35"/>
      <c r="Q127" s="35"/>
      <c r="R127" s="35"/>
      <c r="S127" s="35"/>
      <c r="T127" s="35"/>
      <c r="U127" s="35"/>
      <c r="V127" s="36">
        <f t="shared" si="75"/>
        <v>20.399999999999999</v>
      </c>
      <c r="W127" s="81">
        <v>7471.5</v>
      </c>
      <c r="X127" s="81">
        <f t="shared" si="76"/>
        <v>152418.59999999998</v>
      </c>
      <c r="Y127" s="38">
        <f t="shared" si="48"/>
        <v>0.56666666666666654</v>
      </c>
      <c r="Z127" s="529">
        <f>X126-AC127</f>
        <v>0</v>
      </c>
      <c r="AA127" s="546"/>
      <c r="AB127" s="547">
        <f>ROUND((AVERAGE(J127:T127)*12),1)</f>
        <v>36</v>
      </c>
      <c r="AC127" s="535">
        <f>IF(AB127*W127&gt;X126,X126,AB127*W127)</f>
        <v>268974</v>
      </c>
      <c r="AD127" s="632">
        <f>AC127/X126</f>
        <v>1</v>
      </c>
    </row>
    <row r="128" spans="1:38" ht="15.6" customHeight="1">
      <c r="B128" s="30">
        <v>130</v>
      </c>
      <c r="C128" s="2" t="s">
        <v>0</v>
      </c>
      <c r="D128" s="23" t="s">
        <v>266</v>
      </c>
      <c r="E128" s="24" t="s">
        <v>174</v>
      </c>
      <c r="F128" s="416" t="s">
        <v>247</v>
      </c>
      <c r="G128" s="506" t="str">
        <f t="shared" si="73"/>
        <v>PREVMobiliário para escritório (B8953)</v>
      </c>
      <c r="H128" s="525" t="str">
        <f t="shared" si="74"/>
        <v/>
      </c>
      <c r="I128" s="26">
        <v>19.200000000000003</v>
      </c>
      <c r="J128" s="79">
        <v>24</v>
      </c>
      <c r="K128" s="79">
        <v>24</v>
      </c>
      <c r="L128" s="79">
        <v>24</v>
      </c>
      <c r="M128" s="79">
        <v>24</v>
      </c>
      <c r="N128" s="79">
        <v>24</v>
      </c>
      <c r="O128" s="79">
        <v>24</v>
      </c>
      <c r="P128" s="79">
        <v>24</v>
      </c>
      <c r="Q128" s="79">
        <v>24</v>
      </c>
      <c r="R128" s="79">
        <v>24</v>
      </c>
      <c r="S128" s="79">
        <v>24</v>
      </c>
      <c r="T128" s="79">
        <v>24</v>
      </c>
      <c r="U128" s="26">
        <v>4.8000000000000007</v>
      </c>
      <c r="V128" s="80">
        <v>288</v>
      </c>
      <c r="W128" s="80">
        <v>677.68</v>
      </c>
      <c r="X128" s="28">
        <f t="shared" si="76"/>
        <v>195171.84</v>
      </c>
      <c r="Y128" s="38" t="s">
        <v>74</v>
      </c>
      <c r="Z128" s="528"/>
      <c r="AA128" s="532"/>
      <c r="AB128" s="547"/>
      <c r="AC128" s="548"/>
      <c r="AD128" s="658"/>
    </row>
    <row r="129" spans="1:38" ht="15.6" customHeight="1">
      <c r="A129" s="31"/>
      <c r="B129" s="1">
        <v>131</v>
      </c>
      <c r="C129" s="31" t="s">
        <v>1</v>
      </c>
      <c r="D129" s="32" t="s">
        <v>266</v>
      </c>
      <c r="E129" s="33" t="s">
        <v>174</v>
      </c>
      <c r="F129" s="417" t="s">
        <v>247</v>
      </c>
      <c r="G129" s="506" t="str">
        <f t="shared" si="73"/>
        <v>REALMobiliário para escritório (B8953)</v>
      </c>
      <c r="H129" s="525">
        <f t="shared" si="74"/>
        <v>0.56666666666666665</v>
      </c>
      <c r="I129" s="35">
        <v>19.200000000000003</v>
      </c>
      <c r="J129" s="35">
        <v>24</v>
      </c>
      <c r="K129" s="35">
        <v>24</v>
      </c>
      <c r="L129" s="35">
        <v>24</v>
      </c>
      <c r="M129" s="35">
        <v>24</v>
      </c>
      <c r="N129" s="35">
        <v>24</v>
      </c>
      <c r="O129" s="35">
        <v>24</v>
      </c>
      <c r="P129" s="35"/>
      <c r="Q129" s="35"/>
      <c r="R129" s="35"/>
      <c r="S129" s="35"/>
      <c r="T129" s="35"/>
      <c r="U129" s="35"/>
      <c r="V129" s="36">
        <f t="shared" ref="V129" si="77">SUM(I129:U129)</f>
        <v>163.19999999999999</v>
      </c>
      <c r="W129" s="81">
        <v>677.68</v>
      </c>
      <c r="X129" s="37">
        <f t="shared" si="76"/>
        <v>110597.37599999999</v>
      </c>
      <c r="Y129" s="38">
        <f t="shared" si="48"/>
        <v>0.56666666666666665</v>
      </c>
      <c r="Z129" s="529">
        <f>X128-AC129</f>
        <v>0</v>
      </c>
      <c r="AA129" s="546"/>
      <c r="AB129" s="547">
        <f>ROUND((AVERAGE(J129:T129)*12),1)</f>
        <v>288</v>
      </c>
      <c r="AC129" s="535">
        <f>IF(AB129*W129&gt;X128,X128,AB129*W129)</f>
        <v>195171.84</v>
      </c>
      <c r="AD129" s="632">
        <f>AC129/X128</f>
        <v>1</v>
      </c>
    </row>
    <row r="130" spans="1:38" ht="15.6" customHeight="1">
      <c r="B130" s="30">
        <v>132</v>
      </c>
      <c r="C130" s="2" t="s">
        <v>0</v>
      </c>
      <c r="D130" s="23" t="s">
        <v>267</v>
      </c>
      <c r="E130" s="24" t="s">
        <v>177</v>
      </c>
      <c r="F130" s="416" t="s">
        <v>247</v>
      </c>
      <c r="G130" s="506" t="str">
        <f t="shared" si="73"/>
        <v>PREVCustos Diversos - Escritório (B8959)</v>
      </c>
      <c r="H130" s="525" t="str">
        <f t="shared" si="74"/>
        <v/>
      </c>
      <c r="I130" s="26">
        <v>19.200000000000003</v>
      </c>
      <c r="J130" s="79">
        <v>24</v>
      </c>
      <c r="K130" s="79">
        <v>24</v>
      </c>
      <c r="L130" s="79">
        <v>24</v>
      </c>
      <c r="M130" s="79">
        <v>24</v>
      </c>
      <c r="N130" s="79">
        <v>24</v>
      </c>
      <c r="O130" s="79">
        <v>24</v>
      </c>
      <c r="P130" s="79">
        <v>24</v>
      </c>
      <c r="Q130" s="79">
        <v>24</v>
      </c>
      <c r="R130" s="79">
        <v>24</v>
      </c>
      <c r="S130" s="79">
        <v>24</v>
      </c>
      <c r="T130" s="79">
        <v>24</v>
      </c>
      <c r="U130" s="26">
        <v>4.8000000000000007</v>
      </c>
      <c r="V130" s="80">
        <v>288</v>
      </c>
      <c r="W130" s="80">
        <v>153.25</v>
      </c>
      <c r="X130" s="28">
        <f t="shared" si="76"/>
        <v>44136</v>
      </c>
      <c r="Y130" s="38" t="s">
        <v>74</v>
      </c>
      <c r="Z130" s="528"/>
      <c r="AA130" s="532"/>
      <c r="AB130" s="547"/>
      <c r="AC130" s="548"/>
      <c r="AD130" s="658"/>
    </row>
    <row r="131" spans="1:38" ht="15.6" customHeight="1">
      <c r="A131" s="31"/>
      <c r="B131" s="1">
        <v>133</v>
      </c>
      <c r="C131" s="31" t="s">
        <v>1</v>
      </c>
      <c r="D131" s="32" t="s">
        <v>267</v>
      </c>
      <c r="E131" s="33" t="s">
        <v>177</v>
      </c>
      <c r="F131" s="417" t="s">
        <v>247</v>
      </c>
      <c r="G131" s="506" t="str">
        <f t="shared" si="73"/>
        <v>REALCustos Diversos - Escritório (B8959)</v>
      </c>
      <c r="H131" s="525">
        <f t="shared" si="74"/>
        <v>0.56666666666666665</v>
      </c>
      <c r="I131" s="35">
        <v>19.200000000000003</v>
      </c>
      <c r="J131" s="35">
        <v>24</v>
      </c>
      <c r="K131" s="35">
        <v>24</v>
      </c>
      <c r="L131" s="35">
        <v>24</v>
      </c>
      <c r="M131" s="35">
        <v>24</v>
      </c>
      <c r="N131" s="35">
        <v>24</v>
      </c>
      <c r="O131" s="35">
        <v>24</v>
      </c>
      <c r="P131" s="35"/>
      <c r="Q131" s="35"/>
      <c r="R131" s="35"/>
      <c r="S131" s="35"/>
      <c r="T131" s="35"/>
      <c r="U131" s="35"/>
      <c r="V131" s="36">
        <f t="shared" ref="V131" si="78">SUM(I131:U131)</f>
        <v>163.19999999999999</v>
      </c>
      <c r="W131" s="81">
        <v>153.25</v>
      </c>
      <c r="X131" s="37">
        <f t="shared" si="76"/>
        <v>25010.399999999998</v>
      </c>
      <c r="Y131" s="38">
        <f t="shared" si="48"/>
        <v>0.56666666666666665</v>
      </c>
      <c r="Z131" s="529">
        <f>X130-AC131</f>
        <v>0</v>
      </c>
      <c r="AA131" s="546"/>
      <c r="AB131" s="547">
        <f>ROUND((AVERAGE(J131:T131)*12),1)</f>
        <v>288</v>
      </c>
      <c r="AC131" s="535">
        <f>IF(AB131*W131&gt;X130,X130,AB131*W131)</f>
        <v>44136</v>
      </c>
      <c r="AD131" s="632">
        <f>AC131/X130</f>
        <v>1</v>
      </c>
    </row>
    <row r="132" spans="1:38" ht="15.6" customHeight="1">
      <c r="B132" s="30">
        <v>134</v>
      </c>
      <c r="C132" s="2" t="s">
        <v>0</v>
      </c>
      <c r="D132" s="23" t="s">
        <v>268</v>
      </c>
      <c r="E132" s="24" t="s">
        <v>178</v>
      </c>
      <c r="F132" s="416" t="s">
        <v>247</v>
      </c>
      <c r="G132" s="506" t="str">
        <f t="shared" si="73"/>
        <v>PREVGPS de Navegação</v>
      </c>
      <c r="H132" s="525" t="str">
        <f t="shared" si="74"/>
        <v/>
      </c>
      <c r="I132" s="26">
        <v>9.6000000000000014</v>
      </c>
      <c r="J132" s="79">
        <v>12</v>
      </c>
      <c r="K132" s="79">
        <v>12</v>
      </c>
      <c r="L132" s="79">
        <v>12</v>
      </c>
      <c r="M132" s="79">
        <v>12</v>
      </c>
      <c r="N132" s="79">
        <v>12</v>
      </c>
      <c r="O132" s="79">
        <v>12</v>
      </c>
      <c r="P132" s="79">
        <v>12</v>
      </c>
      <c r="Q132" s="79">
        <v>12</v>
      </c>
      <c r="R132" s="79">
        <v>12</v>
      </c>
      <c r="S132" s="79">
        <v>12</v>
      </c>
      <c r="T132" s="79">
        <v>12</v>
      </c>
      <c r="U132" s="26">
        <v>2.4000000000000004</v>
      </c>
      <c r="V132" s="80">
        <v>144</v>
      </c>
      <c r="W132" s="80">
        <v>50.58</v>
      </c>
      <c r="X132" s="28">
        <f t="shared" si="76"/>
        <v>7283.5199999999995</v>
      </c>
      <c r="Y132" s="38" t="s">
        <v>74</v>
      </c>
      <c r="Z132" s="528"/>
      <c r="AA132" s="532"/>
      <c r="AB132" s="547"/>
      <c r="AC132" s="548"/>
      <c r="AD132" s="658"/>
    </row>
    <row r="133" spans="1:38" ht="15.6" customHeight="1">
      <c r="A133" s="31"/>
      <c r="B133" s="1">
        <v>135</v>
      </c>
      <c r="C133" s="31" t="s">
        <v>1</v>
      </c>
      <c r="D133" s="32" t="s">
        <v>268</v>
      </c>
      <c r="E133" s="33" t="s">
        <v>178</v>
      </c>
      <c r="F133" s="417" t="s">
        <v>247</v>
      </c>
      <c r="G133" s="506" t="str">
        <f t="shared" si="73"/>
        <v>REALGPS de Navegação</v>
      </c>
      <c r="H133" s="525">
        <f t="shared" si="74"/>
        <v>0.54166666666666663</v>
      </c>
      <c r="I133" s="35">
        <v>0</v>
      </c>
      <c r="J133" s="35">
        <v>13</v>
      </c>
      <c r="K133" s="35">
        <v>13</v>
      </c>
      <c r="L133" s="35">
        <v>13</v>
      </c>
      <c r="M133" s="35">
        <v>13</v>
      </c>
      <c r="N133" s="35">
        <v>13</v>
      </c>
      <c r="O133" s="35">
        <v>13</v>
      </c>
      <c r="P133" s="35"/>
      <c r="Q133" s="35"/>
      <c r="R133" s="35"/>
      <c r="S133" s="35"/>
      <c r="T133" s="35"/>
      <c r="U133" s="35"/>
      <c r="V133" s="36">
        <f t="shared" ref="V133" si="79">SUM(I133:U133)</f>
        <v>78</v>
      </c>
      <c r="W133" s="81">
        <v>50.58</v>
      </c>
      <c r="X133" s="37">
        <f t="shared" si="76"/>
        <v>3945.24</v>
      </c>
      <c r="Y133" s="422">
        <f t="shared" si="48"/>
        <v>0.54166666666666663</v>
      </c>
      <c r="Z133" s="529">
        <f>X132-AC133</f>
        <v>0</v>
      </c>
      <c r="AA133" s="546"/>
      <c r="AB133" s="547">
        <f>ROUND((AVERAGE(J133:T133)*12),1)</f>
        <v>156</v>
      </c>
      <c r="AC133" s="535">
        <f>IF(AB133*W133&gt;X132,X132,AB133*W133)</f>
        <v>7283.5199999999995</v>
      </c>
      <c r="AD133" s="632">
        <f>AC133/X132</f>
        <v>1</v>
      </c>
    </row>
    <row r="134" spans="1:38" ht="15.6" customHeight="1">
      <c r="B134" s="30">
        <v>136</v>
      </c>
      <c r="C134" s="2" t="s">
        <v>0</v>
      </c>
      <c r="D134" s="23" t="s">
        <v>269</v>
      </c>
      <c r="E134" s="24" t="s">
        <v>181</v>
      </c>
      <c r="F134" s="416" t="s">
        <v>228</v>
      </c>
      <c r="G134" s="506" t="str">
        <f t="shared" si="73"/>
        <v>PREVCâmera fotográfica</v>
      </c>
      <c r="H134" s="525" t="str">
        <f t="shared" si="74"/>
        <v/>
      </c>
      <c r="I134" s="26">
        <v>10.4</v>
      </c>
      <c r="J134" s="79">
        <v>13</v>
      </c>
      <c r="K134" s="79">
        <v>13</v>
      </c>
      <c r="L134" s="79">
        <v>13</v>
      </c>
      <c r="M134" s="79">
        <v>13</v>
      </c>
      <c r="N134" s="79">
        <v>13</v>
      </c>
      <c r="O134" s="79">
        <v>13</v>
      </c>
      <c r="P134" s="79">
        <v>13</v>
      </c>
      <c r="Q134" s="79">
        <v>13</v>
      </c>
      <c r="R134" s="79">
        <v>13</v>
      </c>
      <c r="S134" s="79">
        <v>13</v>
      </c>
      <c r="T134" s="79">
        <v>13</v>
      </c>
      <c r="U134" s="26">
        <v>2.6</v>
      </c>
      <c r="V134" s="80">
        <v>156</v>
      </c>
      <c r="W134" s="80">
        <v>10.1</v>
      </c>
      <c r="X134" s="28">
        <f t="shared" si="76"/>
        <v>1575.6</v>
      </c>
      <c r="Y134" s="38" t="s">
        <v>74</v>
      </c>
      <c r="Z134" s="528"/>
      <c r="AA134" s="532"/>
      <c r="AB134" s="547"/>
      <c r="AC134" s="548"/>
      <c r="AD134" s="658"/>
    </row>
    <row r="135" spans="1:38" ht="15.6" customHeight="1">
      <c r="A135" s="31"/>
      <c r="B135" s="1">
        <v>137</v>
      </c>
      <c r="C135" s="31" t="s">
        <v>1</v>
      </c>
      <c r="D135" s="32" t="s">
        <v>269</v>
      </c>
      <c r="E135" s="33" t="s">
        <v>181</v>
      </c>
      <c r="F135" s="417" t="s">
        <v>228</v>
      </c>
      <c r="G135" s="506" t="str">
        <f t="shared" si="73"/>
        <v>REALCâmera fotográfica</v>
      </c>
      <c r="H135" s="525">
        <f t="shared" si="74"/>
        <v>0.53846153846153844</v>
      </c>
      <c r="I135" s="35">
        <v>0</v>
      </c>
      <c r="J135" s="35">
        <v>14</v>
      </c>
      <c r="K135" s="35">
        <v>14</v>
      </c>
      <c r="L135" s="35">
        <v>14</v>
      </c>
      <c r="M135" s="35">
        <v>14</v>
      </c>
      <c r="N135" s="35">
        <v>14</v>
      </c>
      <c r="O135" s="35">
        <v>14</v>
      </c>
      <c r="P135" s="35"/>
      <c r="Q135" s="35"/>
      <c r="R135" s="35"/>
      <c r="S135" s="35"/>
      <c r="T135" s="35"/>
      <c r="U135" s="35"/>
      <c r="V135" s="36">
        <f t="shared" ref="V135" si="80">SUM(I135:U135)</f>
        <v>84</v>
      </c>
      <c r="W135" s="81">
        <v>10.1</v>
      </c>
      <c r="X135" s="37">
        <f t="shared" si="76"/>
        <v>848.4</v>
      </c>
      <c r="Y135" s="422">
        <f t="shared" si="48"/>
        <v>0.53846153846153844</v>
      </c>
      <c r="Z135" s="529">
        <f>X134-AC135</f>
        <v>0</v>
      </c>
      <c r="AA135" s="546"/>
      <c r="AB135" s="547">
        <f>ROUND((AVERAGE(J135:T135)*12),1)</f>
        <v>168</v>
      </c>
      <c r="AC135" s="535">
        <f>IF(AB135*W135&gt;X134,X134,AB135*W135)</f>
        <v>1575.6</v>
      </c>
      <c r="AD135" s="632">
        <f>AC135/X134</f>
        <v>1</v>
      </c>
    </row>
    <row r="136" spans="1:38" ht="15.6" customHeight="1">
      <c r="B136" s="30">
        <v>138</v>
      </c>
      <c r="C136" s="2" t="s">
        <v>0</v>
      </c>
      <c r="D136" s="23" t="s">
        <v>270</v>
      </c>
      <c r="E136" s="24" t="s">
        <v>182</v>
      </c>
      <c r="F136" s="416" t="s">
        <v>247</v>
      </c>
      <c r="G136" s="506" t="str">
        <f t="shared" si="73"/>
        <v>PREVCâmera fotografica profissional DSLR, 18 MP, vídeos em Full HD, lente EF-S 18-55mm f/3.5-5.6 III e bateria</v>
      </c>
      <c r="H136" s="525" t="str">
        <f t="shared" si="74"/>
        <v/>
      </c>
      <c r="I136" s="26">
        <v>1.6</v>
      </c>
      <c r="J136" s="79">
        <v>2</v>
      </c>
      <c r="K136" s="79">
        <v>2</v>
      </c>
      <c r="L136" s="79">
        <v>2</v>
      </c>
      <c r="M136" s="79">
        <v>2</v>
      </c>
      <c r="N136" s="79">
        <v>2</v>
      </c>
      <c r="O136" s="79">
        <v>2</v>
      </c>
      <c r="P136" s="79">
        <v>2</v>
      </c>
      <c r="Q136" s="79">
        <v>2</v>
      </c>
      <c r="R136" s="79">
        <v>2</v>
      </c>
      <c r="S136" s="79">
        <v>2</v>
      </c>
      <c r="T136" s="79">
        <v>2</v>
      </c>
      <c r="U136" s="26">
        <v>0.4</v>
      </c>
      <c r="V136" s="80">
        <v>24</v>
      </c>
      <c r="W136" s="80">
        <v>20.190000000000001</v>
      </c>
      <c r="X136" s="28">
        <f t="shared" si="76"/>
        <v>484.56000000000006</v>
      </c>
      <c r="Y136" s="38" t="s">
        <v>74</v>
      </c>
      <c r="Z136" s="528"/>
      <c r="AA136" s="532"/>
      <c r="AB136" s="547"/>
      <c r="AC136" s="548"/>
      <c r="AD136" s="658"/>
    </row>
    <row r="137" spans="1:38" ht="15.6" customHeight="1">
      <c r="A137" s="31"/>
      <c r="B137" s="1">
        <v>139</v>
      </c>
      <c r="C137" s="31" t="s">
        <v>1</v>
      </c>
      <c r="D137" s="32" t="s">
        <v>270</v>
      </c>
      <c r="E137" s="33" t="s">
        <v>182</v>
      </c>
      <c r="F137" s="417" t="s">
        <v>247</v>
      </c>
      <c r="G137" s="506" t="str">
        <f t="shared" si="73"/>
        <v>REALCâmera fotografica profissional DSLR, 18 MP, vídeos em Full HD, lente EF-S 18-55mm f/3.5-5.6 III e bateria</v>
      </c>
      <c r="H137" s="525">
        <f t="shared" si="74"/>
        <v>0.56666666666666665</v>
      </c>
      <c r="I137" s="35">
        <v>1.6</v>
      </c>
      <c r="J137" s="35">
        <v>2</v>
      </c>
      <c r="K137" s="35">
        <v>2</v>
      </c>
      <c r="L137" s="35">
        <v>2</v>
      </c>
      <c r="M137" s="35">
        <v>2</v>
      </c>
      <c r="N137" s="35">
        <v>2</v>
      </c>
      <c r="O137" s="35">
        <v>2</v>
      </c>
      <c r="P137" s="35"/>
      <c r="Q137" s="35"/>
      <c r="R137" s="35"/>
      <c r="S137" s="35"/>
      <c r="T137" s="35"/>
      <c r="U137" s="35"/>
      <c r="V137" s="36">
        <f t="shared" ref="V137" si="81">SUM(I137:U137)</f>
        <v>13.6</v>
      </c>
      <c r="W137" s="81">
        <v>20.190000000000001</v>
      </c>
      <c r="X137" s="37">
        <f t="shared" si="76"/>
        <v>274.584</v>
      </c>
      <c r="Y137" s="422">
        <f t="shared" si="48"/>
        <v>0.56666666666666665</v>
      </c>
      <c r="Z137" s="529">
        <f>X136-AC137</f>
        <v>0</v>
      </c>
      <c r="AA137" s="546"/>
      <c r="AB137" s="547">
        <f>ROUND((AVERAGE(J137:T137)*12),1)</f>
        <v>24</v>
      </c>
      <c r="AC137" s="535">
        <f>IF(AB137*W137&gt;X136,X136,AB137*W137)</f>
        <v>484.56000000000006</v>
      </c>
      <c r="AD137" s="632">
        <f>AC137/X136</f>
        <v>1</v>
      </c>
    </row>
    <row r="138" spans="1:38" ht="15.6" customHeight="1">
      <c r="B138" s="30">
        <v>140</v>
      </c>
      <c r="C138" s="2" t="s">
        <v>0</v>
      </c>
      <c r="D138" s="23" t="s">
        <v>271</v>
      </c>
      <c r="E138" s="24" t="s">
        <v>185</v>
      </c>
      <c r="F138" s="416" t="s">
        <v>247</v>
      </c>
      <c r="G138" s="506" t="str">
        <f t="shared" si="73"/>
        <v>PREVBinóculo Profissional Ampliação 8 à 24x 50mm</v>
      </c>
      <c r="H138" s="525" t="str">
        <f t="shared" si="74"/>
        <v/>
      </c>
      <c r="I138" s="26">
        <v>1.6</v>
      </c>
      <c r="J138" s="79">
        <v>2</v>
      </c>
      <c r="K138" s="79">
        <v>2</v>
      </c>
      <c r="L138" s="79">
        <v>2</v>
      </c>
      <c r="M138" s="79">
        <v>2</v>
      </c>
      <c r="N138" s="79">
        <v>2</v>
      </c>
      <c r="O138" s="79">
        <v>2</v>
      </c>
      <c r="P138" s="79">
        <v>2</v>
      </c>
      <c r="Q138" s="79">
        <v>2</v>
      </c>
      <c r="R138" s="79">
        <v>2</v>
      </c>
      <c r="S138" s="79">
        <v>2</v>
      </c>
      <c r="T138" s="79">
        <v>2</v>
      </c>
      <c r="U138" s="26">
        <v>0.4</v>
      </c>
      <c r="V138" s="80">
        <v>24</v>
      </c>
      <c r="W138" s="80">
        <v>24.34</v>
      </c>
      <c r="X138" s="28">
        <f t="shared" si="76"/>
        <v>584.16</v>
      </c>
      <c r="Y138" s="38" t="s">
        <v>74</v>
      </c>
      <c r="Z138" s="528"/>
      <c r="AA138" s="532"/>
      <c r="AB138" s="547"/>
      <c r="AC138" s="548"/>
      <c r="AD138" s="658"/>
    </row>
    <row r="139" spans="1:38" ht="15.6" customHeight="1">
      <c r="A139" s="31"/>
      <c r="B139" s="1">
        <v>141</v>
      </c>
      <c r="C139" s="31" t="s">
        <v>1</v>
      </c>
      <c r="D139" s="32" t="s">
        <v>271</v>
      </c>
      <c r="E139" s="33" t="s">
        <v>185</v>
      </c>
      <c r="F139" s="417" t="s">
        <v>247</v>
      </c>
      <c r="G139" s="506" t="str">
        <f t="shared" si="73"/>
        <v>REALBinóculo Profissional Ampliação 8 à 24x 50mm</v>
      </c>
      <c r="H139" s="525">
        <f t="shared" si="74"/>
        <v>0.56666666666666665</v>
      </c>
      <c r="I139" s="35">
        <v>1.6</v>
      </c>
      <c r="J139" s="35">
        <v>2</v>
      </c>
      <c r="K139" s="35">
        <v>2</v>
      </c>
      <c r="L139" s="35">
        <v>2</v>
      </c>
      <c r="M139" s="35">
        <v>2</v>
      </c>
      <c r="N139" s="35">
        <v>2</v>
      </c>
      <c r="O139" s="35">
        <v>2</v>
      </c>
      <c r="P139" s="35"/>
      <c r="Q139" s="35"/>
      <c r="R139" s="35"/>
      <c r="S139" s="35"/>
      <c r="T139" s="35"/>
      <c r="U139" s="35"/>
      <c r="V139" s="36">
        <f t="shared" ref="V139" si="82">SUM(I139:U139)</f>
        <v>13.6</v>
      </c>
      <c r="W139" s="81">
        <v>24.34</v>
      </c>
      <c r="X139" s="37">
        <f t="shared" si="76"/>
        <v>331.024</v>
      </c>
      <c r="Y139" s="38">
        <f t="shared" si="48"/>
        <v>0.56666666666666665</v>
      </c>
      <c r="Z139" s="529">
        <f>X138-AC139</f>
        <v>0</v>
      </c>
      <c r="AA139" s="546"/>
      <c r="AB139" s="547">
        <f>ROUND((AVERAGE(J139:T139)*12),1)</f>
        <v>24</v>
      </c>
      <c r="AC139" s="535">
        <f>IF(AB139*W139&gt;X138,X138,AB139*W139)</f>
        <v>584.16</v>
      </c>
      <c r="AD139" s="632">
        <f>AC139/X138</f>
        <v>1</v>
      </c>
    </row>
    <row r="140" spans="1:38" s="513" customFormat="1" ht="15.6" customHeight="1">
      <c r="A140" s="71"/>
      <c r="B140" s="30">
        <v>142</v>
      </c>
      <c r="C140" s="2" t="s">
        <v>0</v>
      </c>
      <c r="D140" s="83" t="s">
        <v>20</v>
      </c>
      <c r="E140" s="84" t="s">
        <v>272</v>
      </c>
      <c r="F140" s="85"/>
      <c r="G140" s="85"/>
      <c r="H140" s="85"/>
      <c r="I140" s="86"/>
      <c r="J140" s="86"/>
      <c r="K140" s="86"/>
      <c r="L140" s="86"/>
      <c r="M140" s="86"/>
      <c r="N140" s="86"/>
      <c r="O140" s="86"/>
      <c r="P140" s="86"/>
      <c r="Q140" s="86"/>
      <c r="R140" s="86"/>
      <c r="S140" s="86"/>
      <c r="T140" s="86"/>
      <c r="U140" s="86"/>
      <c r="V140" s="86"/>
      <c r="W140" s="87"/>
      <c r="X140" s="87">
        <f>SUMIF($C141:$C154,$C140,X141:X154)</f>
        <v>528013.08000000007</v>
      </c>
      <c r="Y140" s="70" t="s">
        <v>74</v>
      </c>
      <c r="Z140" s="511"/>
      <c r="AA140" s="545">
        <f>SUM(Z142:Z155)</f>
        <v>35957.519999999997</v>
      </c>
      <c r="AB140" s="545"/>
      <c r="AC140" s="545"/>
      <c r="AD140" s="634"/>
      <c r="AL140" s="515"/>
    </row>
    <row r="141" spans="1:38" s="513" customFormat="1" ht="15.6" customHeight="1">
      <c r="A141" s="78"/>
      <c r="B141" s="1">
        <v>143</v>
      </c>
      <c r="C141" s="31" t="s">
        <v>1</v>
      </c>
      <c r="D141" s="88" t="s">
        <v>20</v>
      </c>
      <c r="E141" s="89" t="s">
        <v>272</v>
      </c>
      <c r="F141" s="90"/>
      <c r="G141" s="90"/>
      <c r="H141" s="90"/>
      <c r="I141" s="75">
        <f t="shared" ref="I141:U141" si="83">SUMIF($C142:$C155,$C141,I142:I155)</f>
        <v>30.400000000000006</v>
      </c>
      <c r="J141" s="75">
        <f t="shared" si="83"/>
        <v>42</v>
      </c>
      <c r="K141" s="75">
        <f t="shared" si="83"/>
        <v>42</v>
      </c>
      <c r="L141" s="75">
        <f t="shared" si="83"/>
        <v>42</v>
      </c>
      <c r="M141" s="75">
        <f t="shared" si="83"/>
        <v>42</v>
      </c>
      <c r="N141" s="75">
        <f t="shared" si="83"/>
        <v>42</v>
      </c>
      <c r="O141" s="75">
        <f t="shared" si="83"/>
        <v>42</v>
      </c>
      <c r="P141" s="75">
        <f t="shared" si="83"/>
        <v>0</v>
      </c>
      <c r="Q141" s="75">
        <f t="shared" si="83"/>
        <v>0</v>
      </c>
      <c r="R141" s="75">
        <f t="shared" si="83"/>
        <v>0</v>
      </c>
      <c r="S141" s="75">
        <f t="shared" si="83"/>
        <v>0</v>
      </c>
      <c r="T141" s="75">
        <f t="shared" si="83"/>
        <v>0</v>
      </c>
      <c r="U141" s="75">
        <f t="shared" si="83"/>
        <v>0</v>
      </c>
      <c r="V141" s="91">
        <f>SUM(I141:U141)</f>
        <v>282.39999999999998</v>
      </c>
      <c r="W141" s="92">
        <v>0</v>
      </c>
      <c r="X141" s="77">
        <f>SUMIF($C142:$C155,$C141,X142:X155)</f>
        <v>278959.32400000002</v>
      </c>
      <c r="Y141" s="70">
        <f t="shared" si="48"/>
        <v>0.52831896512866683</v>
      </c>
      <c r="Z141" s="511"/>
      <c r="AA141" s="545"/>
      <c r="AB141" s="545"/>
      <c r="AC141" s="545">
        <f>SUM(AC143:AC153)</f>
        <v>492055.56000000006</v>
      </c>
      <c r="AD141" s="635">
        <f>AC141/X140</f>
        <v>0.9319003233783526</v>
      </c>
      <c r="AL141" s="515"/>
    </row>
    <row r="142" spans="1:38" ht="15.6" customHeight="1">
      <c r="B142" s="30">
        <v>144</v>
      </c>
      <c r="C142" s="2" t="s">
        <v>0</v>
      </c>
      <c r="D142" s="23" t="s">
        <v>273</v>
      </c>
      <c r="E142" s="24" t="s">
        <v>186</v>
      </c>
      <c r="F142" s="416" t="s">
        <v>274</v>
      </c>
      <c r="G142" s="506" t="str">
        <f t="shared" ref="G142:G155" si="84">C142&amp;E142</f>
        <v>PREVSistema de repetidoras VHF interligadas com link UHF - 4 antenas</v>
      </c>
      <c r="H142" s="525" t="str">
        <f t="shared" ref="H142:H154" si="85">Y142</f>
        <v/>
      </c>
      <c r="I142" s="26">
        <v>1.6</v>
      </c>
      <c r="J142" s="79">
        <v>2</v>
      </c>
      <c r="K142" s="79">
        <v>2</v>
      </c>
      <c r="L142" s="79">
        <v>2</v>
      </c>
      <c r="M142" s="79">
        <v>2</v>
      </c>
      <c r="N142" s="79">
        <v>2</v>
      </c>
      <c r="O142" s="79">
        <v>2</v>
      </c>
      <c r="P142" s="79">
        <v>2</v>
      </c>
      <c r="Q142" s="79">
        <v>2</v>
      </c>
      <c r="R142" s="79">
        <v>2</v>
      </c>
      <c r="S142" s="79">
        <v>2</v>
      </c>
      <c r="T142" s="79">
        <v>2</v>
      </c>
      <c r="U142" s="26">
        <v>0.4</v>
      </c>
      <c r="V142" s="80">
        <v>24</v>
      </c>
      <c r="W142" s="80">
        <v>13317.48</v>
      </c>
      <c r="X142" s="28">
        <f t="shared" ref="X142:X151" si="86">W142*V142</f>
        <v>319619.52</v>
      </c>
      <c r="Y142" s="38" t="s">
        <v>74</v>
      </c>
      <c r="Z142" s="528"/>
      <c r="AA142" s="532"/>
      <c r="AB142" s="535"/>
      <c r="AC142" s="533"/>
      <c r="AD142" s="658"/>
    </row>
    <row r="143" spans="1:38" ht="15.6" customHeight="1">
      <c r="A143" s="31"/>
      <c r="B143" s="1">
        <v>145</v>
      </c>
      <c r="C143" s="31" t="s">
        <v>1</v>
      </c>
      <c r="D143" s="32" t="s">
        <v>273</v>
      </c>
      <c r="E143" s="33" t="s">
        <v>186</v>
      </c>
      <c r="F143" s="417" t="s">
        <v>274</v>
      </c>
      <c r="G143" s="506" t="str">
        <f t="shared" si="84"/>
        <v>REALSistema de repetidoras VHF interligadas com link UHF - 4 antenas</v>
      </c>
      <c r="H143" s="525">
        <f t="shared" si="85"/>
        <v>0.56666666666666665</v>
      </c>
      <c r="I143" s="35">
        <v>1.6</v>
      </c>
      <c r="J143" s="35">
        <v>2</v>
      </c>
      <c r="K143" s="35">
        <v>2</v>
      </c>
      <c r="L143" s="35">
        <v>2</v>
      </c>
      <c r="M143" s="35">
        <v>2</v>
      </c>
      <c r="N143" s="35">
        <v>2</v>
      </c>
      <c r="O143" s="35">
        <v>2</v>
      </c>
      <c r="P143" s="35"/>
      <c r="Q143" s="35"/>
      <c r="R143" s="35"/>
      <c r="S143" s="35"/>
      <c r="T143" s="35"/>
      <c r="U143" s="35"/>
      <c r="V143" s="36">
        <f t="shared" ref="V143" si="87">SUM(I143:U143)</f>
        <v>13.6</v>
      </c>
      <c r="W143" s="81">
        <v>13317.48</v>
      </c>
      <c r="X143" s="37">
        <f t="shared" si="86"/>
        <v>181117.728</v>
      </c>
      <c r="Y143" s="422">
        <f t="shared" si="48"/>
        <v>0.56666666666666665</v>
      </c>
      <c r="Z143" s="529">
        <f>X142-AC143</f>
        <v>0</v>
      </c>
      <c r="AA143" s="546"/>
      <c r="AB143" s="535">
        <f>ROUND((AVERAGE(J143:T143)*12),1)</f>
        <v>24</v>
      </c>
      <c r="AC143" s="535">
        <f>IF(AB143*W143&gt;X142,X142,AB143*W143)</f>
        <v>319619.52</v>
      </c>
      <c r="AD143" s="632">
        <f>AC143/X142</f>
        <v>1</v>
      </c>
    </row>
    <row r="144" spans="1:38" ht="15.6" customHeight="1">
      <c r="B144" s="30">
        <v>146</v>
      </c>
      <c r="C144" s="2" t="s">
        <v>0</v>
      </c>
      <c r="D144" s="23" t="s">
        <v>275</v>
      </c>
      <c r="E144" s="24" t="s">
        <v>189</v>
      </c>
      <c r="F144" s="416" t="s">
        <v>274</v>
      </c>
      <c r="G144" s="506" t="str">
        <f t="shared" si="84"/>
        <v>PREVSistema de repetidoras VHF interligadas com link UHF - 2 antenas</v>
      </c>
      <c r="H144" s="525" t="str">
        <f t="shared" si="85"/>
        <v/>
      </c>
      <c r="I144" s="26">
        <v>0.8</v>
      </c>
      <c r="J144" s="79">
        <v>1</v>
      </c>
      <c r="K144" s="79">
        <v>1</v>
      </c>
      <c r="L144" s="79">
        <v>1</v>
      </c>
      <c r="M144" s="79">
        <v>1</v>
      </c>
      <c r="N144" s="79">
        <v>1</v>
      </c>
      <c r="O144" s="79">
        <v>1</v>
      </c>
      <c r="P144" s="79">
        <v>1</v>
      </c>
      <c r="Q144" s="79">
        <v>1</v>
      </c>
      <c r="R144" s="79">
        <v>1</v>
      </c>
      <c r="S144" s="79">
        <v>1</v>
      </c>
      <c r="T144" s="79">
        <v>1</v>
      </c>
      <c r="U144" s="26">
        <v>0.2</v>
      </c>
      <c r="V144" s="80">
        <v>12</v>
      </c>
      <c r="W144" s="80">
        <v>6658.74</v>
      </c>
      <c r="X144" s="28">
        <f t="shared" si="86"/>
        <v>79904.88</v>
      </c>
      <c r="Y144" s="38" t="s">
        <v>74</v>
      </c>
      <c r="Z144" s="528"/>
      <c r="AA144" s="532"/>
      <c r="AB144" s="535"/>
      <c r="AC144" s="533"/>
      <c r="AD144" s="658"/>
    </row>
    <row r="145" spans="1:38" ht="15.6" customHeight="1">
      <c r="A145" s="31"/>
      <c r="B145" s="1">
        <v>147</v>
      </c>
      <c r="C145" s="31" t="s">
        <v>1</v>
      </c>
      <c r="D145" s="32" t="s">
        <v>275</v>
      </c>
      <c r="E145" s="33" t="s">
        <v>189</v>
      </c>
      <c r="F145" s="417" t="s">
        <v>274</v>
      </c>
      <c r="G145" s="506" t="str">
        <f t="shared" si="84"/>
        <v>REALSistema de repetidoras VHF interligadas com link UHF - 2 antenas</v>
      </c>
      <c r="H145" s="525">
        <f t="shared" si="85"/>
        <v>0.56666666666666665</v>
      </c>
      <c r="I145" s="35">
        <v>0.8</v>
      </c>
      <c r="J145" s="35">
        <v>1</v>
      </c>
      <c r="K145" s="35">
        <v>1</v>
      </c>
      <c r="L145" s="35">
        <v>1</v>
      </c>
      <c r="M145" s="35">
        <v>1</v>
      </c>
      <c r="N145" s="35">
        <v>1</v>
      </c>
      <c r="O145" s="35">
        <v>1</v>
      </c>
      <c r="P145" s="35"/>
      <c r="Q145" s="35"/>
      <c r="R145" s="35"/>
      <c r="S145" s="35"/>
      <c r="T145" s="35"/>
      <c r="U145" s="35"/>
      <c r="V145" s="36">
        <f t="shared" ref="V145" si="88">SUM(I145:U145)</f>
        <v>6.8</v>
      </c>
      <c r="W145" s="81">
        <v>6658.74</v>
      </c>
      <c r="X145" s="37">
        <f t="shared" si="86"/>
        <v>45279.432000000001</v>
      </c>
      <c r="Y145" s="422">
        <f t="shared" si="48"/>
        <v>0.56666666666666665</v>
      </c>
      <c r="Z145" s="529">
        <f>X144-AC145</f>
        <v>0</v>
      </c>
      <c r="AA145" s="546"/>
      <c r="AB145" s="535">
        <f>ROUND((AVERAGE(J145:T145)*12),1)</f>
        <v>12</v>
      </c>
      <c r="AC145" s="535">
        <f>IF(AB145*W145&gt;X144,X144,AB145*W145)</f>
        <v>79904.88</v>
      </c>
      <c r="AD145" s="632">
        <f>AC145/X144</f>
        <v>1</v>
      </c>
    </row>
    <row r="146" spans="1:38" ht="15.6" customHeight="1">
      <c r="B146" s="30">
        <v>148</v>
      </c>
      <c r="C146" s="2" t="s">
        <v>0</v>
      </c>
      <c r="D146" s="23" t="s">
        <v>276</v>
      </c>
      <c r="E146" s="24" t="s">
        <v>190</v>
      </c>
      <c r="F146" s="416" t="s">
        <v>247</v>
      </c>
      <c r="G146" s="506" t="str">
        <f t="shared" si="84"/>
        <v>PREVRádio VHF portátil EP 450</v>
      </c>
      <c r="H146" s="525" t="str">
        <f t="shared" si="85"/>
        <v/>
      </c>
      <c r="I146" s="26">
        <v>16</v>
      </c>
      <c r="J146" s="79">
        <v>20</v>
      </c>
      <c r="K146" s="79">
        <v>20</v>
      </c>
      <c r="L146" s="79">
        <v>20</v>
      </c>
      <c r="M146" s="79">
        <v>20</v>
      </c>
      <c r="N146" s="79">
        <v>20</v>
      </c>
      <c r="O146" s="79">
        <v>20</v>
      </c>
      <c r="P146" s="79">
        <v>20</v>
      </c>
      <c r="Q146" s="79">
        <v>20</v>
      </c>
      <c r="R146" s="79">
        <v>20</v>
      </c>
      <c r="S146" s="79">
        <v>20</v>
      </c>
      <c r="T146" s="79">
        <v>20</v>
      </c>
      <c r="U146" s="26">
        <v>4</v>
      </c>
      <c r="V146" s="80">
        <v>240</v>
      </c>
      <c r="W146" s="80">
        <v>119.86</v>
      </c>
      <c r="X146" s="28">
        <f t="shared" si="86"/>
        <v>28766.400000000001</v>
      </c>
      <c r="Y146" s="38" t="s">
        <v>74</v>
      </c>
      <c r="Z146" s="528"/>
      <c r="AA146" s="532"/>
      <c r="AB146" s="535"/>
      <c r="AC146" s="533"/>
      <c r="AD146" s="658"/>
    </row>
    <row r="147" spans="1:38" ht="15.6" customHeight="1">
      <c r="A147" s="31"/>
      <c r="B147" s="1">
        <v>149</v>
      </c>
      <c r="C147" s="31" t="s">
        <v>1</v>
      </c>
      <c r="D147" s="32" t="s">
        <v>276</v>
      </c>
      <c r="E147" s="33" t="s">
        <v>190</v>
      </c>
      <c r="F147" s="417" t="s">
        <v>247</v>
      </c>
      <c r="G147" s="506" t="str">
        <f t="shared" si="84"/>
        <v>REALRádio VHF portátil EP 450</v>
      </c>
      <c r="H147" s="525">
        <f t="shared" si="85"/>
        <v>0.53999999999999992</v>
      </c>
      <c r="I147" s="35">
        <v>9.6000000000000014</v>
      </c>
      <c r="J147" s="35">
        <v>20</v>
      </c>
      <c r="K147" s="35">
        <v>20</v>
      </c>
      <c r="L147" s="35">
        <v>20</v>
      </c>
      <c r="M147" s="35">
        <v>20</v>
      </c>
      <c r="N147" s="35">
        <v>20</v>
      </c>
      <c r="O147" s="35">
        <v>20</v>
      </c>
      <c r="P147" s="35"/>
      <c r="Q147" s="35"/>
      <c r="R147" s="35"/>
      <c r="S147" s="35"/>
      <c r="T147" s="35"/>
      <c r="U147" s="35"/>
      <c r="V147" s="36">
        <f t="shared" ref="V147" si="89">SUM(I147:U147)</f>
        <v>129.6</v>
      </c>
      <c r="W147" s="81">
        <v>119.86</v>
      </c>
      <c r="X147" s="37">
        <f t="shared" si="86"/>
        <v>15533.856</v>
      </c>
      <c r="Y147" s="38">
        <f t="shared" si="48"/>
        <v>0.53999999999999992</v>
      </c>
      <c r="Z147" s="529">
        <f>X146-AC147</f>
        <v>0</v>
      </c>
      <c r="AA147" s="546"/>
      <c r="AB147" s="535">
        <f>ROUND((AVERAGE(J147:T147)*12),1)</f>
        <v>240</v>
      </c>
      <c r="AC147" s="535">
        <f>IF(AB147*W147&gt;X146,X146,AB147*W147)</f>
        <v>28766.400000000001</v>
      </c>
      <c r="AD147" s="632">
        <f>AC147/X146</f>
        <v>1</v>
      </c>
    </row>
    <row r="148" spans="1:38" ht="15.6" customHeight="1">
      <c r="B148" s="30">
        <v>150</v>
      </c>
      <c r="C148" s="2" t="s">
        <v>0</v>
      </c>
      <c r="D148" s="23" t="s">
        <v>277</v>
      </c>
      <c r="E148" s="24" t="s">
        <v>193</v>
      </c>
      <c r="F148" s="416" t="s">
        <v>247</v>
      </c>
      <c r="G148" s="506" t="str">
        <f t="shared" si="84"/>
        <v>PREVRádio VHF móvel digital para viatura</v>
      </c>
      <c r="H148" s="525" t="str">
        <f t="shared" si="85"/>
        <v/>
      </c>
      <c r="I148" s="26">
        <v>15.200000000000001</v>
      </c>
      <c r="J148" s="79">
        <v>19</v>
      </c>
      <c r="K148" s="79">
        <v>19</v>
      </c>
      <c r="L148" s="79">
        <v>19</v>
      </c>
      <c r="M148" s="79">
        <v>19</v>
      </c>
      <c r="N148" s="79">
        <v>19</v>
      </c>
      <c r="O148" s="79">
        <v>19</v>
      </c>
      <c r="P148" s="79">
        <v>19</v>
      </c>
      <c r="Q148" s="79">
        <v>19</v>
      </c>
      <c r="R148" s="79">
        <v>19</v>
      </c>
      <c r="S148" s="79">
        <v>19</v>
      </c>
      <c r="T148" s="79">
        <v>19</v>
      </c>
      <c r="U148" s="26">
        <v>3.8000000000000003</v>
      </c>
      <c r="V148" s="80">
        <v>228</v>
      </c>
      <c r="W148" s="80">
        <v>279.67</v>
      </c>
      <c r="X148" s="28">
        <f t="shared" si="86"/>
        <v>63764.76</v>
      </c>
      <c r="Y148" s="38" t="s">
        <v>74</v>
      </c>
      <c r="Z148" s="528"/>
      <c r="AA148" s="532"/>
      <c r="AB148" s="535"/>
      <c r="AC148" s="533"/>
      <c r="AD148" s="658"/>
    </row>
    <row r="149" spans="1:38" ht="15.6" customHeight="1">
      <c r="A149" s="31"/>
      <c r="B149" s="1">
        <v>151</v>
      </c>
      <c r="C149" s="31" t="s">
        <v>1</v>
      </c>
      <c r="D149" s="32" t="s">
        <v>277</v>
      </c>
      <c r="E149" s="33" t="s">
        <v>193</v>
      </c>
      <c r="F149" s="417" t="s">
        <v>247</v>
      </c>
      <c r="G149" s="506" t="str">
        <f t="shared" si="84"/>
        <v>REALRádio VHF móvel digital para viatura</v>
      </c>
      <c r="H149" s="525">
        <f t="shared" si="85"/>
        <v>0.58070175438596494</v>
      </c>
      <c r="I149" s="35">
        <v>18.400000000000002</v>
      </c>
      <c r="J149" s="35">
        <v>19</v>
      </c>
      <c r="K149" s="35">
        <v>19</v>
      </c>
      <c r="L149" s="35">
        <v>19</v>
      </c>
      <c r="M149" s="35">
        <v>19</v>
      </c>
      <c r="N149" s="35">
        <v>19</v>
      </c>
      <c r="O149" s="35">
        <v>19</v>
      </c>
      <c r="P149" s="35"/>
      <c r="Q149" s="35"/>
      <c r="R149" s="35"/>
      <c r="S149" s="35"/>
      <c r="T149" s="35"/>
      <c r="U149" s="35"/>
      <c r="V149" s="36">
        <f t="shared" ref="V149" si="90">SUM(I149:U149)</f>
        <v>132.4</v>
      </c>
      <c r="W149" s="81">
        <v>279.67</v>
      </c>
      <c r="X149" s="37">
        <f t="shared" si="86"/>
        <v>37028.308000000005</v>
      </c>
      <c r="Y149" s="422">
        <f t="shared" si="48"/>
        <v>0.58070175438596494</v>
      </c>
      <c r="Z149" s="529">
        <f>X148-AC149</f>
        <v>0</v>
      </c>
      <c r="AA149" s="546"/>
      <c r="AB149" s="535">
        <f>ROUND((AVERAGE(J149:T149)*12),1)</f>
        <v>228</v>
      </c>
      <c r="AC149" s="535">
        <f>IF(AB149*W149&gt;X148,X148,AB149*W149)</f>
        <v>63764.76</v>
      </c>
      <c r="AD149" s="632">
        <f>AC149/X148</f>
        <v>1</v>
      </c>
    </row>
    <row r="150" spans="1:38" ht="15.6" customHeight="1">
      <c r="B150" s="30">
        <v>152</v>
      </c>
      <c r="C150" s="2" t="s">
        <v>0</v>
      </c>
      <c r="D150" s="23" t="s">
        <v>278</v>
      </c>
      <c r="E150" s="24" t="s">
        <v>194</v>
      </c>
      <c r="F150" s="416" t="s">
        <v>247</v>
      </c>
      <c r="G150" s="506" t="str">
        <f t="shared" si="84"/>
        <v>PREVRádio VHF para instalação nas SEs, composto por rádio base e sistema irradiante</v>
      </c>
      <c r="H150" s="525" t="str">
        <f t="shared" si="85"/>
        <v/>
      </c>
      <c r="I150" s="26">
        <v>7.2</v>
      </c>
      <c r="J150" s="79">
        <v>9</v>
      </c>
      <c r="K150" s="79">
        <v>9</v>
      </c>
      <c r="L150" s="79">
        <v>9</v>
      </c>
      <c r="M150" s="79">
        <v>9</v>
      </c>
      <c r="N150" s="79">
        <v>9</v>
      </c>
      <c r="O150" s="79">
        <v>9</v>
      </c>
      <c r="P150" s="79">
        <v>9</v>
      </c>
      <c r="Q150" s="79">
        <v>9</v>
      </c>
      <c r="R150" s="79">
        <v>9</v>
      </c>
      <c r="S150" s="79">
        <v>9</v>
      </c>
      <c r="T150" s="79">
        <v>9</v>
      </c>
      <c r="U150" s="26">
        <v>1.8</v>
      </c>
      <c r="V150" s="80">
        <v>108</v>
      </c>
      <c r="W150" s="80">
        <v>332.94</v>
      </c>
      <c r="X150" s="28">
        <f t="shared" si="86"/>
        <v>35957.519999999997</v>
      </c>
      <c r="Y150" s="38" t="s">
        <v>74</v>
      </c>
      <c r="Z150" s="528"/>
      <c r="AA150" s="532"/>
      <c r="AB150" s="535"/>
      <c r="AC150" s="533"/>
      <c r="AD150" s="658"/>
    </row>
    <row r="151" spans="1:38" ht="15.6" customHeight="1">
      <c r="A151" s="31"/>
      <c r="B151" s="1">
        <v>153</v>
      </c>
      <c r="C151" s="31" t="s">
        <v>1</v>
      </c>
      <c r="D151" s="32" t="s">
        <v>278</v>
      </c>
      <c r="E151" s="33" t="s">
        <v>194</v>
      </c>
      <c r="F151" s="417" t="s">
        <v>247</v>
      </c>
      <c r="G151" s="506" t="str">
        <f t="shared" si="84"/>
        <v>REALRádio VHF para instalação nas SEs, composto por rádio base e sistema irradiante</v>
      </c>
      <c r="H151" s="525">
        <f t="shared" si="85"/>
        <v>0</v>
      </c>
      <c r="I151" s="35">
        <v>0</v>
      </c>
      <c r="J151" s="35">
        <v>0</v>
      </c>
      <c r="K151" s="35">
        <v>0</v>
      </c>
      <c r="L151" s="35">
        <v>0</v>
      </c>
      <c r="M151" s="35">
        <v>0</v>
      </c>
      <c r="N151" s="35">
        <v>0</v>
      </c>
      <c r="O151" s="35">
        <v>0</v>
      </c>
      <c r="P151" s="35"/>
      <c r="Q151" s="35"/>
      <c r="R151" s="35"/>
      <c r="S151" s="35"/>
      <c r="T151" s="35"/>
      <c r="U151" s="35"/>
      <c r="V151" s="36">
        <f t="shared" ref="V151" si="91">SUM(I151:U151)</f>
        <v>0</v>
      </c>
      <c r="W151" s="81">
        <v>332.94</v>
      </c>
      <c r="X151" s="37">
        <f t="shared" si="86"/>
        <v>0</v>
      </c>
      <c r="Y151" s="422">
        <f t="shared" si="48"/>
        <v>0</v>
      </c>
      <c r="Z151" s="529">
        <f>X150-AC151</f>
        <v>35957.519999999997</v>
      </c>
      <c r="AA151" s="546"/>
      <c r="AB151" s="535">
        <f>ROUND((AVERAGE(J151:T151)*12),1)</f>
        <v>0</v>
      </c>
      <c r="AC151" s="535">
        <f>IF(AB151*W151&gt;X150,X150,AB151*W151)</f>
        <v>0</v>
      </c>
      <c r="AD151" s="632">
        <f>AC151/X150</f>
        <v>0</v>
      </c>
    </row>
    <row r="152" spans="1:38" ht="15.6" customHeight="1">
      <c r="B152" s="30">
        <v>154</v>
      </c>
      <c r="C152" s="2" t="s">
        <v>0</v>
      </c>
      <c r="D152" s="23" t="s">
        <v>279</v>
      </c>
      <c r="E152" s="655" t="s">
        <v>197</v>
      </c>
      <c r="F152" s="416" t="s">
        <v>228</v>
      </c>
      <c r="G152" s="506" t="str">
        <f t="shared" si="84"/>
        <v>PREVServiço de instalação e configuração de sistema de repetidoras e infraestrutura - 4 antenas</v>
      </c>
      <c r="H152" s="525" t="str">
        <f t="shared" si="85"/>
        <v/>
      </c>
      <c r="I152" s="79"/>
      <c r="J152" s="79">
        <v>0</v>
      </c>
      <c r="K152" s="79">
        <v>0</v>
      </c>
      <c r="L152" s="79">
        <v>0</v>
      </c>
      <c r="M152" s="79">
        <v>0</v>
      </c>
      <c r="N152" s="79">
        <v>0</v>
      </c>
      <c r="O152" s="79">
        <v>0</v>
      </c>
      <c r="P152" s="79">
        <v>0</v>
      </c>
      <c r="Q152" s="79">
        <v>0</v>
      </c>
      <c r="R152" s="79">
        <v>0</v>
      </c>
      <c r="S152" s="79">
        <v>0</v>
      </c>
      <c r="T152" s="79">
        <v>0</v>
      </c>
      <c r="U152" s="79">
        <v>0</v>
      </c>
      <c r="V152" s="80"/>
      <c r="W152" s="80"/>
      <c r="X152" s="28"/>
      <c r="Y152" s="38" t="s">
        <v>74</v>
      </c>
      <c r="Z152" s="528"/>
      <c r="AA152" s="532"/>
      <c r="AB152" s="535"/>
      <c r="AC152" s="533"/>
      <c r="AD152" s="658"/>
    </row>
    <row r="153" spans="1:38" ht="15.6" customHeight="1">
      <c r="A153" s="31"/>
      <c r="B153" s="1">
        <v>155</v>
      </c>
      <c r="C153" s="31" t="s">
        <v>1</v>
      </c>
      <c r="D153" s="32" t="s">
        <v>279</v>
      </c>
      <c r="E153" s="33" t="s">
        <v>197</v>
      </c>
      <c r="F153" s="417" t="s">
        <v>228</v>
      </c>
      <c r="G153" s="506" t="str">
        <f t="shared" si="84"/>
        <v>REALServiço de instalação e configuração de sistema de repetidoras e infraestrutura - 4 antenas</v>
      </c>
      <c r="H153" s="526" t="s">
        <v>74</v>
      </c>
      <c r="I153" s="35">
        <v>0</v>
      </c>
      <c r="J153" s="35">
        <v>0</v>
      </c>
      <c r="K153" s="35">
        <v>0</v>
      </c>
      <c r="L153" s="35">
        <v>0</v>
      </c>
      <c r="M153" s="35">
        <v>0</v>
      </c>
      <c r="N153" s="35">
        <v>0</v>
      </c>
      <c r="O153" s="35">
        <v>0</v>
      </c>
      <c r="P153" s="35"/>
      <c r="Q153" s="35"/>
      <c r="R153" s="35"/>
      <c r="S153" s="35"/>
      <c r="T153" s="35"/>
      <c r="U153" s="35"/>
      <c r="V153" s="36"/>
      <c r="W153" s="81"/>
      <c r="X153" s="37"/>
      <c r="Y153" s="422" t="e">
        <f t="shared" ref="Y153:Y243" si="92">X153/X152</f>
        <v>#DIV/0!</v>
      </c>
      <c r="Z153" s="529">
        <f>X152-AC153</f>
        <v>0</v>
      </c>
      <c r="AA153" s="546"/>
      <c r="AB153" s="535">
        <f>ROUND((AVERAGE(J153:T153)*2),1)</f>
        <v>0</v>
      </c>
      <c r="AC153" s="535">
        <f>IF(AB153*W153&gt;X152,X152,AB153*W153)</f>
        <v>0</v>
      </c>
      <c r="AD153" s="632" t="e">
        <f>AC153/X152</f>
        <v>#DIV/0!</v>
      </c>
    </row>
    <row r="154" spans="1:38" ht="15.6" customHeight="1">
      <c r="B154" s="30">
        <v>156</v>
      </c>
      <c r="C154" s="2" t="s">
        <v>0</v>
      </c>
      <c r="D154" s="23" t="s">
        <v>280</v>
      </c>
      <c r="E154" s="655" t="s">
        <v>198</v>
      </c>
      <c r="F154" s="416" t="s">
        <v>228</v>
      </c>
      <c r="G154" s="506" t="str">
        <f t="shared" si="84"/>
        <v>PREVServiço de instalação e configuração de sistema de repetidoras e infraestrutura - 2 antenas</v>
      </c>
      <c r="H154" s="525" t="str">
        <f t="shared" si="85"/>
        <v/>
      </c>
      <c r="I154" s="79"/>
      <c r="J154" s="79">
        <v>0</v>
      </c>
      <c r="K154" s="79">
        <v>0</v>
      </c>
      <c r="L154" s="79">
        <v>0</v>
      </c>
      <c r="M154" s="79">
        <v>0</v>
      </c>
      <c r="N154" s="79">
        <v>0</v>
      </c>
      <c r="O154" s="79">
        <v>0</v>
      </c>
      <c r="P154" s="79">
        <v>0</v>
      </c>
      <c r="Q154" s="79">
        <v>0</v>
      </c>
      <c r="R154" s="79">
        <v>0</v>
      </c>
      <c r="S154" s="79">
        <v>0</v>
      </c>
      <c r="T154" s="79">
        <v>0</v>
      </c>
      <c r="U154" s="79">
        <v>0</v>
      </c>
      <c r="V154" s="80"/>
      <c r="W154" s="80"/>
      <c r="X154" s="28"/>
      <c r="Y154" s="38" t="s">
        <v>74</v>
      </c>
      <c r="Z154" s="528"/>
      <c r="AA154" s="532"/>
      <c r="AB154" s="535"/>
      <c r="AC154" s="533"/>
      <c r="AD154" s="658"/>
    </row>
    <row r="155" spans="1:38" ht="15.6" customHeight="1">
      <c r="A155" s="31"/>
      <c r="B155" s="1">
        <v>157</v>
      </c>
      <c r="C155" s="31" t="s">
        <v>1</v>
      </c>
      <c r="D155" s="32" t="s">
        <v>280</v>
      </c>
      <c r="E155" s="33" t="s">
        <v>198</v>
      </c>
      <c r="F155" s="417" t="s">
        <v>228</v>
      </c>
      <c r="G155" s="506" t="str">
        <f t="shared" si="84"/>
        <v>REALServiço de instalação e configuração de sistema de repetidoras e infraestrutura - 2 antenas</v>
      </c>
      <c r="H155" s="526" t="s">
        <v>74</v>
      </c>
      <c r="I155" s="35">
        <v>0</v>
      </c>
      <c r="J155" s="35">
        <v>0</v>
      </c>
      <c r="K155" s="35">
        <v>0</v>
      </c>
      <c r="L155" s="35">
        <v>0</v>
      </c>
      <c r="M155" s="35">
        <v>0</v>
      </c>
      <c r="N155" s="35">
        <v>0</v>
      </c>
      <c r="O155" s="35">
        <v>0</v>
      </c>
      <c r="P155" s="35"/>
      <c r="Q155" s="35"/>
      <c r="R155" s="35"/>
      <c r="S155" s="35"/>
      <c r="T155" s="35"/>
      <c r="U155" s="35"/>
      <c r="V155" s="36"/>
      <c r="W155" s="81"/>
      <c r="X155" s="37"/>
      <c r="Y155" s="38" t="e">
        <f t="shared" si="92"/>
        <v>#DIV/0!</v>
      </c>
      <c r="Z155" s="529">
        <f>X154-AC155</f>
        <v>0</v>
      </c>
      <c r="AA155" s="546"/>
      <c r="AB155" s="535">
        <f>ROUND((AVERAGE(J155:T155)*12),1)</f>
        <v>0</v>
      </c>
      <c r="AC155" s="535">
        <f>IF(AB155*W155&gt;X154,X154,AB155*W155)</f>
        <v>0</v>
      </c>
      <c r="AD155" s="632" t="e">
        <f>AC155/X154</f>
        <v>#DIV/0!</v>
      </c>
    </row>
    <row r="156" spans="1:38" s="513" customFormat="1" ht="15.6" customHeight="1">
      <c r="A156" s="71"/>
      <c r="B156" s="30">
        <v>158</v>
      </c>
      <c r="C156" s="2" t="s">
        <v>0</v>
      </c>
      <c r="D156" s="83" t="s">
        <v>21</v>
      </c>
      <c r="E156" s="84" t="s">
        <v>281</v>
      </c>
      <c r="F156" s="85"/>
      <c r="G156" s="85"/>
      <c r="H156" s="85"/>
      <c r="I156" s="86"/>
      <c r="J156" s="86"/>
      <c r="K156" s="86"/>
      <c r="L156" s="86"/>
      <c r="M156" s="86"/>
      <c r="N156" s="86"/>
      <c r="O156" s="86"/>
      <c r="P156" s="86"/>
      <c r="Q156" s="86"/>
      <c r="R156" s="86"/>
      <c r="S156" s="86"/>
      <c r="T156" s="86"/>
      <c r="U156" s="86"/>
      <c r="V156" s="86"/>
      <c r="W156" s="87"/>
      <c r="X156" s="87">
        <f>SUMIF($C157:$C162,$C156,X157:X162)</f>
        <v>685214.99640000006</v>
      </c>
      <c r="Y156" s="70" t="s">
        <v>74</v>
      </c>
      <c r="Z156" s="511"/>
      <c r="AA156" s="545">
        <f>SUM(Z158:Z163)</f>
        <v>0.65140000003157184</v>
      </c>
      <c r="AB156" s="545"/>
      <c r="AC156" s="545"/>
      <c r="AD156" s="634"/>
      <c r="AL156" s="515"/>
    </row>
    <row r="157" spans="1:38" s="513" customFormat="1" ht="15.6" customHeight="1">
      <c r="A157" s="78"/>
      <c r="B157" s="1">
        <v>159</v>
      </c>
      <c r="C157" s="31" t="s">
        <v>1</v>
      </c>
      <c r="D157" s="88" t="s">
        <v>21</v>
      </c>
      <c r="E157" s="89" t="s">
        <v>281</v>
      </c>
      <c r="F157" s="90"/>
      <c r="G157" s="90"/>
      <c r="H157" s="90"/>
      <c r="I157" s="75">
        <f t="shared" ref="I157:U157" si="93">SUMIF($C158:$C163,$C157,I158:I163)</f>
        <v>933.76800000000003</v>
      </c>
      <c r="J157" s="75">
        <f t="shared" si="93"/>
        <v>1167.21</v>
      </c>
      <c r="K157" s="75">
        <f t="shared" si="93"/>
        <v>1167.21</v>
      </c>
      <c r="L157" s="75">
        <f t="shared" si="93"/>
        <v>1167.21</v>
      </c>
      <c r="M157" s="75">
        <f t="shared" si="93"/>
        <v>1167.21</v>
      </c>
      <c r="N157" s="75">
        <f t="shared" si="93"/>
        <v>1167.21</v>
      </c>
      <c r="O157" s="75">
        <f t="shared" si="93"/>
        <v>1167.21</v>
      </c>
      <c r="P157" s="75">
        <f t="shared" si="93"/>
        <v>0</v>
      </c>
      <c r="Q157" s="75">
        <f t="shared" si="93"/>
        <v>0</v>
      </c>
      <c r="R157" s="75">
        <f t="shared" si="93"/>
        <v>0</v>
      </c>
      <c r="S157" s="75">
        <f t="shared" si="93"/>
        <v>0</v>
      </c>
      <c r="T157" s="75">
        <f t="shared" si="93"/>
        <v>0</v>
      </c>
      <c r="U157" s="75">
        <f t="shared" si="93"/>
        <v>0</v>
      </c>
      <c r="V157" s="91">
        <f>SUM(I157:U157)</f>
        <v>7937.0280000000002</v>
      </c>
      <c r="W157" s="92">
        <v>0</v>
      </c>
      <c r="X157" s="77">
        <f>SUMIF($C158:$C163,$C157,X158:X163)</f>
        <v>388288.49796000001</v>
      </c>
      <c r="Y157" s="70">
        <f t="shared" si="92"/>
        <v>0.56666666666666665</v>
      </c>
      <c r="Z157" s="511"/>
      <c r="AA157" s="545"/>
      <c r="AB157" s="545"/>
      <c r="AC157" s="545">
        <f>SUM(AC159:AC163)</f>
        <v>685214.34499999997</v>
      </c>
      <c r="AD157" s="635">
        <f>AC157/X156</f>
        <v>0.99999904934946915</v>
      </c>
      <c r="AL157" s="515"/>
    </row>
    <row r="158" spans="1:38" ht="15.6" customHeight="1">
      <c r="B158" s="30">
        <v>160</v>
      </c>
      <c r="C158" s="2" t="s">
        <v>0</v>
      </c>
      <c r="D158" s="93" t="s">
        <v>282</v>
      </c>
      <c r="E158" s="24" t="s">
        <v>200</v>
      </c>
      <c r="F158" s="416" t="s">
        <v>283</v>
      </c>
      <c r="G158" s="506" t="str">
        <f t="shared" ref="G158:G163" si="94">C158&amp;E158</f>
        <v>PREVImóvel Residencial (B8952)</v>
      </c>
      <c r="H158" s="525" t="str">
        <f t="shared" ref="H158:H163" si="95">Y158</f>
        <v/>
      </c>
      <c r="I158" s="26">
        <v>804.16800000000012</v>
      </c>
      <c r="J158" s="79">
        <v>1005.21</v>
      </c>
      <c r="K158" s="79">
        <v>1005.21</v>
      </c>
      <c r="L158" s="79">
        <v>1005.21</v>
      </c>
      <c r="M158" s="79">
        <v>1005.21</v>
      </c>
      <c r="N158" s="79">
        <v>1005.21</v>
      </c>
      <c r="O158" s="79">
        <v>1005.21</v>
      </c>
      <c r="P158" s="79">
        <v>1005.21</v>
      </c>
      <c r="Q158" s="79">
        <v>1005.21</v>
      </c>
      <c r="R158" s="79">
        <v>1005.21</v>
      </c>
      <c r="S158" s="79">
        <v>1005.21</v>
      </c>
      <c r="T158" s="79">
        <v>1005.21</v>
      </c>
      <c r="U158" s="26">
        <v>201.04200000000003</v>
      </c>
      <c r="V158" s="80">
        <v>12062.52</v>
      </c>
      <c r="W158" s="80">
        <v>32.57</v>
      </c>
      <c r="X158" s="28">
        <f t="shared" ref="X158:X163" si="96">W158*V158</f>
        <v>392876.27640000003</v>
      </c>
      <c r="Y158" s="38" t="s">
        <v>74</v>
      </c>
      <c r="Z158" s="528"/>
      <c r="AA158" s="532"/>
      <c r="AB158" s="535"/>
      <c r="AC158" s="533"/>
      <c r="AD158" s="658"/>
    </row>
    <row r="159" spans="1:38" ht="15.6" customHeight="1">
      <c r="A159" s="31"/>
      <c r="B159" s="1">
        <v>161</v>
      </c>
      <c r="C159" s="31" t="s">
        <v>1</v>
      </c>
      <c r="D159" s="32" t="s">
        <v>282</v>
      </c>
      <c r="E159" s="33" t="s">
        <v>200</v>
      </c>
      <c r="F159" s="417" t="s">
        <v>283</v>
      </c>
      <c r="G159" s="506" t="str">
        <f t="shared" si="94"/>
        <v>REALImóvel Residencial (B8952)</v>
      </c>
      <c r="H159" s="525">
        <f t="shared" si="95"/>
        <v>0.56666666666666665</v>
      </c>
      <c r="I159" s="35">
        <v>804.16800000000012</v>
      </c>
      <c r="J159" s="35">
        <v>1005.21</v>
      </c>
      <c r="K159" s="35">
        <v>1005.21</v>
      </c>
      <c r="L159" s="35">
        <v>1005.21</v>
      </c>
      <c r="M159" s="35">
        <v>1005.21</v>
      </c>
      <c r="N159" s="35">
        <v>1005.21</v>
      </c>
      <c r="O159" s="35">
        <v>1005.21</v>
      </c>
      <c r="P159" s="35"/>
      <c r="Q159" s="35"/>
      <c r="R159" s="35"/>
      <c r="S159" s="35"/>
      <c r="T159" s="35"/>
      <c r="U159" s="35"/>
      <c r="V159" s="36">
        <f t="shared" ref="V159" si="97">SUM(I159:U159)</f>
        <v>6835.4279999999999</v>
      </c>
      <c r="W159" s="81">
        <v>32.57</v>
      </c>
      <c r="X159" s="37">
        <f t="shared" si="96"/>
        <v>222629.88996</v>
      </c>
      <c r="Y159" s="38">
        <f t="shared" si="92"/>
        <v>0.56666666666666665</v>
      </c>
      <c r="Z159" s="529">
        <f>X158-AC159</f>
        <v>0.65140000003157184</v>
      </c>
      <c r="AA159" s="546"/>
      <c r="AB159" s="535">
        <f>ROUND((AVERAGE(J159:T159)*12),1)</f>
        <v>12062.5</v>
      </c>
      <c r="AC159" s="535">
        <f>IF(AB159*W159&gt;X158,X158,AB159*W159)</f>
        <v>392875.625</v>
      </c>
      <c r="AD159" s="632">
        <f>AC159/X158</f>
        <v>0.99999834197166093</v>
      </c>
    </row>
    <row r="160" spans="1:38" ht="15.6" customHeight="1">
      <c r="B160" s="30">
        <v>162</v>
      </c>
      <c r="C160" s="2" t="s">
        <v>0</v>
      </c>
      <c r="D160" s="93" t="s">
        <v>284</v>
      </c>
      <c r="E160" s="24" t="s">
        <v>201</v>
      </c>
      <c r="F160" s="418" t="s">
        <v>265</v>
      </c>
      <c r="G160" s="506" t="str">
        <f t="shared" si="94"/>
        <v>PREVMobiliário para Residência (B8954)</v>
      </c>
      <c r="H160" s="525" t="str">
        <f t="shared" si="95"/>
        <v/>
      </c>
      <c r="I160" s="26">
        <v>64.8</v>
      </c>
      <c r="J160" s="79">
        <v>81</v>
      </c>
      <c r="K160" s="79">
        <v>81</v>
      </c>
      <c r="L160" s="79">
        <v>81</v>
      </c>
      <c r="M160" s="79">
        <v>81</v>
      </c>
      <c r="N160" s="79">
        <v>81</v>
      </c>
      <c r="O160" s="79">
        <v>81</v>
      </c>
      <c r="P160" s="79">
        <v>81</v>
      </c>
      <c r="Q160" s="79">
        <v>81</v>
      </c>
      <c r="R160" s="79">
        <v>81</v>
      </c>
      <c r="S160" s="79">
        <v>81</v>
      </c>
      <c r="T160" s="79">
        <v>81</v>
      </c>
      <c r="U160" s="26">
        <v>16.2</v>
      </c>
      <c r="V160" s="80">
        <v>972</v>
      </c>
      <c r="W160" s="80">
        <v>42.9</v>
      </c>
      <c r="X160" s="28">
        <f t="shared" si="96"/>
        <v>41698.799999999996</v>
      </c>
      <c r="Y160" s="38" t="s">
        <v>74</v>
      </c>
      <c r="Z160" s="528"/>
      <c r="AA160" s="532"/>
      <c r="AB160" s="535"/>
      <c r="AC160" s="533"/>
      <c r="AD160" s="658"/>
    </row>
    <row r="161" spans="1:38" ht="15.6" customHeight="1">
      <c r="A161" s="31"/>
      <c r="B161" s="1">
        <v>163</v>
      </c>
      <c r="C161" s="31" t="s">
        <v>1</v>
      </c>
      <c r="D161" s="32" t="s">
        <v>284</v>
      </c>
      <c r="E161" s="33" t="s">
        <v>201</v>
      </c>
      <c r="F161" s="419" t="s">
        <v>265</v>
      </c>
      <c r="G161" s="506" t="str">
        <f t="shared" si="94"/>
        <v>REALMobiliário para Residência (B8954)</v>
      </c>
      <c r="H161" s="525">
        <f t="shared" si="95"/>
        <v>0.56666666666666665</v>
      </c>
      <c r="I161" s="35">
        <v>64.8</v>
      </c>
      <c r="J161" s="35">
        <v>81</v>
      </c>
      <c r="K161" s="35">
        <v>81</v>
      </c>
      <c r="L161" s="35">
        <v>81</v>
      </c>
      <c r="M161" s="35">
        <v>81</v>
      </c>
      <c r="N161" s="35">
        <v>81</v>
      </c>
      <c r="O161" s="35">
        <v>81</v>
      </c>
      <c r="P161" s="35"/>
      <c r="Q161" s="35"/>
      <c r="R161" s="35"/>
      <c r="S161" s="35"/>
      <c r="T161" s="35"/>
      <c r="U161" s="35"/>
      <c r="V161" s="36">
        <f t="shared" ref="V161" si="98">SUM(I161:U161)</f>
        <v>550.79999999999995</v>
      </c>
      <c r="W161" s="81">
        <v>42.9</v>
      </c>
      <c r="X161" s="37">
        <f t="shared" si="96"/>
        <v>23629.319999999996</v>
      </c>
      <c r="Y161" s="422">
        <f t="shared" si="92"/>
        <v>0.56666666666666665</v>
      </c>
      <c r="Z161" s="529">
        <f>X160-AC161</f>
        <v>0</v>
      </c>
      <c r="AA161" s="546"/>
      <c r="AB161" s="535">
        <f>ROUND((AVERAGE(J161:T161)*12),1)</f>
        <v>972</v>
      </c>
      <c r="AC161" s="535">
        <f>IF(AB161*W161&gt;X160,X160,AB161*W161)</f>
        <v>41698.799999999996</v>
      </c>
      <c r="AD161" s="632">
        <f>AC161/X160</f>
        <v>1</v>
      </c>
    </row>
    <row r="162" spans="1:38" ht="15.6" customHeight="1">
      <c r="B162" s="30">
        <v>164</v>
      </c>
      <c r="C162" s="2" t="s">
        <v>0</v>
      </c>
      <c r="D162" s="93" t="s">
        <v>285</v>
      </c>
      <c r="E162" s="24" t="s">
        <v>204</v>
      </c>
      <c r="F162" s="418" t="s">
        <v>265</v>
      </c>
      <c r="G162" s="506" t="str">
        <f t="shared" si="94"/>
        <v>PREVCustos Diversos - Residência (B8960)</v>
      </c>
      <c r="H162" s="525" t="str">
        <f t="shared" si="95"/>
        <v/>
      </c>
      <c r="I162" s="26">
        <v>64.8</v>
      </c>
      <c r="J162" s="79">
        <v>81</v>
      </c>
      <c r="K162" s="79">
        <v>81</v>
      </c>
      <c r="L162" s="79">
        <v>81</v>
      </c>
      <c r="M162" s="79">
        <v>81</v>
      </c>
      <c r="N162" s="79">
        <v>81</v>
      </c>
      <c r="O162" s="79">
        <v>81</v>
      </c>
      <c r="P162" s="79">
        <v>81</v>
      </c>
      <c r="Q162" s="79">
        <v>81</v>
      </c>
      <c r="R162" s="79">
        <v>81</v>
      </c>
      <c r="S162" s="79">
        <v>81</v>
      </c>
      <c r="T162" s="79">
        <v>81</v>
      </c>
      <c r="U162" s="26">
        <v>16.2</v>
      </c>
      <c r="V162" s="80">
        <v>972</v>
      </c>
      <c r="W162" s="80">
        <v>257.86</v>
      </c>
      <c r="X162" s="28">
        <f t="shared" si="96"/>
        <v>250639.92</v>
      </c>
      <c r="Y162" s="38" t="s">
        <v>74</v>
      </c>
      <c r="Z162" s="528"/>
      <c r="AA162" s="532"/>
      <c r="AB162" s="535"/>
      <c r="AC162" s="533"/>
      <c r="AD162" s="658"/>
    </row>
    <row r="163" spans="1:38" ht="15.6" customHeight="1">
      <c r="A163" s="31"/>
      <c r="B163" s="1">
        <v>165</v>
      </c>
      <c r="C163" s="31" t="s">
        <v>1</v>
      </c>
      <c r="D163" s="32" t="s">
        <v>285</v>
      </c>
      <c r="E163" s="33" t="s">
        <v>204</v>
      </c>
      <c r="F163" s="419" t="s">
        <v>265</v>
      </c>
      <c r="G163" s="506" t="str">
        <f t="shared" si="94"/>
        <v>REALCustos Diversos - Residência (B8960)</v>
      </c>
      <c r="H163" s="525">
        <f t="shared" si="95"/>
        <v>0.56666666666666665</v>
      </c>
      <c r="I163" s="35">
        <v>64.8</v>
      </c>
      <c r="J163" s="35">
        <v>81</v>
      </c>
      <c r="K163" s="35">
        <v>81</v>
      </c>
      <c r="L163" s="35">
        <v>81</v>
      </c>
      <c r="M163" s="35">
        <v>81</v>
      </c>
      <c r="N163" s="35">
        <v>81</v>
      </c>
      <c r="O163" s="35">
        <v>81</v>
      </c>
      <c r="P163" s="35"/>
      <c r="Q163" s="35"/>
      <c r="R163" s="35"/>
      <c r="S163" s="35"/>
      <c r="T163" s="35"/>
      <c r="U163" s="35"/>
      <c r="V163" s="36">
        <f t="shared" ref="V163" si="99">SUM(I163:U163)</f>
        <v>550.79999999999995</v>
      </c>
      <c r="W163" s="81">
        <v>257.86</v>
      </c>
      <c r="X163" s="37">
        <f t="shared" si="96"/>
        <v>142029.288</v>
      </c>
      <c r="Y163" s="422">
        <f t="shared" si="92"/>
        <v>0.56666666666666665</v>
      </c>
      <c r="Z163" s="529">
        <f>X162-AC163</f>
        <v>0</v>
      </c>
      <c r="AA163" s="546"/>
      <c r="AB163" s="535">
        <f>ROUND((AVERAGE(J163:T163)*12),1)</f>
        <v>972</v>
      </c>
      <c r="AC163" s="535">
        <f>IF(AB163*W163&gt;X162,X162,AB163*W163)</f>
        <v>250639.92</v>
      </c>
      <c r="AD163" s="632">
        <f>AC163/X162</f>
        <v>1</v>
      </c>
    </row>
    <row r="164" spans="1:38" s="513" customFormat="1" ht="15.6" customHeight="1">
      <c r="A164" s="71"/>
      <c r="B164" s="30">
        <v>166</v>
      </c>
      <c r="C164" s="2" t="s">
        <v>0</v>
      </c>
      <c r="D164" s="83" t="s">
        <v>22</v>
      </c>
      <c r="E164" s="84" t="s">
        <v>286</v>
      </c>
      <c r="F164" s="85"/>
      <c r="G164" s="85"/>
      <c r="H164" s="85"/>
      <c r="I164" s="86"/>
      <c r="J164" s="86"/>
      <c r="K164" s="86"/>
      <c r="L164" s="86"/>
      <c r="M164" s="86"/>
      <c r="N164" s="86"/>
      <c r="O164" s="86"/>
      <c r="P164" s="86"/>
      <c r="Q164" s="86"/>
      <c r="R164" s="86"/>
      <c r="S164" s="86"/>
      <c r="T164" s="86"/>
      <c r="U164" s="86"/>
      <c r="V164" s="86"/>
      <c r="W164" s="87"/>
      <c r="X164" s="87">
        <f ca="1">SUMIF($C165:$C197,$C164,X165:X168)</f>
        <v>4591811.13</v>
      </c>
      <c r="Y164" s="70" t="s">
        <v>74</v>
      </c>
      <c r="Z164" s="511"/>
      <c r="AA164" s="545">
        <f>SUM(Z166:Z197)</f>
        <v>0</v>
      </c>
      <c r="AB164" s="545"/>
      <c r="AC164" s="545"/>
      <c r="AD164" s="634"/>
      <c r="AL164" s="515"/>
    </row>
    <row r="165" spans="1:38" s="513" customFormat="1" ht="15.6" customHeight="1">
      <c r="A165" s="78"/>
      <c r="B165" s="1">
        <v>167</v>
      </c>
      <c r="C165" s="31" t="s">
        <v>1</v>
      </c>
      <c r="D165" s="88" t="s">
        <v>22</v>
      </c>
      <c r="E165" s="89" t="s">
        <v>286</v>
      </c>
      <c r="F165" s="90"/>
      <c r="G165" s="90"/>
      <c r="H165" s="90"/>
      <c r="I165" s="75">
        <f>SUMIF($C166:$C197,$C165,I166:I197)</f>
        <v>20.800000000000008</v>
      </c>
      <c r="J165" s="75">
        <f t="shared" ref="J165:U165" si="100">SUMIF($C166:$C197,$C165,J166:J197)</f>
        <v>26</v>
      </c>
      <c r="K165" s="75">
        <f t="shared" si="100"/>
        <v>26</v>
      </c>
      <c r="L165" s="75">
        <f t="shared" si="100"/>
        <v>26</v>
      </c>
      <c r="M165" s="75">
        <f t="shared" si="100"/>
        <v>26</v>
      </c>
      <c r="N165" s="75">
        <f t="shared" si="100"/>
        <v>26</v>
      </c>
      <c r="O165" s="75">
        <f t="shared" si="100"/>
        <v>26</v>
      </c>
      <c r="P165" s="75">
        <f t="shared" si="100"/>
        <v>0</v>
      </c>
      <c r="Q165" s="75">
        <f t="shared" si="100"/>
        <v>0</v>
      </c>
      <c r="R165" s="75">
        <f t="shared" si="100"/>
        <v>0</v>
      </c>
      <c r="S165" s="75">
        <f t="shared" si="100"/>
        <v>0</v>
      </c>
      <c r="T165" s="75">
        <f t="shared" si="100"/>
        <v>0</v>
      </c>
      <c r="U165" s="75">
        <f t="shared" si="100"/>
        <v>0</v>
      </c>
      <c r="V165" s="91">
        <f>SUM(I165:U165)</f>
        <v>176.8</v>
      </c>
      <c r="W165" s="92">
        <v>0</v>
      </c>
      <c r="X165" s="77">
        <f>SUMIF($C166:$C197,$C165,X166:X197)</f>
        <v>2717231.3120000004</v>
      </c>
      <c r="Y165" s="70">
        <f t="shared" ca="1" si="92"/>
        <v>0.59175589654533556</v>
      </c>
      <c r="Z165" s="511"/>
      <c r="AA165" s="545"/>
      <c r="AB165" s="545"/>
      <c r="AC165" s="545">
        <f>SUM(AC167:AC197)</f>
        <v>4591811.13</v>
      </c>
      <c r="AD165" s="635">
        <f ca="1">AC165/X164</f>
        <v>1</v>
      </c>
      <c r="AL165" s="515"/>
    </row>
    <row r="166" spans="1:38" ht="15.6" customHeight="1">
      <c r="B166" s="30">
        <v>168</v>
      </c>
      <c r="C166" s="2" t="s">
        <v>0</v>
      </c>
      <c r="D166" s="23" t="s">
        <v>287</v>
      </c>
      <c r="E166" s="24" t="s">
        <v>205</v>
      </c>
      <c r="F166" s="416" t="s">
        <v>247</v>
      </c>
      <c r="G166" s="506" t="str">
        <f t="shared" ref="G166:G197" si="101">C166&amp;E166</f>
        <v>PREVCaminhão carroceria com guindauto com capacidade de 20 t.m - 136 kW</v>
      </c>
      <c r="H166" s="525" t="str">
        <f t="shared" ref="H166:H197" si="102">Y166</f>
        <v/>
      </c>
      <c r="I166" s="26">
        <v>1.6</v>
      </c>
      <c r="J166" s="79">
        <v>2</v>
      </c>
      <c r="K166" s="79">
        <v>2</v>
      </c>
      <c r="L166" s="79">
        <v>2</v>
      </c>
      <c r="M166" s="79">
        <v>2</v>
      </c>
      <c r="N166" s="79">
        <v>2</v>
      </c>
      <c r="O166" s="79">
        <v>2</v>
      </c>
      <c r="P166" s="79">
        <v>2</v>
      </c>
      <c r="Q166" s="79">
        <v>2</v>
      </c>
      <c r="R166" s="79">
        <v>2</v>
      </c>
      <c r="S166" s="79">
        <v>2</v>
      </c>
      <c r="T166" s="79">
        <v>2</v>
      </c>
      <c r="U166" s="26">
        <v>0.4</v>
      </c>
      <c r="V166" s="80">
        <v>24</v>
      </c>
      <c r="W166" s="80">
        <v>16000</v>
      </c>
      <c r="X166" s="28">
        <f t="shared" ref="X166:X197" si="103">W166*V166</f>
        <v>384000</v>
      </c>
      <c r="Y166" s="38" t="s">
        <v>74</v>
      </c>
      <c r="Z166" s="528"/>
      <c r="AA166" s="532"/>
      <c r="AB166" s="535"/>
      <c r="AC166" s="533"/>
      <c r="AD166" s="658"/>
    </row>
    <row r="167" spans="1:38" ht="15.6" customHeight="1">
      <c r="A167" s="31"/>
      <c r="B167" s="1">
        <v>169</v>
      </c>
      <c r="C167" s="31" t="s">
        <v>1</v>
      </c>
      <c r="D167" s="32" t="s">
        <v>287</v>
      </c>
      <c r="E167" s="33" t="s">
        <v>205</v>
      </c>
      <c r="F167" s="417" t="s">
        <v>247</v>
      </c>
      <c r="G167" s="506" t="str">
        <f t="shared" si="101"/>
        <v>REALCaminhão carroceria com guindauto com capacidade de 20 t.m - 136 kW</v>
      </c>
      <c r="H167" s="525">
        <f t="shared" si="102"/>
        <v>0.56666666666666665</v>
      </c>
      <c r="I167" s="35">
        <v>1.6</v>
      </c>
      <c r="J167" s="35">
        <v>2</v>
      </c>
      <c r="K167" s="35">
        <v>2</v>
      </c>
      <c r="L167" s="35">
        <v>2</v>
      </c>
      <c r="M167" s="35">
        <v>2</v>
      </c>
      <c r="N167" s="35">
        <v>2</v>
      </c>
      <c r="O167" s="35">
        <v>2</v>
      </c>
      <c r="P167" s="35"/>
      <c r="Q167" s="35"/>
      <c r="R167" s="35"/>
      <c r="S167" s="35"/>
      <c r="T167" s="35"/>
      <c r="U167" s="35"/>
      <c r="V167" s="36">
        <f t="shared" ref="V167" si="104">SUM(I167:U167)</f>
        <v>13.6</v>
      </c>
      <c r="W167" s="81">
        <v>16000</v>
      </c>
      <c r="X167" s="37">
        <f t="shared" si="103"/>
        <v>217600</v>
      </c>
      <c r="Y167" s="38">
        <f t="shared" si="92"/>
        <v>0.56666666666666665</v>
      </c>
      <c r="Z167" s="529">
        <f>X166-AC167</f>
        <v>0</v>
      </c>
      <c r="AA167" s="546"/>
      <c r="AB167" s="535">
        <f>ROUND((AVERAGE(J167:T167)*12),1)</f>
        <v>24</v>
      </c>
      <c r="AC167" s="535">
        <f>IF(AB167*W167&gt;X166,X166,AB167*W167)</f>
        <v>384000</v>
      </c>
      <c r="AD167" s="632">
        <f>AC167/X166</f>
        <v>1</v>
      </c>
    </row>
    <row r="168" spans="1:38" ht="15.6" customHeight="1">
      <c r="B168" s="30">
        <v>170</v>
      </c>
      <c r="C168" s="2" t="s">
        <v>0</v>
      </c>
      <c r="D168" s="23" t="s">
        <v>288</v>
      </c>
      <c r="E168" s="24" t="s">
        <v>208</v>
      </c>
      <c r="F168" s="416" t="s">
        <v>247</v>
      </c>
      <c r="G168" s="506" t="str">
        <f t="shared" si="101"/>
        <v>PREVCaminhão carroceria com guindauto e cesto aéreo com capacidade de 10 t.m - 136 kW</v>
      </c>
      <c r="H168" s="525" t="str">
        <f t="shared" si="102"/>
        <v/>
      </c>
      <c r="I168" s="26">
        <v>1.6</v>
      </c>
      <c r="J168" s="79">
        <v>2</v>
      </c>
      <c r="K168" s="79">
        <v>2</v>
      </c>
      <c r="L168" s="79">
        <v>2</v>
      </c>
      <c r="M168" s="79">
        <v>2</v>
      </c>
      <c r="N168" s="79">
        <v>2</v>
      </c>
      <c r="O168" s="79">
        <v>2</v>
      </c>
      <c r="P168" s="79">
        <v>2</v>
      </c>
      <c r="Q168" s="79">
        <v>2</v>
      </c>
      <c r="R168" s="79">
        <v>2</v>
      </c>
      <c r="S168" s="79">
        <v>2</v>
      </c>
      <c r="T168" s="79">
        <v>2</v>
      </c>
      <c r="U168" s="26">
        <v>0.4</v>
      </c>
      <c r="V168" s="80">
        <v>24</v>
      </c>
      <c r="W168" s="80">
        <v>18000</v>
      </c>
      <c r="X168" s="28">
        <f t="shared" si="103"/>
        <v>432000</v>
      </c>
      <c r="Y168" s="38" t="s">
        <v>74</v>
      </c>
      <c r="Z168" s="528"/>
      <c r="AA168" s="532"/>
      <c r="AB168" s="535"/>
      <c r="AC168" s="533"/>
      <c r="AD168" s="658"/>
    </row>
    <row r="169" spans="1:38" ht="15.6" customHeight="1">
      <c r="A169" s="31"/>
      <c r="B169" s="1">
        <v>171</v>
      </c>
      <c r="C169" s="31" t="s">
        <v>1</v>
      </c>
      <c r="D169" s="32" t="s">
        <v>288</v>
      </c>
      <c r="E169" s="33" t="s">
        <v>208</v>
      </c>
      <c r="F169" s="417" t="s">
        <v>247</v>
      </c>
      <c r="G169" s="506" t="str">
        <f t="shared" si="101"/>
        <v>REALCaminhão carroceria com guindauto e cesto aéreo com capacidade de 10 t.m - 136 kW</v>
      </c>
      <c r="H169" s="525">
        <f t="shared" si="102"/>
        <v>0.56666666666666665</v>
      </c>
      <c r="I169" s="35">
        <v>1.6</v>
      </c>
      <c r="J169" s="35">
        <v>2</v>
      </c>
      <c r="K169" s="35">
        <v>2</v>
      </c>
      <c r="L169" s="35">
        <v>2</v>
      </c>
      <c r="M169" s="35">
        <v>2</v>
      </c>
      <c r="N169" s="35">
        <v>2</v>
      </c>
      <c r="O169" s="35">
        <v>2</v>
      </c>
      <c r="P169" s="35"/>
      <c r="Q169" s="35"/>
      <c r="R169" s="35"/>
      <c r="S169" s="35"/>
      <c r="T169" s="35"/>
      <c r="U169" s="35"/>
      <c r="V169" s="36">
        <f t="shared" ref="V169" si="105">SUM(I169:U169)</f>
        <v>13.6</v>
      </c>
      <c r="W169" s="81">
        <v>18000</v>
      </c>
      <c r="X169" s="37">
        <f t="shared" si="103"/>
        <v>244800</v>
      </c>
      <c r="Y169" s="38">
        <f t="shared" si="92"/>
        <v>0.56666666666666665</v>
      </c>
      <c r="Z169" s="529">
        <f>X168-AC169</f>
        <v>0</v>
      </c>
      <c r="AA169" s="546"/>
      <c r="AB169" s="535">
        <f>ROUND((AVERAGE(J169:T169)*12),1)</f>
        <v>24</v>
      </c>
      <c r="AC169" s="535">
        <f>IF(AB169*W169&gt;X168,X168,AB169*W169)</f>
        <v>432000</v>
      </c>
      <c r="AD169" s="632">
        <f>AC169/X168</f>
        <v>1</v>
      </c>
    </row>
    <row r="170" spans="1:38" ht="15.6" customHeight="1">
      <c r="B170" s="30">
        <v>172</v>
      </c>
      <c r="C170" s="2" t="s">
        <v>0</v>
      </c>
      <c r="D170" s="23" t="s">
        <v>289</v>
      </c>
      <c r="E170" s="24" t="s">
        <v>209</v>
      </c>
      <c r="F170" s="416" t="s">
        <v>247</v>
      </c>
      <c r="G170" s="506" t="str">
        <f t="shared" si="101"/>
        <v>PREVCaminhão carroceria com capacidade de 15 t - 188 kW -c/Cabine auxiliar (horas produtivas)</v>
      </c>
      <c r="H170" s="525" t="str">
        <f t="shared" si="102"/>
        <v/>
      </c>
      <c r="I170" s="26">
        <v>2.4000000000000004</v>
      </c>
      <c r="J170" s="79">
        <v>3</v>
      </c>
      <c r="K170" s="79">
        <v>3</v>
      </c>
      <c r="L170" s="79">
        <v>3</v>
      </c>
      <c r="M170" s="79">
        <v>3</v>
      </c>
      <c r="N170" s="79">
        <v>3</v>
      </c>
      <c r="O170" s="79">
        <v>3</v>
      </c>
      <c r="P170" s="79">
        <v>3</v>
      </c>
      <c r="Q170" s="79">
        <v>3</v>
      </c>
      <c r="R170" s="79">
        <v>3</v>
      </c>
      <c r="S170" s="79">
        <v>3</v>
      </c>
      <c r="T170" s="79">
        <v>3</v>
      </c>
      <c r="U170" s="26">
        <f>T170*0.2</f>
        <v>0.60000000000000009</v>
      </c>
      <c r="V170" s="80">
        <f t="shared" ref="V170:V197" si="106">SUM(I170:U170)</f>
        <v>36</v>
      </c>
      <c r="W170" s="80">
        <v>25722.329999999998</v>
      </c>
      <c r="X170" s="28">
        <f t="shared" si="103"/>
        <v>926003.87999999989</v>
      </c>
      <c r="Y170" s="38" t="s">
        <v>74</v>
      </c>
      <c r="Z170" s="528"/>
      <c r="AA170" s="532"/>
      <c r="AB170" s="535"/>
      <c r="AC170" s="533"/>
      <c r="AD170" s="658"/>
    </row>
    <row r="171" spans="1:38" ht="15.6" customHeight="1">
      <c r="A171" s="31"/>
      <c r="B171" s="1">
        <v>173</v>
      </c>
      <c r="C171" s="31" t="s">
        <v>1</v>
      </c>
      <c r="D171" s="32" t="s">
        <v>289</v>
      </c>
      <c r="E171" s="33" t="s">
        <v>209</v>
      </c>
      <c r="F171" s="417" t="s">
        <v>247</v>
      </c>
      <c r="G171" s="506" t="str">
        <f t="shared" si="101"/>
        <v>REALCaminhão carroceria com capacidade de 15 t - 188 kW -c/Cabine auxiliar (horas produtivas)</v>
      </c>
      <c r="H171" s="525">
        <f t="shared" si="102"/>
        <v>0.56666666666666665</v>
      </c>
      <c r="I171" s="35">
        <v>2.4000000000000004</v>
      </c>
      <c r="J171" s="35">
        <v>3</v>
      </c>
      <c r="K171" s="35">
        <v>3</v>
      </c>
      <c r="L171" s="35">
        <v>3</v>
      </c>
      <c r="M171" s="35">
        <v>3</v>
      </c>
      <c r="N171" s="35">
        <v>3</v>
      </c>
      <c r="O171" s="35">
        <v>3</v>
      </c>
      <c r="P171" s="35"/>
      <c r="Q171" s="35"/>
      <c r="R171" s="35"/>
      <c r="S171" s="35"/>
      <c r="T171" s="35"/>
      <c r="U171" s="35"/>
      <c r="V171" s="36">
        <f t="shared" si="106"/>
        <v>20.399999999999999</v>
      </c>
      <c r="W171" s="81">
        <v>25722.329999999998</v>
      </c>
      <c r="X171" s="37">
        <f t="shared" si="103"/>
        <v>524735.53199999989</v>
      </c>
      <c r="Y171" s="38">
        <f t="shared" ref="Y171" si="107">X171/X170</f>
        <v>0.56666666666666665</v>
      </c>
      <c r="Z171" s="529">
        <f>X170-AC171</f>
        <v>0</v>
      </c>
      <c r="AA171" s="546"/>
      <c r="AB171" s="535">
        <f>ROUND((AVERAGE(J171:T171)*12),1)</f>
        <v>36</v>
      </c>
      <c r="AC171" s="535">
        <f>IF(AB171*W171&gt;X170,X170,AB171*W171)</f>
        <v>926003.87999999989</v>
      </c>
      <c r="AD171" s="632">
        <f>AC171/X170</f>
        <v>1</v>
      </c>
    </row>
    <row r="172" spans="1:38" ht="15.6" customHeight="1">
      <c r="B172" s="30">
        <v>174</v>
      </c>
      <c r="C172" s="2" t="s">
        <v>0</v>
      </c>
      <c r="D172" s="23" t="s">
        <v>290</v>
      </c>
      <c r="E172" s="24" t="s">
        <v>212</v>
      </c>
      <c r="F172" s="416" t="s">
        <v>247</v>
      </c>
      <c r="G172" s="506" t="str">
        <f t="shared" si="101"/>
        <v>PREVCaminhão carroceria com capacidade de 15 t - 188 kW -c/Cabine auxiliar (horas improdutivas)</v>
      </c>
      <c r="H172" s="525" t="str">
        <f t="shared" si="102"/>
        <v/>
      </c>
      <c r="I172" s="26">
        <v>2.4000000000000004</v>
      </c>
      <c r="J172" s="79">
        <v>3</v>
      </c>
      <c r="K172" s="79">
        <v>3</v>
      </c>
      <c r="L172" s="79">
        <v>3</v>
      </c>
      <c r="M172" s="79">
        <v>3</v>
      </c>
      <c r="N172" s="79">
        <v>3</v>
      </c>
      <c r="O172" s="79">
        <v>3</v>
      </c>
      <c r="P172" s="79">
        <v>3</v>
      </c>
      <c r="Q172" s="79">
        <v>3</v>
      </c>
      <c r="R172" s="79">
        <v>3</v>
      </c>
      <c r="S172" s="79">
        <v>3</v>
      </c>
      <c r="T172" s="79">
        <v>3</v>
      </c>
      <c r="U172" s="26">
        <f>T172*0.2</f>
        <v>0.60000000000000009</v>
      </c>
      <c r="V172" s="80">
        <f t="shared" si="106"/>
        <v>36</v>
      </c>
      <c r="W172" s="80">
        <v>3492.36</v>
      </c>
      <c r="X172" s="28">
        <f t="shared" si="103"/>
        <v>125724.96</v>
      </c>
      <c r="Y172" s="38" t="s">
        <v>74</v>
      </c>
      <c r="Z172" s="528"/>
      <c r="AA172" s="532"/>
      <c r="AB172" s="535"/>
      <c r="AC172" s="533"/>
      <c r="AD172" s="658"/>
    </row>
    <row r="173" spans="1:38" ht="15.6" customHeight="1">
      <c r="A173" s="31"/>
      <c r="B173" s="1">
        <v>175</v>
      </c>
      <c r="C173" s="31" t="s">
        <v>1</v>
      </c>
      <c r="D173" s="32" t="s">
        <v>290</v>
      </c>
      <c r="E173" s="33" t="s">
        <v>212</v>
      </c>
      <c r="F173" s="417" t="s">
        <v>247</v>
      </c>
      <c r="G173" s="506" t="str">
        <f t="shared" si="101"/>
        <v>REALCaminhão carroceria com capacidade de 15 t - 188 kW -c/Cabine auxiliar (horas improdutivas)</v>
      </c>
      <c r="H173" s="525">
        <f t="shared" si="102"/>
        <v>0.56666666666666665</v>
      </c>
      <c r="I173" s="35">
        <v>2.4000000000000004</v>
      </c>
      <c r="J173" s="35">
        <v>3</v>
      </c>
      <c r="K173" s="35">
        <v>3</v>
      </c>
      <c r="L173" s="35">
        <v>3</v>
      </c>
      <c r="M173" s="35">
        <v>3</v>
      </c>
      <c r="N173" s="35">
        <v>3</v>
      </c>
      <c r="O173" s="35">
        <v>3</v>
      </c>
      <c r="P173" s="35"/>
      <c r="Q173" s="35"/>
      <c r="R173" s="35"/>
      <c r="S173" s="35"/>
      <c r="T173" s="35"/>
      <c r="U173" s="35"/>
      <c r="V173" s="36">
        <f t="shared" si="106"/>
        <v>20.399999999999999</v>
      </c>
      <c r="W173" s="81">
        <v>3492.36</v>
      </c>
      <c r="X173" s="37">
        <f t="shared" si="103"/>
        <v>71244.144</v>
      </c>
      <c r="Y173" s="38">
        <f t="shared" ref="Y173" si="108">X173/X172</f>
        <v>0.56666666666666665</v>
      </c>
      <c r="Z173" s="529">
        <f>X172-AC173</f>
        <v>0</v>
      </c>
      <c r="AA173" s="546"/>
      <c r="AB173" s="535">
        <f>ROUND((AVERAGE(J173:T173)*12),1)</f>
        <v>36</v>
      </c>
      <c r="AC173" s="535">
        <f>IF(AB173*W173&gt;X172,X172,AB173*W173)</f>
        <v>125724.96</v>
      </c>
      <c r="AD173" s="632">
        <f>AC173/X172</f>
        <v>1</v>
      </c>
    </row>
    <row r="174" spans="1:38" ht="15.6" customHeight="1">
      <c r="B174" s="30">
        <v>176</v>
      </c>
      <c r="C174" s="2" t="s">
        <v>0</v>
      </c>
      <c r="D174" s="23" t="s">
        <v>291</v>
      </c>
      <c r="E174" s="655" t="s">
        <v>213</v>
      </c>
      <c r="F174" s="416" t="s">
        <v>247</v>
      </c>
      <c r="G174" s="506" t="str">
        <f t="shared" si="101"/>
        <v>PREVCavalo mecânico com semirreboque com capacidade de 22 t - 240 kW (horas produtivas)</v>
      </c>
      <c r="H174" s="525" t="str">
        <f t="shared" si="102"/>
        <v/>
      </c>
      <c r="I174" s="26">
        <v>0.8</v>
      </c>
      <c r="J174" s="79">
        <v>1</v>
      </c>
      <c r="K174" s="79">
        <v>2</v>
      </c>
      <c r="L174" s="79">
        <v>2</v>
      </c>
      <c r="M174" s="79">
        <v>2</v>
      </c>
      <c r="N174" s="79">
        <v>2</v>
      </c>
      <c r="O174" s="79">
        <v>2</v>
      </c>
      <c r="P174" s="79">
        <v>2</v>
      </c>
      <c r="Q174" s="79">
        <v>2</v>
      </c>
      <c r="R174" s="79">
        <v>2</v>
      </c>
      <c r="S174" s="79">
        <v>2</v>
      </c>
      <c r="T174" s="79">
        <v>1</v>
      </c>
      <c r="U174" s="26">
        <f>T174*0.2</f>
        <v>0.2</v>
      </c>
      <c r="V174" s="80">
        <f t="shared" si="106"/>
        <v>21</v>
      </c>
      <c r="W174" s="411">
        <v>29519.120000000003</v>
      </c>
      <c r="X174" s="470">
        <f t="shared" si="103"/>
        <v>619901.52</v>
      </c>
      <c r="Y174" s="38" t="s">
        <v>74</v>
      </c>
      <c r="Z174" s="528"/>
      <c r="AA174" s="532"/>
      <c r="AB174" s="535"/>
      <c r="AC174" s="533"/>
      <c r="AD174" s="658"/>
    </row>
    <row r="175" spans="1:38" ht="15.6" customHeight="1">
      <c r="A175" s="31"/>
      <c r="B175" s="1">
        <v>177</v>
      </c>
      <c r="C175" s="31" t="s">
        <v>1</v>
      </c>
      <c r="D175" s="32" t="s">
        <v>291</v>
      </c>
      <c r="E175" s="33" t="s">
        <v>213</v>
      </c>
      <c r="F175" s="417" t="s">
        <v>247</v>
      </c>
      <c r="G175" s="506" t="str">
        <f t="shared" si="101"/>
        <v>REALCavalo mecânico com semirreboque com capacidade de 22 t - 240 kW (horas produtivas)</v>
      </c>
      <c r="H175" s="525">
        <f t="shared" si="102"/>
        <v>0.64761904761904765</v>
      </c>
      <c r="I175" s="35">
        <v>1.6</v>
      </c>
      <c r="J175" s="35">
        <v>2</v>
      </c>
      <c r="K175" s="35">
        <v>2</v>
      </c>
      <c r="L175" s="35">
        <v>2</v>
      </c>
      <c r="M175" s="35">
        <v>2</v>
      </c>
      <c r="N175" s="35">
        <v>2</v>
      </c>
      <c r="O175" s="35">
        <v>2</v>
      </c>
      <c r="P175" s="35"/>
      <c r="Q175" s="35"/>
      <c r="R175" s="35"/>
      <c r="S175" s="35"/>
      <c r="T175" s="35"/>
      <c r="U175" s="35"/>
      <c r="V175" s="36">
        <f t="shared" si="106"/>
        <v>13.6</v>
      </c>
      <c r="W175" s="81">
        <v>29519.120000000003</v>
      </c>
      <c r="X175" s="37">
        <f t="shared" si="103"/>
        <v>401460.03200000001</v>
      </c>
      <c r="Y175" s="38">
        <f t="shared" ref="Y175" si="109">X175/X174</f>
        <v>0.64761904761904765</v>
      </c>
      <c r="Z175" s="529">
        <f>X174-AC175</f>
        <v>0</v>
      </c>
      <c r="AA175" s="546"/>
      <c r="AB175" s="535">
        <f>ROUND((AVERAGE(J175:T175)*12),1)</f>
        <v>24</v>
      </c>
      <c r="AC175" s="535">
        <f>IF(AB175*W175&gt;X174,X174,AB175*W175)</f>
        <v>619901.52</v>
      </c>
      <c r="AD175" s="632">
        <f>AC175/X174</f>
        <v>1</v>
      </c>
    </row>
    <row r="176" spans="1:38" ht="15.6" customHeight="1">
      <c r="B176" s="30">
        <v>178</v>
      </c>
      <c r="C176" s="2" t="s">
        <v>0</v>
      </c>
      <c r="D176" s="23" t="s">
        <v>292</v>
      </c>
      <c r="E176" s="655" t="s">
        <v>214</v>
      </c>
      <c r="F176" s="416" t="s">
        <v>247</v>
      </c>
      <c r="G176" s="506" t="str">
        <f t="shared" si="101"/>
        <v>PREVCavalo mecânico com semirreboque com capacidade de 22 t - 240 kW (horas improdutivas)</v>
      </c>
      <c r="H176" s="525" t="str">
        <f t="shared" si="102"/>
        <v/>
      </c>
      <c r="I176" s="26">
        <v>0.8</v>
      </c>
      <c r="J176" s="79">
        <v>1</v>
      </c>
      <c r="K176" s="79">
        <v>2</v>
      </c>
      <c r="L176" s="79">
        <v>2</v>
      </c>
      <c r="M176" s="79">
        <v>2</v>
      </c>
      <c r="N176" s="79">
        <v>2</v>
      </c>
      <c r="O176" s="79">
        <v>2</v>
      </c>
      <c r="P176" s="79">
        <v>2</v>
      </c>
      <c r="Q176" s="79">
        <v>2</v>
      </c>
      <c r="R176" s="79">
        <v>2</v>
      </c>
      <c r="S176" s="79">
        <v>2</v>
      </c>
      <c r="T176" s="79">
        <v>1</v>
      </c>
      <c r="U176" s="26">
        <f>T176*0.2</f>
        <v>0.2</v>
      </c>
      <c r="V176" s="80">
        <f t="shared" si="106"/>
        <v>21</v>
      </c>
      <c r="W176" s="411">
        <v>6709.71</v>
      </c>
      <c r="X176" s="470">
        <f t="shared" si="103"/>
        <v>140903.91</v>
      </c>
      <c r="Y176" s="38" t="s">
        <v>74</v>
      </c>
      <c r="Z176" s="528"/>
      <c r="AA176" s="532"/>
      <c r="AB176" s="535"/>
      <c r="AC176" s="533"/>
      <c r="AD176" s="658"/>
    </row>
    <row r="177" spans="1:30" ht="15.6" customHeight="1">
      <c r="A177" s="31"/>
      <c r="B177" s="1">
        <v>179</v>
      </c>
      <c r="C177" s="31" t="s">
        <v>1</v>
      </c>
      <c r="D177" s="32" t="s">
        <v>292</v>
      </c>
      <c r="E177" s="33" t="s">
        <v>214</v>
      </c>
      <c r="F177" s="417" t="s">
        <v>247</v>
      </c>
      <c r="G177" s="506" t="str">
        <f t="shared" si="101"/>
        <v>REALCavalo mecânico com semirreboque com capacidade de 22 t - 240 kW (horas improdutivas)</v>
      </c>
      <c r="H177" s="525">
        <f t="shared" si="102"/>
        <v>0.64761904761904754</v>
      </c>
      <c r="I177" s="35">
        <v>1.6</v>
      </c>
      <c r="J177" s="35">
        <v>2</v>
      </c>
      <c r="K177" s="35">
        <v>2</v>
      </c>
      <c r="L177" s="35">
        <v>2</v>
      </c>
      <c r="M177" s="35">
        <v>2</v>
      </c>
      <c r="N177" s="35">
        <v>2</v>
      </c>
      <c r="O177" s="35">
        <v>2</v>
      </c>
      <c r="P177" s="35"/>
      <c r="Q177" s="35"/>
      <c r="R177" s="35"/>
      <c r="S177" s="35"/>
      <c r="T177" s="35"/>
      <c r="U177" s="35"/>
      <c r="V177" s="36">
        <f t="shared" si="106"/>
        <v>13.6</v>
      </c>
      <c r="W177" s="81">
        <v>6709.71</v>
      </c>
      <c r="X177" s="37">
        <f t="shared" si="103"/>
        <v>91252.055999999997</v>
      </c>
      <c r="Y177" s="38">
        <f t="shared" ref="Y177" si="110">X177/X176</f>
        <v>0.64761904761904754</v>
      </c>
      <c r="Z177" s="529">
        <f>X176-AC177</f>
        <v>0</v>
      </c>
      <c r="AA177" s="546"/>
      <c r="AB177" s="535">
        <f>ROUND((AVERAGE(J177:T177)*12),1)</f>
        <v>24</v>
      </c>
      <c r="AC177" s="535">
        <f>IF(AB177*W177&gt;X176,X176,AB177*W177)</f>
        <v>140903.91</v>
      </c>
      <c r="AD177" s="632">
        <f>AC177/X176</f>
        <v>1</v>
      </c>
    </row>
    <row r="178" spans="1:30" ht="15.6" customHeight="1">
      <c r="B178" s="30">
        <v>180</v>
      </c>
      <c r="C178" s="2" t="s">
        <v>0</v>
      </c>
      <c r="D178" s="23" t="s">
        <v>293</v>
      </c>
      <c r="E178" s="24" t="s">
        <v>216</v>
      </c>
      <c r="F178" s="416" t="s">
        <v>247</v>
      </c>
      <c r="G178" s="506" t="str">
        <f t="shared" si="101"/>
        <v>PREVCaminhão tanque com capacidade de 10.000 l - 188 kW (horas produtivas)</v>
      </c>
      <c r="H178" s="525" t="str">
        <f t="shared" si="102"/>
        <v/>
      </c>
      <c r="I178" s="26">
        <v>0.8</v>
      </c>
      <c r="J178" s="79">
        <v>1</v>
      </c>
      <c r="K178" s="79">
        <v>1</v>
      </c>
      <c r="L178" s="79">
        <v>1</v>
      </c>
      <c r="M178" s="79">
        <v>1</v>
      </c>
      <c r="N178" s="79">
        <v>1</v>
      </c>
      <c r="O178" s="79">
        <v>1</v>
      </c>
      <c r="P178" s="79">
        <v>1</v>
      </c>
      <c r="Q178" s="79">
        <v>1</v>
      </c>
      <c r="R178" s="79">
        <v>1</v>
      </c>
      <c r="S178" s="79">
        <v>1</v>
      </c>
      <c r="T178" s="79">
        <v>1</v>
      </c>
      <c r="U178" s="26">
        <f>T178*0.2</f>
        <v>0.2</v>
      </c>
      <c r="V178" s="80">
        <f t="shared" si="106"/>
        <v>12</v>
      </c>
      <c r="W178" s="80">
        <v>26575.439999999999</v>
      </c>
      <c r="X178" s="28">
        <f t="shared" si="103"/>
        <v>318905.27999999997</v>
      </c>
      <c r="Y178" s="38" t="s">
        <v>74</v>
      </c>
      <c r="Z178" s="528"/>
      <c r="AA178" s="532"/>
      <c r="AB178" s="535"/>
      <c r="AC178" s="533"/>
      <c r="AD178" s="658"/>
    </row>
    <row r="179" spans="1:30" ht="15.6" customHeight="1">
      <c r="A179" s="31"/>
      <c r="B179" s="1">
        <v>181</v>
      </c>
      <c r="C179" s="31" t="s">
        <v>1</v>
      </c>
      <c r="D179" s="32" t="s">
        <v>293</v>
      </c>
      <c r="E179" s="33" t="s">
        <v>216</v>
      </c>
      <c r="F179" s="417" t="s">
        <v>247</v>
      </c>
      <c r="G179" s="506" t="str">
        <f t="shared" si="101"/>
        <v>REALCaminhão tanque com capacidade de 10.000 l - 188 kW (horas produtivas)</v>
      </c>
      <c r="H179" s="525">
        <f t="shared" si="102"/>
        <v>0.56666666666666676</v>
      </c>
      <c r="I179" s="35">
        <v>0.8</v>
      </c>
      <c r="J179" s="35">
        <v>1</v>
      </c>
      <c r="K179" s="35">
        <v>1</v>
      </c>
      <c r="L179" s="35">
        <v>1</v>
      </c>
      <c r="M179" s="35">
        <v>1</v>
      </c>
      <c r="N179" s="35">
        <v>1</v>
      </c>
      <c r="O179" s="35">
        <v>1</v>
      </c>
      <c r="P179" s="35"/>
      <c r="Q179" s="35"/>
      <c r="R179" s="35"/>
      <c r="S179" s="35"/>
      <c r="T179" s="35"/>
      <c r="U179" s="35"/>
      <c r="V179" s="36">
        <f t="shared" si="106"/>
        <v>6.8</v>
      </c>
      <c r="W179" s="81">
        <v>26575.439999999999</v>
      </c>
      <c r="X179" s="37">
        <f t="shared" si="103"/>
        <v>180712.992</v>
      </c>
      <c r="Y179" s="38">
        <f t="shared" ref="Y179" si="111">X179/X178</f>
        <v>0.56666666666666676</v>
      </c>
      <c r="Z179" s="529">
        <f>X178-AC179</f>
        <v>0</v>
      </c>
      <c r="AA179" s="546"/>
      <c r="AB179" s="535">
        <f>ROUND((AVERAGE(J179:T179)*12),1)</f>
        <v>12</v>
      </c>
      <c r="AC179" s="535">
        <f>IF(AB179*W179&gt;X178,X178,AB179*W179)</f>
        <v>318905.27999999997</v>
      </c>
      <c r="AD179" s="632">
        <f>AC179/X178</f>
        <v>1</v>
      </c>
    </row>
    <row r="180" spans="1:30" ht="15.6" customHeight="1">
      <c r="B180" s="30">
        <v>182</v>
      </c>
      <c r="C180" s="2" t="s">
        <v>0</v>
      </c>
      <c r="D180" s="23" t="s">
        <v>294</v>
      </c>
      <c r="E180" s="24" t="s">
        <v>217</v>
      </c>
      <c r="F180" s="416" t="s">
        <v>247</v>
      </c>
      <c r="G180" s="506" t="str">
        <f t="shared" si="101"/>
        <v>PREVCaminhão tanque com capacidade de 10.000 l - 188 kW (horas improdutivas)</v>
      </c>
      <c r="H180" s="525" t="str">
        <f t="shared" si="102"/>
        <v/>
      </c>
      <c r="I180" s="26">
        <v>0.8</v>
      </c>
      <c r="J180" s="79">
        <v>1</v>
      </c>
      <c r="K180" s="79">
        <v>1</v>
      </c>
      <c r="L180" s="79">
        <v>1</v>
      </c>
      <c r="M180" s="79">
        <v>1</v>
      </c>
      <c r="N180" s="79">
        <v>1</v>
      </c>
      <c r="O180" s="79">
        <v>1</v>
      </c>
      <c r="P180" s="79">
        <v>1</v>
      </c>
      <c r="Q180" s="79">
        <v>1</v>
      </c>
      <c r="R180" s="79">
        <v>1</v>
      </c>
      <c r="S180" s="79">
        <v>1</v>
      </c>
      <c r="T180" s="79">
        <v>1</v>
      </c>
      <c r="U180" s="26">
        <f>T180*0.2</f>
        <v>0.2</v>
      </c>
      <c r="V180" s="80">
        <f t="shared" si="106"/>
        <v>12</v>
      </c>
      <c r="W180" s="80">
        <v>5167.72</v>
      </c>
      <c r="X180" s="28">
        <f t="shared" si="103"/>
        <v>62012.639999999999</v>
      </c>
      <c r="Y180" s="38" t="s">
        <v>74</v>
      </c>
      <c r="Z180" s="528"/>
      <c r="AA180" s="532"/>
      <c r="AB180" s="535"/>
      <c r="AC180" s="533"/>
      <c r="AD180" s="658"/>
    </row>
    <row r="181" spans="1:30" ht="15.6" customHeight="1">
      <c r="A181" s="31"/>
      <c r="B181" s="1">
        <v>183</v>
      </c>
      <c r="C181" s="31" t="s">
        <v>1</v>
      </c>
      <c r="D181" s="32" t="s">
        <v>294</v>
      </c>
      <c r="E181" s="33" t="s">
        <v>217</v>
      </c>
      <c r="F181" s="417" t="s">
        <v>247</v>
      </c>
      <c r="G181" s="506" t="str">
        <f t="shared" si="101"/>
        <v>REALCaminhão tanque com capacidade de 10.000 l - 188 kW (horas improdutivas)</v>
      </c>
      <c r="H181" s="525">
        <f t="shared" si="102"/>
        <v>0.56666666666666665</v>
      </c>
      <c r="I181" s="35">
        <v>0.8</v>
      </c>
      <c r="J181" s="35">
        <v>1</v>
      </c>
      <c r="K181" s="35">
        <v>1</v>
      </c>
      <c r="L181" s="35">
        <v>1</v>
      </c>
      <c r="M181" s="35">
        <v>1</v>
      </c>
      <c r="N181" s="35">
        <v>1</v>
      </c>
      <c r="O181" s="35">
        <v>1</v>
      </c>
      <c r="P181" s="35"/>
      <c r="Q181" s="35"/>
      <c r="R181" s="35"/>
      <c r="S181" s="35"/>
      <c r="T181" s="35"/>
      <c r="U181" s="35"/>
      <c r="V181" s="36">
        <f t="shared" si="106"/>
        <v>6.8</v>
      </c>
      <c r="W181" s="81">
        <v>5167.72</v>
      </c>
      <c r="X181" s="37">
        <f t="shared" si="103"/>
        <v>35140.495999999999</v>
      </c>
      <c r="Y181" s="38">
        <f t="shared" ref="Y181" si="112">X181/X180</f>
        <v>0.56666666666666665</v>
      </c>
      <c r="Z181" s="529">
        <f>X180-AC181</f>
        <v>0</v>
      </c>
      <c r="AA181" s="546"/>
      <c r="AB181" s="535">
        <f>ROUND((AVERAGE(J181:T181)*12),1)</f>
        <v>12</v>
      </c>
      <c r="AC181" s="535">
        <f>IF(AB181*W181&gt;X180,X180,AB181*W181)</f>
        <v>62012.639999999999</v>
      </c>
      <c r="AD181" s="632">
        <f>AC181/X180</f>
        <v>1</v>
      </c>
    </row>
    <row r="182" spans="1:30" ht="15.6" customHeight="1">
      <c r="B182" s="30">
        <v>184</v>
      </c>
      <c r="C182" s="2" t="s">
        <v>0</v>
      </c>
      <c r="D182" s="23" t="s">
        <v>295</v>
      </c>
      <c r="E182" s="24" t="s">
        <v>219</v>
      </c>
      <c r="F182" s="416" t="s">
        <v>247</v>
      </c>
      <c r="G182" s="506" t="str">
        <f t="shared" si="101"/>
        <v>PREVCaminhão basculante com capacidade de 10 m³ - 188 kW (horas produtivas)</v>
      </c>
      <c r="H182" s="525" t="str">
        <f t="shared" si="102"/>
        <v/>
      </c>
      <c r="I182" s="26">
        <v>0.8</v>
      </c>
      <c r="J182" s="79">
        <v>1</v>
      </c>
      <c r="K182" s="79">
        <v>1</v>
      </c>
      <c r="L182" s="79">
        <v>1</v>
      </c>
      <c r="M182" s="79">
        <v>1</v>
      </c>
      <c r="N182" s="79">
        <v>1</v>
      </c>
      <c r="O182" s="79">
        <v>1</v>
      </c>
      <c r="P182" s="79">
        <v>1</v>
      </c>
      <c r="Q182" s="79">
        <v>1</v>
      </c>
      <c r="R182" s="79">
        <v>1</v>
      </c>
      <c r="S182" s="79">
        <v>1</v>
      </c>
      <c r="T182" s="79">
        <v>1</v>
      </c>
      <c r="U182" s="26">
        <f>T182*0.2</f>
        <v>0.2</v>
      </c>
      <c r="V182" s="80">
        <f t="shared" si="106"/>
        <v>12</v>
      </c>
      <c r="W182" s="80">
        <v>26125.96</v>
      </c>
      <c r="X182" s="28">
        <f t="shared" si="103"/>
        <v>313511.52</v>
      </c>
      <c r="Y182" s="38" t="s">
        <v>74</v>
      </c>
      <c r="Z182" s="528"/>
      <c r="AA182" s="532"/>
      <c r="AB182" s="535"/>
      <c r="AC182" s="533"/>
      <c r="AD182" s="658"/>
    </row>
    <row r="183" spans="1:30" ht="15.6" customHeight="1">
      <c r="A183" s="31"/>
      <c r="B183" s="1">
        <v>185</v>
      </c>
      <c r="C183" s="31" t="s">
        <v>1</v>
      </c>
      <c r="D183" s="32" t="s">
        <v>295</v>
      </c>
      <c r="E183" s="33" t="s">
        <v>219</v>
      </c>
      <c r="F183" s="417" t="s">
        <v>247</v>
      </c>
      <c r="G183" s="506" t="str">
        <f t="shared" si="101"/>
        <v>REALCaminhão basculante com capacidade de 10 m³ - 188 kW (horas produtivas)</v>
      </c>
      <c r="H183" s="525">
        <f t="shared" si="102"/>
        <v>0.56666666666666665</v>
      </c>
      <c r="I183" s="35">
        <v>0.8</v>
      </c>
      <c r="J183" s="35">
        <v>1</v>
      </c>
      <c r="K183" s="35">
        <v>1</v>
      </c>
      <c r="L183" s="35">
        <v>1</v>
      </c>
      <c r="M183" s="35">
        <v>1</v>
      </c>
      <c r="N183" s="35">
        <v>1</v>
      </c>
      <c r="O183" s="35">
        <v>1</v>
      </c>
      <c r="P183" s="35"/>
      <c r="Q183" s="35"/>
      <c r="R183" s="35"/>
      <c r="S183" s="35"/>
      <c r="T183" s="35"/>
      <c r="U183" s="35"/>
      <c r="V183" s="36">
        <f t="shared" si="106"/>
        <v>6.8</v>
      </c>
      <c r="W183" s="81">
        <v>26125.96</v>
      </c>
      <c r="X183" s="37">
        <f t="shared" si="103"/>
        <v>177656.52799999999</v>
      </c>
      <c r="Y183" s="38">
        <f t="shared" ref="Y183" si="113">X183/X182</f>
        <v>0.56666666666666665</v>
      </c>
      <c r="Z183" s="529">
        <f>X182-AC183</f>
        <v>0</v>
      </c>
      <c r="AA183" s="546"/>
      <c r="AB183" s="535">
        <f>ROUND((AVERAGE(J183:T183)*12),1)</f>
        <v>12</v>
      </c>
      <c r="AC183" s="535">
        <f>IF(AB183*W183&gt;X182,X182,AB183*W183)</f>
        <v>313511.52</v>
      </c>
      <c r="AD183" s="632">
        <f>AC183/X182</f>
        <v>1</v>
      </c>
    </row>
    <row r="184" spans="1:30" ht="15.6" customHeight="1">
      <c r="B184" s="30">
        <v>186</v>
      </c>
      <c r="C184" s="2" t="s">
        <v>0</v>
      </c>
      <c r="D184" s="23" t="s">
        <v>296</v>
      </c>
      <c r="E184" s="24" t="s">
        <v>220</v>
      </c>
      <c r="F184" s="416" t="s">
        <v>247</v>
      </c>
      <c r="G184" s="506" t="str">
        <f t="shared" si="101"/>
        <v>PREVCaminhão basculante com capacidade de 10 m³ - 188 kW (horas improdutivas)</v>
      </c>
      <c r="H184" s="525" t="str">
        <f t="shared" si="102"/>
        <v/>
      </c>
      <c r="I184" s="26">
        <v>0.8</v>
      </c>
      <c r="J184" s="79">
        <v>1</v>
      </c>
      <c r="K184" s="79">
        <v>1</v>
      </c>
      <c r="L184" s="79">
        <v>1</v>
      </c>
      <c r="M184" s="79">
        <v>1</v>
      </c>
      <c r="N184" s="79">
        <v>1</v>
      </c>
      <c r="O184" s="79">
        <v>1</v>
      </c>
      <c r="P184" s="79">
        <v>1</v>
      </c>
      <c r="Q184" s="79">
        <v>1</v>
      </c>
      <c r="R184" s="79">
        <v>1</v>
      </c>
      <c r="S184" s="79">
        <v>1</v>
      </c>
      <c r="T184" s="79">
        <v>1</v>
      </c>
      <c r="U184" s="26">
        <f>T184*0.2</f>
        <v>0.2</v>
      </c>
      <c r="V184" s="80">
        <f t="shared" si="106"/>
        <v>12</v>
      </c>
      <c r="W184" s="80">
        <v>3581.64</v>
      </c>
      <c r="X184" s="28">
        <f t="shared" si="103"/>
        <v>42979.68</v>
      </c>
      <c r="Y184" s="38" t="s">
        <v>74</v>
      </c>
      <c r="Z184" s="528"/>
      <c r="AA184" s="532"/>
      <c r="AB184" s="535"/>
      <c r="AC184" s="533"/>
      <c r="AD184" s="658"/>
    </row>
    <row r="185" spans="1:30" ht="15.6" customHeight="1">
      <c r="A185" s="31"/>
      <c r="B185" s="1">
        <v>187</v>
      </c>
      <c r="C185" s="31" t="s">
        <v>1</v>
      </c>
      <c r="D185" s="32" t="s">
        <v>296</v>
      </c>
      <c r="E185" s="33" t="s">
        <v>220</v>
      </c>
      <c r="F185" s="417" t="s">
        <v>247</v>
      </c>
      <c r="G185" s="506" t="str">
        <f t="shared" si="101"/>
        <v>REALCaminhão basculante com capacidade de 10 m³ - 188 kW (horas improdutivas)</v>
      </c>
      <c r="H185" s="525">
        <f t="shared" si="102"/>
        <v>0.56666666666666665</v>
      </c>
      <c r="I185" s="35">
        <v>0.8</v>
      </c>
      <c r="J185" s="35">
        <v>1</v>
      </c>
      <c r="K185" s="35">
        <v>1</v>
      </c>
      <c r="L185" s="35">
        <v>1</v>
      </c>
      <c r="M185" s="35">
        <v>1</v>
      </c>
      <c r="N185" s="35">
        <v>1</v>
      </c>
      <c r="O185" s="35">
        <v>1</v>
      </c>
      <c r="P185" s="35"/>
      <c r="Q185" s="35"/>
      <c r="R185" s="35"/>
      <c r="S185" s="35"/>
      <c r="T185" s="35"/>
      <c r="U185" s="35"/>
      <c r="V185" s="36">
        <f t="shared" si="106"/>
        <v>6.8</v>
      </c>
      <c r="W185" s="81">
        <v>3581.64</v>
      </c>
      <c r="X185" s="37">
        <f t="shared" si="103"/>
        <v>24355.151999999998</v>
      </c>
      <c r="Y185" s="38">
        <f t="shared" ref="Y185" si="114">X185/X184</f>
        <v>0.56666666666666665</v>
      </c>
      <c r="Z185" s="529">
        <f>X184-AC185</f>
        <v>0</v>
      </c>
      <c r="AA185" s="546"/>
      <c r="AB185" s="535">
        <f>ROUND((AVERAGE(J185:T185)*12),1)</f>
        <v>12</v>
      </c>
      <c r="AC185" s="535">
        <f>IF(AB185*W185&gt;X184,X184,AB185*W185)</f>
        <v>42979.68</v>
      </c>
      <c r="AD185" s="632">
        <f>AC185/X184</f>
        <v>1</v>
      </c>
    </row>
    <row r="186" spans="1:30" ht="15.6" customHeight="1">
      <c r="B186" s="30">
        <v>188</v>
      </c>
      <c r="C186" s="2" t="s">
        <v>0</v>
      </c>
      <c r="D186" s="23" t="s">
        <v>297</v>
      </c>
      <c r="E186" s="24" t="s">
        <v>222</v>
      </c>
      <c r="F186" s="416" t="s">
        <v>247</v>
      </c>
      <c r="G186" s="506" t="str">
        <f t="shared" si="101"/>
        <v>PREVMotoniveladora - 93 kW (horas produtivas)</v>
      </c>
      <c r="H186" s="525" t="str">
        <f t="shared" si="102"/>
        <v/>
      </c>
      <c r="I186" s="26">
        <v>0.8</v>
      </c>
      <c r="J186" s="79">
        <v>1</v>
      </c>
      <c r="K186" s="79">
        <v>1</v>
      </c>
      <c r="L186" s="79">
        <v>1</v>
      </c>
      <c r="M186" s="79">
        <v>1</v>
      </c>
      <c r="N186" s="79">
        <v>1</v>
      </c>
      <c r="O186" s="79">
        <v>1</v>
      </c>
      <c r="P186" s="79">
        <v>1</v>
      </c>
      <c r="Q186" s="79">
        <v>1</v>
      </c>
      <c r="R186" s="79">
        <v>1</v>
      </c>
      <c r="S186" s="79">
        <v>1</v>
      </c>
      <c r="T186" s="79">
        <v>1</v>
      </c>
      <c r="U186" s="26">
        <f>T186*0.2</f>
        <v>0.2</v>
      </c>
      <c r="V186" s="80">
        <f t="shared" si="106"/>
        <v>12</v>
      </c>
      <c r="W186" s="80">
        <v>25344.67</v>
      </c>
      <c r="X186" s="28">
        <f t="shared" si="103"/>
        <v>304136.03999999998</v>
      </c>
      <c r="Y186" s="38" t="s">
        <v>74</v>
      </c>
      <c r="Z186" s="528"/>
      <c r="AA186" s="532"/>
      <c r="AB186" s="535"/>
      <c r="AC186" s="533"/>
      <c r="AD186" s="658"/>
    </row>
    <row r="187" spans="1:30" ht="15.6" customHeight="1">
      <c r="A187" s="31"/>
      <c r="B187" s="1">
        <v>189</v>
      </c>
      <c r="C187" s="31" t="s">
        <v>1</v>
      </c>
      <c r="D187" s="32" t="s">
        <v>297</v>
      </c>
      <c r="E187" s="33" t="s">
        <v>222</v>
      </c>
      <c r="F187" s="417" t="s">
        <v>247</v>
      </c>
      <c r="G187" s="506" t="str">
        <f t="shared" si="101"/>
        <v>REALMotoniveladora - 93 kW (horas produtivas)</v>
      </c>
      <c r="H187" s="525">
        <f t="shared" si="102"/>
        <v>0.56666666666666665</v>
      </c>
      <c r="I187" s="35">
        <v>0.8</v>
      </c>
      <c r="J187" s="35">
        <v>1</v>
      </c>
      <c r="K187" s="35">
        <v>1</v>
      </c>
      <c r="L187" s="35">
        <v>1</v>
      </c>
      <c r="M187" s="35">
        <v>1</v>
      </c>
      <c r="N187" s="35">
        <v>1</v>
      </c>
      <c r="O187" s="35">
        <v>1</v>
      </c>
      <c r="P187" s="35"/>
      <c r="Q187" s="35"/>
      <c r="R187" s="35"/>
      <c r="S187" s="35"/>
      <c r="T187" s="35"/>
      <c r="U187" s="35"/>
      <c r="V187" s="36">
        <f t="shared" si="106"/>
        <v>6.8</v>
      </c>
      <c r="W187" s="81">
        <v>25344.67</v>
      </c>
      <c r="X187" s="37">
        <f t="shared" si="103"/>
        <v>172343.75599999999</v>
      </c>
      <c r="Y187" s="38">
        <f t="shared" ref="Y187" si="115">X187/X186</f>
        <v>0.56666666666666665</v>
      </c>
      <c r="Z187" s="529">
        <f>X186-AC187</f>
        <v>0</v>
      </c>
      <c r="AA187" s="546"/>
      <c r="AB187" s="535">
        <f>ROUND((AVERAGE(J187:T187)*12),1)</f>
        <v>12</v>
      </c>
      <c r="AC187" s="535">
        <f>IF(AB187*W187&gt;X186,X186,AB187*W187)</f>
        <v>304136.03999999998</v>
      </c>
      <c r="AD187" s="632">
        <f>AC187/X186</f>
        <v>1</v>
      </c>
    </row>
    <row r="188" spans="1:30" ht="15.6" customHeight="1">
      <c r="B188" s="30">
        <v>190</v>
      </c>
      <c r="C188" s="2" t="s">
        <v>0</v>
      </c>
      <c r="D188" s="23" t="s">
        <v>298</v>
      </c>
      <c r="E188" s="24" t="s">
        <v>223</v>
      </c>
      <c r="F188" s="416" t="s">
        <v>247</v>
      </c>
      <c r="G188" s="506" t="str">
        <f t="shared" si="101"/>
        <v>PREVMotoniveladora - 93 kW (horas improdutivas)</v>
      </c>
      <c r="H188" s="525" t="str">
        <f t="shared" si="102"/>
        <v/>
      </c>
      <c r="I188" s="26">
        <v>0.8</v>
      </c>
      <c r="J188" s="79">
        <v>1</v>
      </c>
      <c r="K188" s="79">
        <v>1</v>
      </c>
      <c r="L188" s="79">
        <v>1</v>
      </c>
      <c r="M188" s="79">
        <v>1</v>
      </c>
      <c r="N188" s="79">
        <v>1</v>
      </c>
      <c r="O188" s="79">
        <v>1</v>
      </c>
      <c r="P188" s="79">
        <v>1</v>
      </c>
      <c r="Q188" s="79">
        <v>1</v>
      </c>
      <c r="R188" s="79">
        <v>1</v>
      </c>
      <c r="S188" s="79">
        <v>1</v>
      </c>
      <c r="T188" s="79">
        <v>1</v>
      </c>
      <c r="U188" s="26">
        <f>T188*0.2</f>
        <v>0.2</v>
      </c>
      <c r="V188" s="80">
        <f t="shared" si="106"/>
        <v>12</v>
      </c>
      <c r="W188" s="80">
        <v>4869.67</v>
      </c>
      <c r="X188" s="28">
        <f t="shared" si="103"/>
        <v>58436.04</v>
      </c>
      <c r="Y188" s="38" t="s">
        <v>74</v>
      </c>
      <c r="Z188" s="528"/>
      <c r="AA188" s="532"/>
      <c r="AB188" s="535"/>
      <c r="AC188" s="533"/>
      <c r="AD188" s="658"/>
    </row>
    <row r="189" spans="1:30" ht="15.6" customHeight="1">
      <c r="A189" s="31"/>
      <c r="B189" s="1">
        <v>191</v>
      </c>
      <c r="C189" s="31" t="s">
        <v>1</v>
      </c>
      <c r="D189" s="32" t="s">
        <v>298</v>
      </c>
      <c r="E189" s="33" t="s">
        <v>223</v>
      </c>
      <c r="F189" s="417" t="s">
        <v>247</v>
      </c>
      <c r="G189" s="506" t="str">
        <f t="shared" si="101"/>
        <v>REALMotoniveladora - 93 kW (horas improdutivas)</v>
      </c>
      <c r="H189" s="525">
        <f t="shared" si="102"/>
        <v>0.56666666666666665</v>
      </c>
      <c r="I189" s="35">
        <v>0.8</v>
      </c>
      <c r="J189" s="35">
        <v>1</v>
      </c>
      <c r="K189" s="35">
        <v>1</v>
      </c>
      <c r="L189" s="35">
        <v>1</v>
      </c>
      <c r="M189" s="35">
        <v>1</v>
      </c>
      <c r="N189" s="35">
        <v>1</v>
      </c>
      <c r="O189" s="35">
        <v>1</v>
      </c>
      <c r="P189" s="35"/>
      <c r="Q189" s="35"/>
      <c r="R189" s="35"/>
      <c r="S189" s="35"/>
      <c r="T189" s="35"/>
      <c r="U189" s="35"/>
      <c r="V189" s="36">
        <f t="shared" si="106"/>
        <v>6.8</v>
      </c>
      <c r="W189" s="81">
        <v>4869.67</v>
      </c>
      <c r="X189" s="37">
        <f t="shared" si="103"/>
        <v>33113.756000000001</v>
      </c>
      <c r="Y189" s="38">
        <f t="shared" ref="Y189" si="116">X189/X188</f>
        <v>0.56666666666666665</v>
      </c>
      <c r="Z189" s="529">
        <f>X188-AC189</f>
        <v>0</v>
      </c>
      <c r="AA189" s="546"/>
      <c r="AB189" s="535">
        <f>ROUND((AVERAGE(J189:T189)*12),1)</f>
        <v>12</v>
      </c>
      <c r="AC189" s="535">
        <f>IF(AB189*W189&gt;X188,X188,AB189*W189)</f>
        <v>58436.04</v>
      </c>
      <c r="AD189" s="632">
        <f>AC189/X188</f>
        <v>1</v>
      </c>
    </row>
    <row r="190" spans="1:30" ht="15.6" customHeight="1">
      <c r="B190" s="30">
        <v>192</v>
      </c>
      <c r="C190" s="2" t="s">
        <v>0</v>
      </c>
      <c r="D190" s="23" t="s">
        <v>299</v>
      </c>
      <c r="E190" s="24" t="s">
        <v>225</v>
      </c>
      <c r="F190" s="416" t="s">
        <v>247</v>
      </c>
      <c r="G190" s="506" t="str">
        <f t="shared" ref="G190:G193" si="117">C190&amp;E190</f>
        <v>PREVRetroescavadeira de pneus com capacidade de 0,76 m³ - 58 kW (horas produtivas)</v>
      </c>
      <c r="H190" s="525" t="str">
        <f t="shared" ref="H190:H193" si="118">Y190</f>
        <v/>
      </c>
      <c r="I190" s="26">
        <v>0.8</v>
      </c>
      <c r="J190" s="79">
        <v>1</v>
      </c>
      <c r="K190" s="79">
        <v>1</v>
      </c>
      <c r="L190" s="79">
        <v>1</v>
      </c>
      <c r="M190" s="79">
        <v>1</v>
      </c>
      <c r="N190" s="79">
        <v>1</v>
      </c>
      <c r="O190" s="79">
        <v>1</v>
      </c>
      <c r="P190" s="79">
        <v>1</v>
      </c>
      <c r="Q190" s="79">
        <v>1</v>
      </c>
      <c r="R190" s="79">
        <v>1</v>
      </c>
      <c r="S190" s="79">
        <v>1</v>
      </c>
      <c r="T190" s="79">
        <v>1</v>
      </c>
      <c r="U190" s="26">
        <f>T190*0.2</f>
        <v>0.2</v>
      </c>
      <c r="V190" s="80">
        <f t="shared" ref="V190:V193" si="119">SUM(I190:U190)</f>
        <v>12</v>
      </c>
      <c r="W190" s="80">
        <v>13618.720000000001</v>
      </c>
      <c r="X190" s="28">
        <f t="shared" ref="X190:X193" si="120">W190*V190</f>
        <v>163424.64000000001</v>
      </c>
      <c r="Y190" s="38" t="s">
        <v>74</v>
      </c>
      <c r="Z190" s="528"/>
      <c r="AA190" s="532"/>
      <c r="AB190" s="535"/>
      <c r="AC190" s="533"/>
      <c r="AD190" s="658"/>
    </row>
    <row r="191" spans="1:30" ht="15.6" customHeight="1">
      <c r="A191" s="31"/>
      <c r="B191" s="1">
        <v>193</v>
      </c>
      <c r="C191" s="31" t="s">
        <v>1</v>
      </c>
      <c r="D191" s="32" t="s">
        <v>299</v>
      </c>
      <c r="E191" s="33" t="s">
        <v>225</v>
      </c>
      <c r="F191" s="417" t="s">
        <v>247</v>
      </c>
      <c r="G191" s="506" t="str">
        <f t="shared" si="117"/>
        <v>REALRetroescavadeira de pneus com capacidade de 0,76 m³ - 58 kW (horas produtivas)</v>
      </c>
      <c r="H191" s="525">
        <f t="shared" si="118"/>
        <v>0.56666666666666665</v>
      </c>
      <c r="I191" s="35">
        <v>0.8</v>
      </c>
      <c r="J191" s="35">
        <v>1</v>
      </c>
      <c r="K191" s="35">
        <v>1</v>
      </c>
      <c r="L191" s="35">
        <v>1</v>
      </c>
      <c r="M191" s="35">
        <v>1</v>
      </c>
      <c r="N191" s="35">
        <v>1</v>
      </c>
      <c r="O191" s="35">
        <v>1</v>
      </c>
      <c r="P191" s="35"/>
      <c r="Q191" s="35"/>
      <c r="R191" s="35"/>
      <c r="S191" s="35"/>
      <c r="T191" s="35"/>
      <c r="U191" s="35"/>
      <c r="V191" s="36">
        <f t="shared" si="119"/>
        <v>6.8</v>
      </c>
      <c r="W191" s="81">
        <v>13618.720000000001</v>
      </c>
      <c r="X191" s="37">
        <f t="shared" si="120"/>
        <v>92607.296000000002</v>
      </c>
      <c r="Y191" s="38">
        <f t="shared" ref="Y191" si="121">X191/X190</f>
        <v>0.56666666666666665</v>
      </c>
      <c r="Z191" s="529">
        <f>X190-AC191</f>
        <v>0</v>
      </c>
      <c r="AA191" s="546"/>
      <c r="AB191" s="535">
        <f>ROUND((AVERAGE(J191:T191)*12),1)</f>
        <v>12</v>
      </c>
      <c r="AC191" s="535">
        <f>IF(AB191*W191&gt;X190,X190,AB191*W191)</f>
        <v>163424.64000000001</v>
      </c>
      <c r="AD191" s="632">
        <f>AC191/X190</f>
        <v>1</v>
      </c>
    </row>
    <row r="192" spans="1:30" ht="15.6" customHeight="1">
      <c r="B192" s="30">
        <v>194</v>
      </c>
      <c r="C192" s="2" t="s">
        <v>0</v>
      </c>
      <c r="D192" s="23" t="s">
        <v>300</v>
      </c>
      <c r="E192" s="24" t="s">
        <v>226</v>
      </c>
      <c r="F192" s="416" t="s">
        <v>247</v>
      </c>
      <c r="G192" s="506" t="str">
        <f t="shared" si="117"/>
        <v>PREVRetroescavadeira de pneus com capacidade de 0,76 m³ - 58 kW (horas improdutivas)</v>
      </c>
      <c r="H192" s="525" t="str">
        <f t="shared" si="118"/>
        <v/>
      </c>
      <c r="I192" s="26">
        <v>0.8</v>
      </c>
      <c r="J192" s="79">
        <v>1</v>
      </c>
      <c r="K192" s="79">
        <v>1</v>
      </c>
      <c r="L192" s="79">
        <v>1</v>
      </c>
      <c r="M192" s="79">
        <v>1</v>
      </c>
      <c r="N192" s="79">
        <v>1</v>
      </c>
      <c r="O192" s="79">
        <v>1</v>
      </c>
      <c r="P192" s="79">
        <v>1</v>
      </c>
      <c r="Q192" s="79">
        <v>1</v>
      </c>
      <c r="R192" s="79">
        <v>1</v>
      </c>
      <c r="S192" s="79">
        <v>1</v>
      </c>
      <c r="T192" s="79">
        <v>1</v>
      </c>
      <c r="U192" s="26">
        <f>T192*0.2</f>
        <v>0.2</v>
      </c>
      <c r="V192" s="80">
        <f t="shared" si="119"/>
        <v>12</v>
      </c>
      <c r="W192" s="80">
        <v>3129.65</v>
      </c>
      <c r="X192" s="28">
        <f t="shared" si="120"/>
        <v>37555.800000000003</v>
      </c>
      <c r="Y192" s="38" t="s">
        <v>74</v>
      </c>
      <c r="Z192" s="528"/>
      <c r="AA192" s="532"/>
      <c r="AB192" s="535"/>
      <c r="AC192" s="533"/>
      <c r="AD192" s="658"/>
    </row>
    <row r="193" spans="1:38" ht="15.6" customHeight="1">
      <c r="A193" s="31"/>
      <c r="B193" s="1">
        <v>195</v>
      </c>
      <c r="C193" s="31" t="s">
        <v>1</v>
      </c>
      <c r="D193" s="32" t="s">
        <v>300</v>
      </c>
      <c r="E193" s="33" t="s">
        <v>226</v>
      </c>
      <c r="F193" s="417" t="s">
        <v>247</v>
      </c>
      <c r="G193" s="506" t="str">
        <f t="shared" si="117"/>
        <v>REALRetroescavadeira de pneus com capacidade de 0,76 m³ - 58 kW (horas improdutivas)</v>
      </c>
      <c r="H193" s="525">
        <f t="shared" si="118"/>
        <v>0.56666666666666654</v>
      </c>
      <c r="I193" s="35">
        <v>0.8</v>
      </c>
      <c r="J193" s="35">
        <v>1</v>
      </c>
      <c r="K193" s="35">
        <v>1</v>
      </c>
      <c r="L193" s="35">
        <v>1</v>
      </c>
      <c r="M193" s="35">
        <v>1</v>
      </c>
      <c r="N193" s="35">
        <v>1</v>
      </c>
      <c r="O193" s="35">
        <v>1</v>
      </c>
      <c r="P193" s="35"/>
      <c r="Q193" s="35"/>
      <c r="R193" s="35"/>
      <c r="S193" s="35"/>
      <c r="T193" s="35"/>
      <c r="U193" s="35"/>
      <c r="V193" s="36">
        <f t="shared" si="119"/>
        <v>6.8</v>
      </c>
      <c r="W193" s="81">
        <v>3129.65</v>
      </c>
      <c r="X193" s="37">
        <f t="shared" si="120"/>
        <v>21281.62</v>
      </c>
      <c r="Y193" s="38">
        <f t="shared" ref="Y193" si="122">X193/X192</f>
        <v>0.56666666666666654</v>
      </c>
      <c r="Z193" s="529">
        <f>X192-AC193</f>
        <v>0</v>
      </c>
      <c r="AA193" s="546"/>
      <c r="AB193" s="535">
        <f>ROUND((AVERAGE(J193:T193)*12),1)</f>
        <v>12</v>
      </c>
      <c r="AC193" s="535">
        <f>IF(AB193*W193&gt;X192,X192,AB193*W193)</f>
        <v>37555.800000000003</v>
      </c>
      <c r="AD193" s="632">
        <f>AC193/X192</f>
        <v>1</v>
      </c>
    </row>
    <row r="194" spans="1:38" ht="15.6" customHeight="1">
      <c r="B194" s="30">
        <v>192</v>
      </c>
      <c r="C194" s="2" t="s">
        <v>0</v>
      </c>
      <c r="D194" s="652" t="s">
        <v>301</v>
      </c>
      <c r="E194" s="655" t="s">
        <v>302</v>
      </c>
      <c r="F194" s="416" t="s">
        <v>247</v>
      </c>
      <c r="G194" s="506" t="str">
        <f t="shared" si="101"/>
        <v>PREVTrator sobre esteiras com lâmina - 127 kW (Horas produtivas)</v>
      </c>
      <c r="H194" s="525" t="str">
        <f t="shared" si="102"/>
        <v/>
      </c>
      <c r="I194" s="26">
        <v>0.8</v>
      </c>
      <c r="J194" s="79">
        <v>1</v>
      </c>
      <c r="K194" s="79">
        <v>2</v>
      </c>
      <c r="L194" s="79">
        <v>2</v>
      </c>
      <c r="M194" s="79">
        <v>2</v>
      </c>
      <c r="N194" s="79">
        <v>2</v>
      </c>
      <c r="O194" s="79">
        <v>2</v>
      </c>
      <c r="P194" s="79">
        <v>2</v>
      </c>
      <c r="Q194" s="79">
        <v>2</v>
      </c>
      <c r="R194" s="79">
        <v>2</v>
      </c>
      <c r="S194" s="79">
        <v>2</v>
      </c>
      <c r="T194" s="79">
        <v>1</v>
      </c>
      <c r="U194" s="26">
        <v>0.2</v>
      </c>
      <c r="V194" s="80">
        <f t="shared" si="106"/>
        <v>21</v>
      </c>
      <c r="W194" s="411">
        <v>26879.829999999998</v>
      </c>
      <c r="X194" s="470">
        <v>564476.42999999993</v>
      </c>
      <c r="Y194" s="38" t="s">
        <v>74</v>
      </c>
      <c r="Z194" s="528"/>
      <c r="AA194" s="532"/>
      <c r="AB194" s="535"/>
      <c r="AC194" s="533"/>
      <c r="AD194" s="658"/>
    </row>
    <row r="195" spans="1:38" ht="15.6" customHeight="1">
      <c r="A195" s="31"/>
      <c r="B195" s="1">
        <v>193</v>
      </c>
      <c r="C195" s="31" t="s">
        <v>1</v>
      </c>
      <c r="D195" s="32" t="s">
        <v>301</v>
      </c>
      <c r="E195" s="33" t="s">
        <v>302</v>
      </c>
      <c r="F195" s="417" t="s">
        <v>247</v>
      </c>
      <c r="G195" s="506" t="str">
        <f t="shared" si="101"/>
        <v>REALTrator sobre esteiras com lâmina - 127 kW (Horas produtivas)</v>
      </c>
      <c r="H195" s="525">
        <f t="shared" si="102"/>
        <v>0.64761904761904765</v>
      </c>
      <c r="I195" s="35">
        <v>1.6</v>
      </c>
      <c r="J195" s="35">
        <v>2</v>
      </c>
      <c r="K195" s="35">
        <v>2</v>
      </c>
      <c r="L195" s="35">
        <v>2</v>
      </c>
      <c r="M195" s="35">
        <v>2</v>
      </c>
      <c r="N195" s="35">
        <v>2</v>
      </c>
      <c r="O195" s="35">
        <v>2</v>
      </c>
      <c r="P195" s="35"/>
      <c r="Q195" s="35"/>
      <c r="R195" s="35"/>
      <c r="S195" s="35"/>
      <c r="T195" s="35"/>
      <c r="U195" s="35"/>
      <c r="V195" s="36">
        <f t="shared" si="106"/>
        <v>13.6</v>
      </c>
      <c r="W195" s="81">
        <v>26879.829999999998</v>
      </c>
      <c r="X195" s="37">
        <f t="shared" si="103"/>
        <v>365565.68799999997</v>
      </c>
      <c r="Y195" s="38">
        <f t="shared" ref="Y195" si="123">X195/X194</f>
        <v>0.64761904761904765</v>
      </c>
      <c r="Z195" s="529">
        <f>X194-AC195</f>
        <v>0</v>
      </c>
      <c r="AA195" s="546"/>
      <c r="AB195" s="535">
        <f>ROUND((AVERAGE(J195:T195)*12),1)</f>
        <v>24</v>
      </c>
      <c r="AC195" s="535">
        <f>IF(AB195*W195&gt;X194,X194,AB195*W195)</f>
        <v>564476.42999999993</v>
      </c>
      <c r="AD195" s="632">
        <f>AC195/X194</f>
        <v>1</v>
      </c>
    </row>
    <row r="196" spans="1:38" ht="15.6" customHeight="1">
      <c r="B196" s="30">
        <v>194</v>
      </c>
      <c r="C196" s="2" t="s">
        <v>0</v>
      </c>
      <c r="D196" s="652" t="s">
        <v>303</v>
      </c>
      <c r="E196" s="655" t="s">
        <v>304</v>
      </c>
      <c r="F196" s="416" t="s">
        <v>247</v>
      </c>
      <c r="G196" s="506" t="str">
        <f t="shared" si="101"/>
        <v>PREVTrator sobre esteiras com lâmina - 127 kW (Horas improdutivas)</v>
      </c>
      <c r="H196" s="525" t="str">
        <f t="shared" si="102"/>
        <v/>
      </c>
      <c r="I196" s="26">
        <v>0.8</v>
      </c>
      <c r="J196" s="79">
        <v>1</v>
      </c>
      <c r="K196" s="79">
        <v>2</v>
      </c>
      <c r="L196" s="79">
        <v>2</v>
      </c>
      <c r="M196" s="79">
        <v>2</v>
      </c>
      <c r="N196" s="79">
        <v>2</v>
      </c>
      <c r="O196" s="79">
        <v>2</v>
      </c>
      <c r="P196" s="79">
        <v>2</v>
      </c>
      <c r="Q196" s="79">
        <v>2</v>
      </c>
      <c r="R196" s="79">
        <v>2</v>
      </c>
      <c r="S196" s="79">
        <v>2</v>
      </c>
      <c r="T196" s="79">
        <v>1</v>
      </c>
      <c r="U196" s="26">
        <v>0.2</v>
      </c>
      <c r="V196" s="80">
        <f t="shared" si="106"/>
        <v>21</v>
      </c>
      <c r="W196" s="411">
        <v>4658.99</v>
      </c>
      <c r="X196" s="470">
        <v>97838.79</v>
      </c>
      <c r="Y196" s="38" t="s">
        <v>74</v>
      </c>
      <c r="Z196" s="528"/>
      <c r="AA196" s="532"/>
      <c r="AB196" s="535"/>
      <c r="AC196" s="533"/>
      <c r="AD196" s="658"/>
    </row>
    <row r="197" spans="1:38" ht="15.6" customHeight="1">
      <c r="A197" s="31"/>
      <c r="B197" s="1">
        <v>195</v>
      </c>
      <c r="C197" s="31" t="s">
        <v>1</v>
      </c>
      <c r="D197" s="32" t="s">
        <v>303</v>
      </c>
      <c r="E197" s="33" t="s">
        <v>304</v>
      </c>
      <c r="F197" s="417" t="s">
        <v>247</v>
      </c>
      <c r="G197" s="506" t="str">
        <f t="shared" si="101"/>
        <v>REALTrator sobre esteiras com lâmina - 127 kW (Horas improdutivas)</v>
      </c>
      <c r="H197" s="525">
        <f t="shared" si="102"/>
        <v>0.64761904761904765</v>
      </c>
      <c r="I197" s="35">
        <v>1.6</v>
      </c>
      <c r="J197" s="35">
        <v>2</v>
      </c>
      <c r="K197" s="35">
        <v>2</v>
      </c>
      <c r="L197" s="35">
        <v>2</v>
      </c>
      <c r="M197" s="35">
        <v>2</v>
      </c>
      <c r="N197" s="35">
        <v>2</v>
      </c>
      <c r="O197" s="35">
        <v>2</v>
      </c>
      <c r="P197" s="35"/>
      <c r="Q197" s="35"/>
      <c r="R197" s="35"/>
      <c r="S197" s="35"/>
      <c r="T197" s="35"/>
      <c r="U197" s="35"/>
      <c r="V197" s="36">
        <f t="shared" si="106"/>
        <v>13.6</v>
      </c>
      <c r="W197" s="81">
        <v>4658.99</v>
      </c>
      <c r="X197" s="37">
        <f t="shared" si="103"/>
        <v>63362.263999999996</v>
      </c>
      <c r="Y197" s="38">
        <f t="shared" ref="Y197" si="124">X197/X196</f>
        <v>0.64761904761904765</v>
      </c>
      <c r="Z197" s="529">
        <f>X196-AC197</f>
        <v>0</v>
      </c>
      <c r="AA197" s="546"/>
      <c r="AB197" s="535">
        <f>ROUND((AVERAGE(J197:T197)*12),1)</f>
        <v>24</v>
      </c>
      <c r="AC197" s="535">
        <f>IF(AB197*W197&gt;X196,X196,AB197*W197)</f>
        <v>97838.79</v>
      </c>
      <c r="AD197" s="632">
        <f>AC197/X196</f>
        <v>1</v>
      </c>
    </row>
    <row r="198" spans="1:38" s="513" customFormat="1" ht="15.6" customHeight="1">
      <c r="A198" s="71"/>
      <c r="B198" s="30">
        <v>196</v>
      </c>
      <c r="C198" s="2" t="s">
        <v>0</v>
      </c>
      <c r="D198" s="83" t="s">
        <v>11</v>
      </c>
      <c r="E198" s="84" t="s">
        <v>305</v>
      </c>
      <c r="F198" s="85"/>
      <c r="G198" s="85"/>
      <c r="H198" s="85"/>
      <c r="I198" s="86"/>
      <c r="J198" s="86"/>
      <c r="K198" s="86"/>
      <c r="L198" s="86"/>
      <c r="M198" s="86"/>
      <c r="N198" s="86"/>
      <c r="O198" s="86"/>
      <c r="P198" s="86"/>
      <c r="Q198" s="86"/>
      <c r="R198" s="86"/>
      <c r="S198" s="86"/>
      <c r="T198" s="86"/>
      <c r="U198" s="86"/>
      <c r="V198" s="86"/>
      <c r="W198" s="87"/>
      <c r="X198" s="87">
        <f>SUMIF($C199:$C200,$C198,X199:X200)</f>
        <v>83279.41</v>
      </c>
      <c r="Y198" s="70" t="s">
        <v>74</v>
      </c>
      <c r="Z198" s="511"/>
      <c r="AA198" s="545"/>
      <c r="AB198" s="545"/>
      <c r="AC198" s="545"/>
      <c r="AD198" s="634"/>
      <c r="AL198" s="515"/>
    </row>
    <row r="199" spans="1:38" s="513" customFormat="1" ht="15.6" customHeight="1">
      <c r="A199" s="78"/>
      <c r="B199" s="1">
        <v>197</v>
      </c>
      <c r="C199" s="31" t="s">
        <v>1</v>
      </c>
      <c r="D199" s="88" t="s">
        <v>11</v>
      </c>
      <c r="E199" s="89" t="s">
        <v>305</v>
      </c>
      <c r="F199" s="90"/>
      <c r="G199" s="90"/>
      <c r="H199" s="90"/>
      <c r="I199" s="410">
        <v>0</v>
      </c>
      <c r="J199" s="75">
        <f t="shared" ref="J199:U199" si="125">SUMIF($C200:$C201,$C199,J200:J201)</f>
        <v>7.8522030035195173E-2</v>
      </c>
      <c r="K199" s="75">
        <f t="shared" si="125"/>
        <v>6.1855845680623009E-2</v>
      </c>
      <c r="L199" s="75">
        <f t="shared" si="125"/>
        <v>9.8232664392475078E-2</v>
      </c>
      <c r="M199" s="75">
        <f t="shared" si="125"/>
        <v>6.5394287735708018E-2</v>
      </c>
      <c r="N199" s="75">
        <f t="shared" si="125"/>
        <v>4.8426828432141876E-2</v>
      </c>
      <c r="O199" s="75">
        <f t="shared" si="125"/>
        <v>8.9361316320564724E-2</v>
      </c>
      <c r="P199" s="75">
        <f t="shared" si="125"/>
        <v>0</v>
      </c>
      <c r="Q199" s="75">
        <f t="shared" si="125"/>
        <v>0</v>
      </c>
      <c r="R199" s="75">
        <f t="shared" si="125"/>
        <v>0</v>
      </c>
      <c r="S199" s="75">
        <f t="shared" si="125"/>
        <v>0</v>
      </c>
      <c r="T199" s="75">
        <f t="shared" si="125"/>
        <v>0</v>
      </c>
      <c r="U199" s="75">
        <f t="shared" si="125"/>
        <v>0</v>
      </c>
      <c r="V199" s="91">
        <f>SUM(I199:U199)</f>
        <v>0.44179297259670786</v>
      </c>
      <c r="W199" s="92">
        <v>0</v>
      </c>
      <c r="X199" s="77">
        <f>SUMIF($C200:$C201,$C199,X200:X201)</f>
        <v>39574.542433333329</v>
      </c>
      <c r="Y199" s="423">
        <f t="shared" si="92"/>
        <v>0.47520200291204423</v>
      </c>
      <c r="Z199" s="511"/>
      <c r="AA199" s="545"/>
      <c r="AB199" s="545"/>
      <c r="AC199" s="545">
        <f>SUM(AC201)</f>
        <v>73584.516200548329</v>
      </c>
      <c r="AD199" s="635">
        <f>AC199/X198</f>
        <v>0.88358594519999989</v>
      </c>
      <c r="AL199" s="515"/>
    </row>
    <row r="200" spans="1:38" ht="15.6" customHeight="1">
      <c r="B200" s="30">
        <v>198</v>
      </c>
      <c r="C200" s="2" t="s">
        <v>0</v>
      </c>
      <c r="D200" s="23" t="s">
        <v>306</v>
      </c>
      <c r="E200" s="94" t="s">
        <v>229</v>
      </c>
      <c r="F200" s="416" t="s">
        <v>247</v>
      </c>
      <c r="G200" s="506" t="str">
        <f t="shared" ref="G200:G201" si="126">C200&amp;E200</f>
        <v>PREVMATERIAL DE CONSUMO ELÉTRICO</v>
      </c>
      <c r="H200" s="525" t="str">
        <f t="shared" ref="H200:H201" si="127">Y200</f>
        <v/>
      </c>
      <c r="I200" s="26">
        <v>6.4000000000000001E-2</v>
      </c>
      <c r="J200" s="79">
        <v>8.3333333333333301E-2</v>
      </c>
      <c r="K200" s="79">
        <v>8.3333333333333301E-2</v>
      </c>
      <c r="L200" s="79">
        <v>8.3333333333333301E-2</v>
      </c>
      <c r="M200" s="79">
        <v>8.3333333333333301E-2</v>
      </c>
      <c r="N200" s="79">
        <v>8.3333333333333301E-2</v>
      </c>
      <c r="O200" s="79">
        <v>8.3333333333333301E-2</v>
      </c>
      <c r="P200" s="79">
        <v>8.3333333333333301E-2</v>
      </c>
      <c r="Q200" s="79">
        <v>8.3333333333333301E-2</v>
      </c>
      <c r="R200" s="79">
        <v>8.3333333333333301E-2</v>
      </c>
      <c r="S200" s="79">
        <v>8.3333333333333301E-2</v>
      </c>
      <c r="T200" s="79">
        <v>8.3333333333333301E-2</v>
      </c>
      <c r="U200" s="79">
        <v>1.6400000000000001E-2</v>
      </c>
      <c r="V200" s="80">
        <v>1</v>
      </c>
      <c r="W200" s="80">
        <v>83279.41</v>
      </c>
      <c r="X200" s="28">
        <f t="shared" ref="X200:X201" si="128">W200*V200</f>
        <v>83279.41</v>
      </c>
      <c r="Y200" s="38" t="s">
        <v>74</v>
      </c>
      <c r="Z200" s="528"/>
      <c r="AA200" s="532"/>
      <c r="AB200" s="535"/>
      <c r="AC200" s="533"/>
      <c r="AD200" s="658"/>
    </row>
    <row r="201" spans="1:38" ht="15.6" customHeight="1">
      <c r="A201" s="31"/>
      <c r="B201" s="1">
        <v>199</v>
      </c>
      <c r="C201" s="31" t="s">
        <v>1</v>
      </c>
      <c r="D201" s="32" t="s">
        <v>306</v>
      </c>
      <c r="E201" s="95" t="s">
        <v>229</v>
      </c>
      <c r="F201" s="417" t="s">
        <v>247</v>
      </c>
      <c r="G201" s="506" t="str">
        <f t="shared" si="126"/>
        <v>REALMATERIAL DE CONSUMO ELÉTRICO</v>
      </c>
      <c r="H201" s="525">
        <f t="shared" si="127"/>
        <v>0.47520200291204423</v>
      </c>
      <c r="I201" s="35">
        <v>3.3409030315336444E-2</v>
      </c>
      <c r="J201" s="35">
        <v>7.8522030035195173E-2</v>
      </c>
      <c r="K201" s="35">
        <v>6.1855845680623009E-2</v>
      </c>
      <c r="L201" s="35">
        <v>9.8232664392475078E-2</v>
      </c>
      <c r="M201" s="35">
        <v>6.5394287735708018E-2</v>
      </c>
      <c r="N201" s="35">
        <v>4.8426828432141876E-2</v>
      </c>
      <c r="O201" s="35">
        <v>8.9361316320564724E-2</v>
      </c>
      <c r="P201" s="35"/>
      <c r="Q201" s="35"/>
      <c r="R201" s="35"/>
      <c r="S201" s="35"/>
      <c r="T201" s="35"/>
      <c r="U201" s="35"/>
      <c r="V201" s="96">
        <f t="shared" ref="V201" si="129">SUM(I201:U201)</f>
        <v>0.47520200291204423</v>
      </c>
      <c r="W201" s="81">
        <v>83279.41</v>
      </c>
      <c r="X201" s="37">
        <f t="shared" si="128"/>
        <v>39574.542433333329</v>
      </c>
      <c r="Y201" s="38">
        <f t="shared" si="92"/>
        <v>0.47520200291204423</v>
      </c>
      <c r="Z201" s="529">
        <f>X200-AC201</f>
        <v>9694.8937994516746</v>
      </c>
      <c r="AA201" s="546"/>
      <c r="AB201" s="535">
        <f>ROUND((AVERAGE(J201:T201)*12),10)</f>
        <v>0.8835859452</v>
      </c>
      <c r="AC201" s="535">
        <f>IF(AB201*W201&gt;X200,X200,AB201*W201)</f>
        <v>73584.516200548329</v>
      </c>
      <c r="AD201" s="632">
        <f>AC201/X200</f>
        <v>0.88358594519999989</v>
      </c>
    </row>
    <row r="202" spans="1:38" s="513" customFormat="1" ht="15.6" customHeight="1">
      <c r="A202" s="71"/>
      <c r="B202" s="30">
        <v>200</v>
      </c>
      <c r="C202" s="2" t="s">
        <v>0</v>
      </c>
      <c r="D202" s="83" t="s">
        <v>12</v>
      </c>
      <c r="E202" s="84" t="s">
        <v>230</v>
      </c>
      <c r="F202" s="85"/>
      <c r="G202" s="85"/>
      <c r="H202" s="85"/>
      <c r="I202" s="86"/>
      <c r="J202" s="86"/>
      <c r="K202" s="86"/>
      <c r="L202" s="86"/>
      <c r="M202" s="86"/>
      <c r="N202" s="86"/>
      <c r="O202" s="86"/>
      <c r="P202" s="86"/>
      <c r="Q202" s="86"/>
      <c r="R202" s="86"/>
      <c r="S202" s="86"/>
      <c r="T202" s="86"/>
      <c r="U202" s="86"/>
      <c r="V202" s="86">
        <v>0</v>
      </c>
      <c r="W202" s="87"/>
      <c r="X202" s="87">
        <f>SUMIF($C203:$C204,$C202,X203:X204)</f>
        <v>96713.2</v>
      </c>
      <c r="Y202" s="70" t="s">
        <v>74</v>
      </c>
      <c r="Z202" s="511"/>
      <c r="AA202" s="545"/>
      <c r="AB202" s="545"/>
      <c r="AC202" s="545"/>
      <c r="AD202" s="635"/>
      <c r="AL202" s="515"/>
    </row>
    <row r="203" spans="1:38" s="513" customFormat="1" ht="15.6" customHeight="1">
      <c r="A203" s="78"/>
      <c r="B203" s="1">
        <v>201</v>
      </c>
      <c r="C203" s="31" t="s">
        <v>1</v>
      </c>
      <c r="D203" s="88" t="s">
        <v>12</v>
      </c>
      <c r="E203" s="89" t="s">
        <v>230</v>
      </c>
      <c r="F203" s="90"/>
      <c r="G203" s="90"/>
      <c r="H203" s="90"/>
      <c r="I203" s="75">
        <f t="shared" ref="I203:U203" si="130">SUMIF($C204:$C205,$C203,I204:I205)</f>
        <v>3.6787571971101718E-2</v>
      </c>
      <c r="J203" s="75">
        <f t="shared" si="130"/>
        <v>4.7983789527523989E-2</v>
      </c>
      <c r="K203" s="75">
        <f t="shared" si="130"/>
        <v>4.7983789527523989E-2</v>
      </c>
      <c r="L203" s="75">
        <f t="shared" si="130"/>
        <v>4.7937880592652631E-2</v>
      </c>
      <c r="M203" s="75">
        <f t="shared" si="130"/>
        <v>4.7983789527523989E-2</v>
      </c>
      <c r="N203" s="75">
        <f t="shared" si="130"/>
        <v>4.7983789527523989E-2</v>
      </c>
      <c r="O203" s="75">
        <f t="shared" si="130"/>
        <v>4.7937880592652631E-2</v>
      </c>
      <c r="P203" s="75">
        <f t="shared" si="130"/>
        <v>0</v>
      </c>
      <c r="Q203" s="75">
        <f t="shared" si="130"/>
        <v>0</v>
      </c>
      <c r="R203" s="75">
        <f t="shared" si="130"/>
        <v>0</v>
      </c>
      <c r="S203" s="75">
        <f t="shared" si="130"/>
        <v>0</v>
      </c>
      <c r="T203" s="75">
        <f t="shared" si="130"/>
        <v>0</v>
      </c>
      <c r="U203" s="75">
        <f t="shared" si="130"/>
        <v>0</v>
      </c>
      <c r="V203" s="91">
        <f>SUM(I203:U203)</f>
        <v>0.32459849126650298</v>
      </c>
      <c r="W203" s="92">
        <v>0</v>
      </c>
      <c r="X203" s="77">
        <f>SUMIF($C204:$C205,$C203,X204:X205)</f>
        <v>31392.958805555554</v>
      </c>
      <c r="Y203" s="423">
        <f t="shared" si="92"/>
        <v>0.32459849126650298</v>
      </c>
      <c r="Z203" s="511"/>
      <c r="AA203" s="545"/>
      <c r="AB203" s="545"/>
      <c r="AC203" s="545">
        <f>SUM(AC205)</f>
        <v>55670.230000889525</v>
      </c>
      <c r="AD203" s="635">
        <f>AC203/X202</f>
        <v>0.57562183860000005</v>
      </c>
      <c r="AL203" s="515"/>
    </row>
    <row r="204" spans="1:38" ht="15.6" customHeight="1">
      <c r="B204" s="30">
        <v>202</v>
      </c>
      <c r="C204" s="2" t="s">
        <v>0</v>
      </c>
      <c r="D204" s="23" t="s">
        <v>307</v>
      </c>
      <c r="E204" s="94" t="s">
        <v>230</v>
      </c>
      <c r="F204" s="416" t="s">
        <v>247</v>
      </c>
      <c r="G204" s="506" t="str">
        <f t="shared" ref="G204:G205" si="131">C204&amp;E204</f>
        <v>PREVFERRAMENTAS ELÉTRICA</v>
      </c>
      <c r="H204" s="525" t="str">
        <f t="shared" ref="H204:H205" si="132">Y204</f>
        <v/>
      </c>
      <c r="I204" s="26">
        <v>6.4000000000000001E-2</v>
      </c>
      <c r="J204" s="79">
        <v>8.3333333333333301E-2</v>
      </c>
      <c r="K204" s="79">
        <v>8.3333333333333301E-2</v>
      </c>
      <c r="L204" s="79">
        <v>8.3333333333333301E-2</v>
      </c>
      <c r="M204" s="79">
        <v>8.3333333333333301E-2</v>
      </c>
      <c r="N204" s="79">
        <v>8.3333333333333301E-2</v>
      </c>
      <c r="O204" s="79">
        <v>8.3333333333333301E-2</v>
      </c>
      <c r="P204" s="79">
        <v>8.3333333333333301E-2</v>
      </c>
      <c r="Q204" s="79">
        <v>8.3333333333333301E-2</v>
      </c>
      <c r="R204" s="79">
        <v>8.3333333333333301E-2</v>
      </c>
      <c r="S204" s="79">
        <v>8.3333333333333301E-2</v>
      </c>
      <c r="T204" s="79">
        <v>8.3333333333333301E-2</v>
      </c>
      <c r="U204" s="79">
        <v>1.6400000000000001E-2</v>
      </c>
      <c r="V204" s="80">
        <v>1</v>
      </c>
      <c r="W204" s="80">
        <v>96713.2</v>
      </c>
      <c r="X204" s="28">
        <f t="shared" ref="X204:X205" si="133">W204*V204</f>
        <v>96713.2</v>
      </c>
      <c r="Y204" s="38" t="s">
        <v>74</v>
      </c>
      <c r="Z204" s="528"/>
      <c r="AA204" s="532"/>
      <c r="AB204" s="535"/>
      <c r="AC204" s="533"/>
      <c r="AD204" s="658"/>
    </row>
    <row r="205" spans="1:38" ht="15.6" customHeight="1">
      <c r="A205" s="31"/>
      <c r="B205" s="1">
        <v>203</v>
      </c>
      <c r="C205" s="31" t="s">
        <v>1</v>
      </c>
      <c r="D205" s="32" t="s">
        <v>307</v>
      </c>
      <c r="E205" s="95" t="s">
        <v>230</v>
      </c>
      <c r="F205" s="417" t="s">
        <v>247</v>
      </c>
      <c r="G205" s="506" t="str">
        <f t="shared" si="131"/>
        <v>REALFERRAMENTAS ELÉTRICA</v>
      </c>
      <c r="H205" s="525">
        <f t="shared" si="132"/>
        <v>0.32459849126650298</v>
      </c>
      <c r="I205" s="35">
        <v>3.6787571971101718E-2</v>
      </c>
      <c r="J205" s="35">
        <v>4.7983789527523989E-2</v>
      </c>
      <c r="K205" s="35">
        <v>4.7983789527523989E-2</v>
      </c>
      <c r="L205" s="35">
        <v>4.7937880592652631E-2</v>
      </c>
      <c r="M205" s="35">
        <v>4.7983789527523989E-2</v>
      </c>
      <c r="N205" s="35">
        <v>4.7983789527523989E-2</v>
      </c>
      <c r="O205" s="35">
        <v>4.7937880592652631E-2</v>
      </c>
      <c r="P205" s="35"/>
      <c r="Q205" s="35"/>
      <c r="R205" s="35"/>
      <c r="S205" s="35"/>
      <c r="T205" s="35"/>
      <c r="U205" s="35"/>
      <c r="V205" s="97">
        <f t="shared" ref="V205" si="134">SUM(I205:U205)</f>
        <v>0.32459849126650298</v>
      </c>
      <c r="W205" s="81">
        <v>96713.2</v>
      </c>
      <c r="X205" s="37">
        <f t="shared" si="133"/>
        <v>31392.958805555554</v>
      </c>
      <c r="Y205" s="38">
        <f t="shared" si="92"/>
        <v>0.32459849126650298</v>
      </c>
      <c r="Z205" s="529">
        <f>X204-AC205</f>
        <v>41042.969999110472</v>
      </c>
      <c r="AA205" s="546"/>
      <c r="AB205" s="535">
        <f>ROUND((AVERAGE(J205:T205)*12),10)</f>
        <v>0.57562183860000005</v>
      </c>
      <c r="AC205" s="535">
        <f>IF(AB205*W205&gt;X204,X204,AB205*W205)</f>
        <v>55670.230000889525</v>
      </c>
      <c r="AD205" s="632">
        <f>AC205/X204</f>
        <v>0.57562183860000005</v>
      </c>
    </row>
    <row r="206" spans="1:38" s="513" customFormat="1" ht="15.6" customHeight="1">
      <c r="A206" s="71"/>
      <c r="B206" s="30">
        <v>204</v>
      </c>
      <c r="C206" s="2" t="s">
        <v>0</v>
      </c>
      <c r="D206" s="83" t="s">
        <v>17</v>
      </c>
      <c r="E206" s="84" t="s">
        <v>232</v>
      </c>
      <c r="F206" s="85"/>
      <c r="G206" s="85"/>
      <c r="H206" s="85"/>
      <c r="I206" s="86"/>
      <c r="J206" s="86"/>
      <c r="K206" s="86"/>
      <c r="L206" s="86"/>
      <c r="M206" s="86"/>
      <c r="N206" s="86"/>
      <c r="O206" s="86"/>
      <c r="P206" s="86"/>
      <c r="Q206" s="86"/>
      <c r="R206" s="86"/>
      <c r="S206" s="86"/>
      <c r="T206" s="86"/>
      <c r="U206" s="86"/>
      <c r="V206" s="86">
        <v>0</v>
      </c>
      <c r="W206" s="87"/>
      <c r="X206" s="87">
        <f>SUMIF($C207:$C208,$C206,X207:X208)</f>
        <v>426502.24999999994</v>
      </c>
      <c r="Y206" s="70" t="s">
        <v>74</v>
      </c>
      <c r="Z206" s="511"/>
      <c r="AA206" s="545"/>
      <c r="AB206" s="545"/>
      <c r="AC206" s="545"/>
      <c r="AD206" s="634"/>
      <c r="AL206" s="515"/>
    </row>
    <row r="207" spans="1:38" s="513" customFormat="1" ht="15.6" customHeight="1">
      <c r="A207" s="78"/>
      <c r="B207" s="1">
        <v>205</v>
      </c>
      <c r="C207" s="31" t="s">
        <v>1</v>
      </c>
      <c r="D207" s="88" t="s">
        <v>17</v>
      </c>
      <c r="E207" s="89" t="s">
        <v>232</v>
      </c>
      <c r="F207" s="90"/>
      <c r="G207" s="90"/>
      <c r="H207" s="90"/>
      <c r="I207" s="410">
        <v>0</v>
      </c>
      <c r="J207" s="75">
        <f t="shared" ref="J207:U207" si="135">SUMIF($C204:$C205,$C207,J204:J205)</f>
        <v>4.7983789527523989E-2</v>
      </c>
      <c r="K207" s="75">
        <f t="shared" si="135"/>
        <v>4.7983789527523989E-2</v>
      </c>
      <c r="L207" s="75">
        <f t="shared" si="135"/>
        <v>4.7937880592652631E-2</v>
      </c>
      <c r="M207" s="75">
        <f t="shared" si="135"/>
        <v>4.7983789527523989E-2</v>
      </c>
      <c r="N207" s="75">
        <f t="shared" si="135"/>
        <v>4.7983789527523989E-2</v>
      </c>
      <c r="O207" s="75">
        <f t="shared" si="135"/>
        <v>4.7937880592652631E-2</v>
      </c>
      <c r="P207" s="75">
        <f t="shared" si="135"/>
        <v>0</v>
      </c>
      <c r="Q207" s="75">
        <f t="shared" si="135"/>
        <v>0</v>
      </c>
      <c r="R207" s="75">
        <f t="shared" si="135"/>
        <v>0</v>
      </c>
      <c r="S207" s="75">
        <f t="shared" si="135"/>
        <v>0</v>
      </c>
      <c r="T207" s="75">
        <f t="shared" si="135"/>
        <v>0</v>
      </c>
      <c r="U207" s="75">
        <f t="shared" si="135"/>
        <v>0</v>
      </c>
      <c r="V207" s="91">
        <f>SUM(I207:U207)</f>
        <v>0.2878109192954012</v>
      </c>
      <c r="W207" s="92">
        <v>0</v>
      </c>
      <c r="X207" s="77">
        <f>SUMIF($C208:$C209,$C207,X208:X209)</f>
        <v>77900.749999999985</v>
      </c>
      <c r="Y207" s="423">
        <f t="shared" si="92"/>
        <v>0.1826502673784253</v>
      </c>
      <c r="Z207" s="511"/>
      <c r="AA207" s="545"/>
      <c r="AB207" s="545"/>
      <c r="AC207" s="545">
        <f>SUM(AC209)</f>
        <v>155801.50001840357</v>
      </c>
      <c r="AD207" s="635">
        <f>AC207/X206</f>
        <v>0.36530053480000069</v>
      </c>
      <c r="AL207" s="515"/>
    </row>
    <row r="208" spans="1:38" ht="15.6" customHeight="1">
      <c r="B208" s="30">
        <v>206</v>
      </c>
      <c r="C208" s="2" t="s">
        <v>0</v>
      </c>
      <c r="D208" s="23" t="s">
        <v>308</v>
      </c>
      <c r="E208" s="98" t="s">
        <v>232</v>
      </c>
      <c r="F208" s="416" t="s">
        <v>247</v>
      </c>
      <c r="G208" s="506" t="str">
        <f t="shared" ref="G208:G209" si="136">C208&amp;E208</f>
        <v>PREVSOBRESSALENTES - ELÉTRICA</v>
      </c>
      <c r="H208" s="525" t="str">
        <f t="shared" ref="H208:H209" si="137">Y208</f>
        <v/>
      </c>
      <c r="I208" s="26">
        <v>6.4000000000000001E-2</v>
      </c>
      <c r="J208" s="79">
        <v>8.3333333333333301E-2</v>
      </c>
      <c r="K208" s="79">
        <v>8.3333333333333301E-2</v>
      </c>
      <c r="L208" s="79">
        <v>8.3333333333333301E-2</v>
      </c>
      <c r="M208" s="79">
        <v>8.3333333333333301E-2</v>
      </c>
      <c r="N208" s="79">
        <v>8.3333333333333301E-2</v>
      </c>
      <c r="O208" s="79">
        <v>8.3333333333333301E-2</v>
      </c>
      <c r="P208" s="79">
        <v>8.3333333333333301E-2</v>
      </c>
      <c r="Q208" s="79">
        <v>8.3333333333333301E-2</v>
      </c>
      <c r="R208" s="79">
        <v>8.3333333333333301E-2</v>
      </c>
      <c r="S208" s="79">
        <v>8.3333333333333301E-2</v>
      </c>
      <c r="T208" s="79">
        <v>8.3333333333333301E-2</v>
      </c>
      <c r="U208" s="79">
        <v>1.6400000000000001E-2</v>
      </c>
      <c r="V208" s="80">
        <v>1</v>
      </c>
      <c r="W208" s="653">
        <v>426502.24999999994</v>
      </c>
      <c r="X208" s="28">
        <f t="shared" ref="X208:X209" si="138">W208*V208</f>
        <v>426502.24999999994</v>
      </c>
      <c r="Y208" s="38" t="s">
        <v>74</v>
      </c>
      <c r="Z208" s="528"/>
      <c r="AA208" s="532"/>
      <c r="AB208" s="535"/>
      <c r="AC208" s="533"/>
      <c r="AD208" s="658"/>
    </row>
    <row r="209" spans="1:38" ht="15.6" customHeight="1">
      <c r="A209" s="31"/>
      <c r="B209" s="1">
        <v>207</v>
      </c>
      <c r="C209" s="31" t="s">
        <v>1</v>
      </c>
      <c r="D209" s="32" t="s">
        <v>308</v>
      </c>
      <c r="E209" s="99" t="s">
        <v>232</v>
      </c>
      <c r="F209" s="417" t="s">
        <v>247</v>
      </c>
      <c r="G209" s="506" t="str">
        <f t="shared" si="136"/>
        <v>REALSOBRESSALENTES - ELÉTRICA</v>
      </c>
      <c r="H209" s="525">
        <f t="shared" si="137"/>
        <v>0.1826502673784253</v>
      </c>
      <c r="I209" s="35">
        <v>0</v>
      </c>
      <c r="J209" s="35">
        <v>2.4872084496623367E-2</v>
      </c>
      <c r="K209" s="35">
        <v>0</v>
      </c>
      <c r="L209" s="35">
        <v>0.11863119127741979</v>
      </c>
      <c r="M209" s="35">
        <v>0</v>
      </c>
      <c r="N209" s="35">
        <v>0</v>
      </c>
      <c r="O209" s="35">
        <v>3.9146991604381856E-2</v>
      </c>
      <c r="P209" s="35"/>
      <c r="Q209" s="35"/>
      <c r="R209" s="35"/>
      <c r="S209" s="35"/>
      <c r="T209" s="35"/>
      <c r="U209" s="35"/>
      <c r="V209" s="36">
        <f t="shared" ref="V209" si="139">SUM(I209:U209)</f>
        <v>0.18265026737842499</v>
      </c>
      <c r="W209" s="81">
        <v>426502.2500000007</v>
      </c>
      <c r="X209" s="37">
        <f t="shared" si="138"/>
        <v>77900.749999999985</v>
      </c>
      <c r="Y209" s="38">
        <f t="shared" si="92"/>
        <v>0.1826502673784253</v>
      </c>
      <c r="Z209" s="529">
        <f>X208-AC209</f>
        <v>270700.74998159637</v>
      </c>
      <c r="AA209" s="546"/>
      <c r="AB209" s="535">
        <f>ROUND((AVERAGE(J209:T209)*12),10)</f>
        <v>0.36530053480000002</v>
      </c>
      <c r="AC209" s="535">
        <f>IF(AB209*W209&gt;X208,X208,AB209*W209)</f>
        <v>155801.50001840357</v>
      </c>
      <c r="AD209" s="632">
        <f>AC209/X208</f>
        <v>0.36530053480000069</v>
      </c>
    </row>
    <row r="210" spans="1:38" s="513" customFormat="1" ht="15.6" customHeight="1">
      <c r="A210" s="71"/>
      <c r="B210" s="30">
        <v>208</v>
      </c>
      <c r="C210" s="2" t="s">
        <v>0</v>
      </c>
      <c r="D210" s="100" t="s">
        <v>18</v>
      </c>
      <c r="E210" s="71" t="s">
        <v>233</v>
      </c>
      <c r="F210" s="85"/>
      <c r="G210" s="85"/>
      <c r="H210" s="85"/>
      <c r="I210" s="86"/>
      <c r="J210" s="86"/>
      <c r="K210" s="86"/>
      <c r="L210" s="86"/>
      <c r="M210" s="86"/>
      <c r="N210" s="86"/>
      <c r="O210" s="86"/>
      <c r="P210" s="86"/>
      <c r="Q210" s="86"/>
      <c r="R210" s="86"/>
      <c r="S210" s="86"/>
      <c r="T210" s="86"/>
      <c r="U210" s="86"/>
      <c r="V210" s="86">
        <v>0</v>
      </c>
      <c r="W210" s="87"/>
      <c r="X210" s="87">
        <f>SUMIF($C211:$C212,$C210,X211:X212)</f>
        <v>469086.46</v>
      </c>
      <c r="Y210" s="70" t="s">
        <v>74</v>
      </c>
      <c r="Z210" s="511"/>
      <c r="AA210" s="545"/>
      <c r="AB210" s="545"/>
      <c r="AC210" s="545"/>
      <c r="AD210" s="634"/>
      <c r="AL210" s="515"/>
    </row>
    <row r="211" spans="1:38" s="513" customFormat="1" ht="15.6" customHeight="1">
      <c r="A211" s="78"/>
      <c r="B211" s="1">
        <v>209</v>
      </c>
      <c r="C211" s="31" t="s">
        <v>1</v>
      </c>
      <c r="D211" s="101" t="s">
        <v>18</v>
      </c>
      <c r="E211" s="78" t="s">
        <v>233</v>
      </c>
      <c r="F211" s="90"/>
      <c r="G211" s="90"/>
      <c r="H211" s="90"/>
      <c r="I211" s="410">
        <v>0</v>
      </c>
      <c r="J211" s="75">
        <f t="shared" ref="J211:U211" si="140">SUMIF($C212:$C213,$C211,J212:J213)</f>
        <v>9.580749783312867E-4</v>
      </c>
      <c r="K211" s="75">
        <f t="shared" si="140"/>
        <v>9.580749783312867E-4</v>
      </c>
      <c r="L211" s="75">
        <f t="shared" si="140"/>
        <v>9.580749783312867E-4</v>
      </c>
      <c r="M211" s="75">
        <f t="shared" si="140"/>
        <v>9.580749783312867E-4</v>
      </c>
      <c r="N211" s="75">
        <f t="shared" si="140"/>
        <v>9.580749783312867E-4</v>
      </c>
      <c r="O211" s="75">
        <f t="shared" si="140"/>
        <v>9.580749783312867E-4</v>
      </c>
      <c r="P211" s="75">
        <f t="shared" si="140"/>
        <v>0</v>
      </c>
      <c r="Q211" s="75">
        <f t="shared" si="140"/>
        <v>0</v>
      </c>
      <c r="R211" s="75">
        <f t="shared" si="140"/>
        <v>0</v>
      </c>
      <c r="S211" s="75">
        <f t="shared" si="140"/>
        <v>0</v>
      </c>
      <c r="T211" s="75">
        <f t="shared" si="140"/>
        <v>0</v>
      </c>
      <c r="U211" s="75">
        <f t="shared" si="140"/>
        <v>0</v>
      </c>
      <c r="V211" s="91">
        <f>SUM(I211:U211)</f>
        <v>5.74844986998772E-3</v>
      </c>
      <c r="W211" s="92">
        <v>0</v>
      </c>
      <c r="X211" s="77">
        <f>SUMIF($C212:$C213,$C211,X212:X213)</f>
        <v>3220.1303333333326</v>
      </c>
      <c r="Y211" s="423">
        <f t="shared" si="92"/>
        <v>6.8646840357177068E-3</v>
      </c>
      <c r="Z211" s="511"/>
      <c r="AA211" s="545"/>
      <c r="AB211" s="545"/>
      <c r="AC211" s="545">
        <f>SUM(AC213)</f>
        <v>5393.0399812480628</v>
      </c>
      <c r="AD211" s="635">
        <f>AC211/X210</f>
        <v>1.14968997E-2</v>
      </c>
      <c r="AL211" s="515"/>
    </row>
    <row r="212" spans="1:38" ht="15.6" customHeight="1">
      <c r="B212" s="30">
        <v>210</v>
      </c>
      <c r="C212" s="2" t="s">
        <v>0</v>
      </c>
      <c r="D212" s="23" t="s">
        <v>309</v>
      </c>
      <c r="E212" s="102" t="s">
        <v>233</v>
      </c>
      <c r="F212" s="416" t="s">
        <v>247</v>
      </c>
      <c r="G212" s="506" t="str">
        <f t="shared" ref="G212:G213" si="141">C212&amp;E212</f>
        <v>PREVSOBRESSALENTES - LINHA DE TRANSMISSÃO</v>
      </c>
      <c r="H212" s="525" t="str">
        <f t="shared" ref="H212:H213" si="142">Y212</f>
        <v/>
      </c>
      <c r="I212" s="26">
        <v>6.4000000000000001E-2</v>
      </c>
      <c r="J212" s="79">
        <v>8.3333333333333301E-2</v>
      </c>
      <c r="K212" s="79">
        <v>8.3333333333333301E-2</v>
      </c>
      <c r="L212" s="79">
        <v>8.3333333333333301E-2</v>
      </c>
      <c r="M212" s="79">
        <v>8.3333333333333301E-2</v>
      </c>
      <c r="N212" s="79">
        <v>8.3333333333333301E-2</v>
      </c>
      <c r="O212" s="79">
        <v>8.3333333333333301E-2</v>
      </c>
      <c r="P212" s="79">
        <v>8.3333333333333301E-2</v>
      </c>
      <c r="Q212" s="79">
        <v>8.3333333333333301E-2</v>
      </c>
      <c r="R212" s="79">
        <v>8.3333333333333301E-2</v>
      </c>
      <c r="S212" s="79">
        <v>8.3333333333333301E-2</v>
      </c>
      <c r="T212" s="79">
        <v>8.3333333333333301E-2</v>
      </c>
      <c r="U212" s="79">
        <v>1.6400000000000001E-2</v>
      </c>
      <c r="V212" s="80">
        <v>1</v>
      </c>
      <c r="W212" s="80">
        <v>469086.46</v>
      </c>
      <c r="X212" s="28">
        <f t="shared" ref="X212:X213" si="143">W212*V212</f>
        <v>469086.46</v>
      </c>
      <c r="Y212" s="38" t="s">
        <v>74</v>
      </c>
      <c r="Z212" s="528"/>
      <c r="AA212" s="532"/>
      <c r="AB212" s="535"/>
      <c r="AC212" s="533"/>
      <c r="AD212" s="658"/>
    </row>
    <row r="213" spans="1:38" ht="15.6" customHeight="1">
      <c r="A213" s="31"/>
      <c r="B213" s="1">
        <v>211</v>
      </c>
      <c r="C213" s="31" t="s">
        <v>1</v>
      </c>
      <c r="D213" s="32" t="s">
        <v>309</v>
      </c>
      <c r="E213" s="103" t="s">
        <v>233</v>
      </c>
      <c r="F213" s="417" t="s">
        <v>247</v>
      </c>
      <c r="G213" s="506" t="str">
        <f t="shared" si="141"/>
        <v>REALSOBRESSALENTES - LINHA DE TRANSMISSÃO</v>
      </c>
      <c r="H213" s="525">
        <f t="shared" si="142"/>
        <v>6.8646840357177068E-3</v>
      </c>
      <c r="I213" s="35">
        <v>1.1162341657299877E-3</v>
      </c>
      <c r="J213" s="35">
        <v>9.580749783312867E-4</v>
      </c>
      <c r="K213" s="35">
        <v>9.580749783312867E-4</v>
      </c>
      <c r="L213" s="35">
        <v>9.580749783312867E-4</v>
      </c>
      <c r="M213" s="35">
        <v>9.580749783312867E-4</v>
      </c>
      <c r="N213" s="35">
        <v>9.580749783312867E-4</v>
      </c>
      <c r="O213" s="35">
        <v>9.580749783312867E-4</v>
      </c>
      <c r="P213" s="35"/>
      <c r="Q213" s="35"/>
      <c r="R213" s="35"/>
      <c r="S213" s="35"/>
      <c r="T213" s="35"/>
      <c r="U213" s="35"/>
      <c r="V213" s="36">
        <f t="shared" ref="V213" si="144">SUM(I213:U213)</f>
        <v>6.8646840357177068E-3</v>
      </c>
      <c r="W213" s="81">
        <v>469086.46</v>
      </c>
      <c r="X213" s="37">
        <f t="shared" si="143"/>
        <v>3220.1303333333326</v>
      </c>
      <c r="Y213" s="38">
        <f t="shared" si="92"/>
        <v>6.8646840357177068E-3</v>
      </c>
      <c r="Z213" s="529">
        <f>X212-AC213</f>
        <v>463693.42001875193</v>
      </c>
      <c r="AA213" s="546"/>
      <c r="AB213" s="535">
        <f>ROUND((AVERAGE(J213:T213)*12),10)</f>
        <v>1.14968997E-2</v>
      </c>
      <c r="AC213" s="535">
        <f>IF(AB213*W213&gt;X212,X212,AB213*W213)</f>
        <v>5393.0399812480628</v>
      </c>
      <c r="AD213" s="632">
        <f>AC213/X212</f>
        <v>1.14968997E-2</v>
      </c>
    </row>
    <row r="214" spans="1:38" ht="15.6" customHeight="1">
      <c r="B214" s="30">
        <v>212</v>
      </c>
      <c r="C214" s="2" t="s">
        <v>0</v>
      </c>
      <c r="D214" s="83" t="s">
        <v>8</v>
      </c>
      <c r="E214" s="84" t="s">
        <v>235</v>
      </c>
      <c r="F214" s="85"/>
      <c r="G214" s="85"/>
      <c r="H214" s="85"/>
      <c r="I214" s="86"/>
      <c r="J214" s="86"/>
      <c r="K214" s="86"/>
      <c r="L214" s="86"/>
      <c r="M214" s="86"/>
      <c r="N214" s="86"/>
      <c r="O214" s="86"/>
      <c r="P214" s="86"/>
      <c r="Q214" s="86"/>
      <c r="R214" s="86"/>
      <c r="S214" s="86"/>
      <c r="T214" s="86"/>
      <c r="U214" s="86"/>
      <c r="V214" s="86">
        <v>0</v>
      </c>
      <c r="W214" s="87"/>
      <c r="X214" s="87">
        <f>SUMIF($C215:$C216,$C214,X215:X216)</f>
        <v>14304</v>
      </c>
      <c r="Y214" s="70" t="s">
        <v>74</v>
      </c>
      <c r="Z214" s="511"/>
      <c r="AA214" s="545"/>
      <c r="AB214" s="545"/>
      <c r="AC214" s="545"/>
      <c r="AD214" s="634"/>
    </row>
    <row r="215" spans="1:38" ht="15.6" customHeight="1">
      <c r="A215" s="31"/>
      <c r="B215" s="1">
        <v>213</v>
      </c>
      <c r="C215" s="31" t="s">
        <v>1</v>
      </c>
      <c r="D215" s="88" t="s">
        <v>8</v>
      </c>
      <c r="E215" s="89" t="s">
        <v>235</v>
      </c>
      <c r="F215" s="90"/>
      <c r="G215" s="90"/>
      <c r="H215" s="90"/>
      <c r="I215" s="75">
        <f t="shared" ref="I215:U215" si="145">SUMIF($C216:$C217,$C215,I216:I217)</f>
        <v>2.1396346010439968E-2</v>
      </c>
      <c r="J215" s="75">
        <f t="shared" si="145"/>
        <v>2.8962527964205814E-2</v>
      </c>
      <c r="K215" s="75">
        <f t="shared" si="145"/>
        <v>2.8962527964205814E-2</v>
      </c>
      <c r="L215" s="75">
        <f t="shared" si="145"/>
        <v>2.8962527964205814E-2</v>
      </c>
      <c r="M215" s="75">
        <f t="shared" si="145"/>
        <v>2.8962527964205814E-2</v>
      </c>
      <c r="N215" s="75">
        <f t="shared" si="145"/>
        <v>2.8962527964205814E-2</v>
      </c>
      <c r="O215" s="75">
        <f t="shared" si="145"/>
        <v>2.8962527964205814E-2</v>
      </c>
      <c r="P215" s="75">
        <f t="shared" si="145"/>
        <v>0</v>
      </c>
      <c r="Q215" s="75">
        <f t="shared" si="145"/>
        <v>0</v>
      </c>
      <c r="R215" s="75">
        <f t="shared" si="145"/>
        <v>0</v>
      </c>
      <c r="S215" s="75">
        <f t="shared" si="145"/>
        <v>0</v>
      </c>
      <c r="T215" s="75">
        <f t="shared" si="145"/>
        <v>0</v>
      </c>
      <c r="U215" s="75">
        <f t="shared" si="145"/>
        <v>0</v>
      </c>
      <c r="V215" s="91">
        <f>SUM(I215:U215)</f>
        <v>0.19517151379567485</v>
      </c>
      <c r="W215" s="92">
        <v>0</v>
      </c>
      <c r="X215" s="77">
        <f>SUMIF($C216:$C217,$C215,X216:X217)</f>
        <v>2791.7333333333331</v>
      </c>
      <c r="Y215" s="423">
        <f t="shared" si="92"/>
        <v>0.19517151379567485</v>
      </c>
      <c r="Z215" s="511"/>
      <c r="AA215" s="545"/>
      <c r="AB215" s="545"/>
      <c r="AC215" s="545">
        <f>SUM(AC217)</f>
        <v>4971.3600004223999</v>
      </c>
      <c r="AD215" s="635">
        <f>AC215/X214</f>
        <v>0.34755033559999998</v>
      </c>
    </row>
    <row r="216" spans="1:38" ht="15.6" customHeight="1">
      <c r="B216" s="30">
        <v>214</v>
      </c>
      <c r="C216" s="2" t="s">
        <v>0</v>
      </c>
      <c r="D216" s="23" t="s">
        <v>310</v>
      </c>
      <c r="E216" s="656" t="s">
        <v>235</v>
      </c>
      <c r="F216" s="416" t="s">
        <v>247</v>
      </c>
      <c r="G216" s="506" t="str">
        <f t="shared" ref="G216:G217" si="146">C216&amp;E216</f>
        <v>PREVINSTRUMENTOS - ELÉTRICA</v>
      </c>
      <c r="H216" s="525" t="str">
        <f t="shared" ref="H216:H217" si="147">Y216</f>
        <v/>
      </c>
      <c r="I216" s="26">
        <v>6.4000000000000001E-2</v>
      </c>
      <c r="J216" s="79">
        <v>8.3333333333333301E-2</v>
      </c>
      <c r="K216" s="79">
        <v>8.3333333333333301E-2</v>
      </c>
      <c r="L216" s="79">
        <v>8.3333333333333301E-2</v>
      </c>
      <c r="M216" s="79">
        <v>8.3333333333333301E-2</v>
      </c>
      <c r="N216" s="79">
        <v>8.3333333333333301E-2</v>
      </c>
      <c r="O216" s="79">
        <v>8.3333333333333301E-2</v>
      </c>
      <c r="P216" s="79">
        <v>8.3333333333333301E-2</v>
      </c>
      <c r="Q216" s="79">
        <v>8.3333333333333301E-2</v>
      </c>
      <c r="R216" s="79">
        <v>8.3333333333333301E-2</v>
      </c>
      <c r="S216" s="79">
        <v>8.3333333333333301E-2</v>
      </c>
      <c r="T216" s="79">
        <v>8.3333333333333301E-2</v>
      </c>
      <c r="U216" s="79">
        <v>1.6400000000000001E-2</v>
      </c>
      <c r="V216" s="80">
        <v>1</v>
      </c>
      <c r="W216" s="411">
        <v>14304</v>
      </c>
      <c r="X216" s="470">
        <f t="shared" ref="X216:X217" si="148">W216*V216</f>
        <v>14304</v>
      </c>
      <c r="Y216" s="38" t="s">
        <v>74</v>
      </c>
      <c r="Z216" s="528"/>
      <c r="AA216" s="532"/>
      <c r="AB216" s="535"/>
      <c r="AC216" s="533"/>
      <c r="AD216" s="658"/>
    </row>
    <row r="217" spans="1:38" ht="15.6" customHeight="1">
      <c r="A217" s="31"/>
      <c r="B217" s="1">
        <v>215</v>
      </c>
      <c r="C217" s="31" t="s">
        <v>1</v>
      </c>
      <c r="D217" s="32" t="s">
        <v>310</v>
      </c>
      <c r="E217" s="95" t="s">
        <v>235</v>
      </c>
      <c r="F217" s="417" t="s">
        <v>247</v>
      </c>
      <c r="G217" s="506" t="str">
        <f t="shared" si="146"/>
        <v>REALINSTRUMENTOS - ELÉTRICA</v>
      </c>
      <c r="H217" s="525">
        <f t="shared" si="147"/>
        <v>0.19517151379567485</v>
      </c>
      <c r="I217" s="35">
        <v>2.1396346010439968E-2</v>
      </c>
      <c r="J217" s="35">
        <v>2.8962527964205814E-2</v>
      </c>
      <c r="K217" s="35">
        <v>2.8962527964205814E-2</v>
      </c>
      <c r="L217" s="35">
        <v>2.8962527964205814E-2</v>
      </c>
      <c r="M217" s="35">
        <v>2.8962527964205814E-2</v>
      </c>
      <c r="N217" s="35">
        <v>2.8962527964205814E-2</v>
      </c>
      <c r="O217" s="35">
        <v>2.8962527964205814E-2</v>
      </c>
      <c r="P217" s="35"/>
      <c r="Q217" s="35"/>
      <c r="R217" s="35"/>
      <c r="S217" s="35"/>
      <c r="T217" s="35"/>
      <c r="U217" s="35"/>
      <c r="V217" s="36">
        <f t="shared" ref="V217" si="149">SUM(I217:U217)</f>
        <v>0.19517151379567485</v>
      </c>
      <c r="W217" s="81">
        <v>14304</v>
      </c>
      <c r="X217" s="37">
        <f t="shared" si="148"/>
        <v>2791.7333333333331</v>
      </c>
      <c r="Y217" s="38">
        <f t="shared" si="92"/>
        <v>0.19517151379567485</v>
      </c>
      <c r="Z217" s="529">
        <f>X216-AC217</f>
        <v>9332.639999577601</v>
      </c>
      <c r="AA217" s="546"/>
      <c r="AB217" s="535">
        <f>ROUND((AVERAGE(J217:T217)*12),10)</f>
        <v>0.34755033559999998</v>
      </c>
      <c r="AC217" s="535">
        <f>IF(AB217*W217&gt;X216,X216,AB217*W217)</f>
        <v>4971.3600004223999</v>
      </c>
      <c r="AD217" s="632">
        <f>AC217/X216</f>
        <v>0.34755033559999998</v>
      </c>
    </row>
    <row r="218" spans="1:38" ht="15.6" customHeight="1">
      <c r="B218" s="30">
        <v>216</v>
      </c>
      <c r="C218" s="2" t="s">
        <v>0</v>
      </c>
      <c r="D218" s="83" t="s">
        <v>14</v>
      </c>
      <c r="E218" s="84" t="s">
        <v>236</v>
      </c>
      <c r="F218" s="85"/>
      <c r="G218" s="85"/>
      <c r="H218" s="85"/>
      <c r="I218" s="86"/>
      <c r="J218" s="86"/>
      <c r="K218" s="86"/>
      <c r="L218" s="86"/>
      <c r="M218" s="86"/>
      <c r="N218" s="86"/>
      <c r="O218" s="86"/>
      <c r="P218" s="86"/>
      <c r="Q218" s="86"/>
      <c r="R218" s="86"/>
      <c r="S218" s="86"/>
      <c r="T218" s="86"/>
      <c r="U218" s="86"/>
      <c r="V218" s="86">
        <v>0</v>
      </c>
      <c r="W218" s="87"/>
      <c r="X218" s="87">
        <f>SUMIF($C219:$C220,$C218,X219:X220)</f>
        <v>237025.32</v>
      </c>
      <c r="Y218" s="70" t="s">
        <v>74</v>
      </c>
      <c r="Z218" s="511"/>
      <c r="AA218" s="545"/>
      <c r="AB218" s="545"/>
      <c r="AC218" s="545"/>
      <c r="AD218" s="634"/>
    </row>
    <row r="219" spans="1:38" ht="15.6" customHeight="1">
      <c r="A219" s="31"/>
      <c r="B219" s="1">
        <v>217</v>
      </c>
      <c r="C219" s="31" t="s">
        <v>1</v>
      </c>
      <c r="D219" s="88" t="s">
        <v>14</v>
      </c>
      <c r="E219" s="89" t="s">
        <v>236</v>
      </c>
      <c r="F219" s="90"/>
      <c r="G219" s="90"/>
      <c r="H219" s="90"/>
      <c r="I219" s="75">
        <f t="shared" ref="I219:U219" si="150">SUMIF($C220:$C221,$C219,I220:I221)</f>
        <v>7.0623641249241365E-2</v>
      </c>
      <c r="J219" s="75">
        <f t="shared" si="150"/>
        <v>0.22590748065227764</v>
      </c>
      <c r="K219" s="75">
        <f t="shared" si="150"/>
        <v>4.0603745709530036E-2</v>
      </c>
      <c r="L219" s="75">
        <f t="shared" si="150"/>
        <v>0.13324990604379292</v>
      </c>
      <c r="M219" s="75">
        <f t="shared" si="150"/>
        <v>4.4937424828705989E-2</v>
      </c>
      <c r="N219" s="75">
        <f t="shared" si="150"/>
        <v>7.8939741543224029E-2</v>
      </c>
      <c r="O219" s="75">
        <f t="shared" si="150"/>
        <v>1.930463589290795E-2</v>
      </c>
      <c r="P219" s="75">
        <f t="shared" si="150"/>
        <v>0</v>
      </c>
      <c r="Q219" s="75">
        <f t="shared" si="150"/>
        <v>0</v>
      </c>
      <c r="R219" s="75">
        <f t="shared" si="150"/>
        <v>0</v>
      </c>
      <c r="S219" s="75">
        <f t="shared" si="150"/>
        <v>0</v>
      </c>
      <c r="T219" s="75">
        <f t="shared" si="150"/>
        <v>0</v>
      </c>
      <c r="U219" s="75">
        <f t="shared" si="150"/>
        <v>0</v>
      </c>
      <c r="V219" s="91">
        <f>SUM(I219:U219)</f>
        <v>0.61356657591967989</v>
      </c>
      <c r="W219" s="92">
        <v>0</v>
      </c>
      <c r="X219" s="77">
        <f>SUMIF($C220:$C221,$C219,X220:X221)</f>
        <v>145430.81399866642</v>
      </c>
      <c r="Y219" s="423">
        <f t="shared" si="92"/>
        <v>0.61356657591967989</v>
      </c>
      <c r="Z219" s="511"/>
      <c r="AA219" s="545"/>
      <c r="AB219" s="545"/>
      <c r="AC219" s="545">
        <f>SUM(AC221)</f>
        <v>237025.32</v>
      </c>
      <c r="AD219" s="635">
        <f>AC219/X218</f>
        <v>1</v>
      </c>
    </row>
    <row r="220" spans="1:38" ht="15.6" customHeight="1">
      <c r="B220" s="30">
        <v>218</v>
      </c>
      <c r="C220" s="2" t="s">
        <v>0</v>
      </c>
      <c r="D220" s="23" t="s">
        <v>14</v>
      </c>
      <c r="E220" s="656" t="s">
        <v>236</v>
      </c>
      <c r="F220" s="416" t="s">
        <v>247</v>
      </c>
      <c r="G220" s="506" t="str">
        <f t="shared" ref="G220:G221" si="151">C220&amp;E220</f>
        <v>PREVMANUTENÇÃO CIVIL - MATERIAIS CONSUMÍVEIS</v>
      </c>
      <c r="H220" s="525" t="str">
        <f t="shared" ref="H220:H221" si="152">Y220</f>
        <v/>
      </c>
      <c r="I220" s="26">
        <v>6.4000000000000001E-2</v>
      </c>
      <c r="J220" s="79">
        <v>8.3333333333333301E-2</v>
      </c>
      <c r="K220" s="79">
        <v>8.3333333333333301E-2</v>
      </c>
      <c r="L220" s="79">
        <v>8.3333333333333301E-2</v>
      </c>
      <c r="M220" s="79">
        <v>8.3333333333333301E-2</v>
      </c>
      <c r="N220" s="79">
        <v>8.3333333333333301E-2</v>
      </c>
      <c r="O220" s="79">
        <v>8.3333333333333301E-2</v>
      </c>
      <c r="P220" s="79">
        <v>8.3333333333333301E-2</v>
      </c>
      <c r="Q220" s="79">
        <v>8.3333333333333301E-2</v>
      </c>
      <c r="R220" s="79">
        <v>8.3333333333333301E-2</v>
      </c>
      <c r="S220" s="79">
        <v>8.3333333333333301E-2</v>
      </c>
      <c r="T220" s="79">
        <v>8.3333333333333301E-2</v>
      </c>
      <c r="U220" s="79">
        <v>1.6400000000000001E-2</v>
      </c>
      <c r="V220" s="80">
        <v>1</v>
      </c>
      <c r="W220" s="411">
        <v>237025.32</v>
      </c>
      <c r="X220" s="470">
        <f t="shared" ref="X220:X221" si="153">W220*V220</f>
        <v>237025.32</v>
      </c>
      <c r="Y220" s="38" t="s">
        <v>74</v>
      </c>
      <c r="Z220" s="528"/>
      <c r="AA220" s="532"/>
      <c r="AB220" s="535"/>
      <c r="AC220" s="533"/>
      <c r="AD220" s="658"/>
    </row>
    <row r="221" spans="1:38" ht="15.6" customHeight="1">
      <c r="A221" s="31"/>
      <c r="B221" s="1">
        <v>219</v>
      </c>
      <c r="C221" s="31" t="s">
        <v>1</v>
      </c>
      <c r="D221" s="32" t="s">
        <v>311</v>
      </c>
      <c r="E221" s="95" t="s">
        <v>236</v>
      </c>
      <c r="F221" s="417" t="s">
        <v>247</v>
      </c>
      <c r="G221" s="506" t="str">
        <f t="shared" si="151"/>
        <v>REALMANUTENÇÃO CIVIL - MATERIAIS CONSUMÍVEIS</v>
      </c>
      <c r="H221" s="525">
        <f t="shared" si="152"/>
        <v>0.61356657591967989</v>
      </c>
      <c r="I221" s="35">
        <v>7.0623641249241365E-2</v>
      </c>
      <c r="J221" s="35">
        <v>0.22590748065227764</v>
      </c>
      <c r="K221" s="35">
        <v>4.0603745709530036E-2</v>
      </c>
      <c r="L221" s="35">
        <v>0.13324990604379292</v>
      </c>
      <c r="M221" s="35">
        <v>4.4937424828705989E-2</v>
      </c>
      <c r="N221" s="35">
        <v>7.8939741543224029E-2</v>
      </c>
      <c r="O221" s="35">
        <v>1.930463589290795E-2</v>
      </c>
      <c r="P221" s="35"/>
      <c r="Q221" s="35"/>
      <c r="R221" s="35"/>
      <c r="S221" s="35"/>
      <c r="T221" s="35"/>
      <c r="U221" s="35"/>
      <c r="V221" s="36">
        <f t="shared" ref="V221" si="154">SUM(I221:U221)</f>
        <v>0.61356657591967989</v>
      </c>
      <c r="W221" s="81">
        <v>237025.32</v>
      </c>
      <c r="X221" s="37">
        <f t="shared" si="153"/>
        <v>145430.81399866642</v>
      </c>
      <c r="Y221" s="38">
        <f t="shared" si="92"/>
        <v>0.61356657591967989</v>
      </c>
      <c r="Z221" s="529">
        <f>X220-AC221</f>
        <v>0</v>
      </c>
      <c r="AA221" s="546"/>
      <c r="AB221" s="535">
        <f>ROUND((AVERAGE(J221:T221)*12),10)</f>
        <v>1.0858858693</v>
      </c>
      <c r="AC221" s="535">
        <f>IF(AB221*W221&gt;X220,X220,AB221*W221)</f>
        <v>237025.32</v>
      </c>
      <c r="AD221" s="632">
        <f>AC221/X220</f>
        <v>1</v>
      </c>
    </row>
    <row r="222" spans="1:38" ht="15.6" customHeight="1">
      <c r="B222" s="30">
        <v>220</v>
      </c>
      <c r="C222" s="2" t="s">
        <v>0</v>
      </c>
      <c r="D222" s="83" t="s">
        <v>7</v>
      </c>
      <c r="E222" s="84" t="s">
        <v>238</v>
      </c>
      <c r="F222" s="85"/>
      <c r="G222" s="85"/>
      <c r="H222" s="85"/>
      <c r="I222" s="86"/>
      <c r="J222" s="86"/>
      <c r="K222" s="86"/>
      <c r="L222" s="86"/>
      <c r="M222" s="86"/>
      <c r="N222" s="86"/>
      <c r="O222" s="86"/>
      <c r="P222" s="86"/>
      <c r="Q222" s="86"/>
      <c r="R222" s="86"/>
      <c r="S222" s="86"/>
      <c r="T222" s="86"/>
      <c r="U222" s="86"/>
      <c r="V222" s="86">
        <v>0</v>
      </c>
      <c r="W222" s="87"/>
      <c r="X222" s="87">
        <f>SUMIF($C223:$C224,$C222,X223:X224)</f>
        <v>6965.42</v>
      </c>
      <c r="Y222" s="70" t="s">
        <v>74</v>
      </c>
      <c r="Z222" s="511"/>
      <c r="AA222" s="545"/>
      <c r="AB222" s="545"/>
      <c r="AC222" s="545"/>
      <c r="AD222" s="634"/>
    </row>
    <row r="223" spans="1:38" ht="15.6" customHeight="1">
      <c r="A223" s="31"/>
      <c r="B223" s="1">
        <v>221</v>
      </c>
      <c r="C223" s="31" t="s">
        <v>1</v>
      </c>
      <c r="D223" s="88" t="s">
        <v>7</v>
      </c>
      <c r="E223" s="89" t="s">
        <v>238</v>
      </c>
      <c r="F223" s="90"/>
      <c r="G223" s="90"/>
      <c r="H223" s="90"/>
      <c r="I223" s="75">
        <f t="shared" ref="I223:U223" si="155">SUMIF($C224:$C225,$C223,I224:I225)</f>
        <v>6.4119663837771262E-2</v>
      </c>
      <c r="J223" s="75">
        <f t="shared" si="155"/>
        <v>8.3634344136223421E-2</v>
      </c>
      <c r="K223" s="75">
        <f t="shared" si="155"/>
        <v>8.3634344136223421E-2</v>
      </c>
      <c r="L223" s="75">
        <f t="shared" si="155"/>
        <v>8.3008394803663427E-2</v>
      </c>
      <c r="M223" s="75">
        <f t="shared" si="155"/>
        <v>8.3513748393253137E-2</v>
      </c>
      <c r="N223" s="75">
        <f t="shared" si="155"/>
        <v>8.3513748393253137E-2</v>
      </c>
      <c r="O223" s="75">
        <f t="shared" si="155"/>
        <v>8.3513748393253137E-2</v>
      </c>
      <c r="P223" s="75">
        <f t="shared" si="155"/>
        <v>0</v>
      </c>
      <c r="Q223" s="75">
        <f t="shared" si="155"/>
        <v>0</v>
      </c>
      <c r="R223" s="75">
        <f t="shared" si="155"/>
        <v>0</v>
      </c>
      <c r="S223" s="75">
        <f t="shared" si="155"/>
        <v>0</v>
      </c>
      <c r="T223" s="75">
        <f t="shared" si="155"/>
        <v>0</v>
      </c>
      <c r="U223" s="75">
        <f t="shared" si="155"/>
        <v>0</v>
      </c>
      <c r="V223" s="91">
        <f>SUM(I223:U223)</f>
        <v>0.56493799209364093</v>
      </c>
      <c r="W223" s="92">
        <v>0</v>
      </c>
      <c r="X223" s="77">
        <f>SUMIF($C224:$C225,$C223,X224:X225)</f>
        <v>3935.0303888888884</v>
      </c>
      <c r="Y223" s="423">
        <f t="shared" si="92"/>
        <v>0.56493799209364093</v>
      </c>
      <c r="Z223" s="511"/>
      <c r="AA223" s="545"/>
      <c r="AB223" s="545"/>
      <c r="AC223" s="545">
        <f>SUM(AC225)</f>
        <v>6965.42</v>
      </c>
      <c r="AD223" s="635">
        <f>AC223/X222</f>
        <v>1</v>
      </c>
    </row>
    <row r="224" spans="1:38" ht="15.6" customHeight="1">
      <c r="B224" s="30">
        <v>222</v>
      </c>
      <c r="C224" s="2" t="s">
        <v>0</v>
      </c>
      <c r="D224" s="23" t="s">
        <v>7</v>
      </c>
      <c r="E224" s="94" t="s">
        <v>238</v>
      </c>
      <c r="F224" s="416" t="s">
        <v>247</v>
      </c>
      <c r="G224" s="506" t="str">
        <f t="shared" ref="G224:G225" si="156">C224&amp;E224</f>
        <v>PREVFERRAMENTAS - CIVIL</v>
      </c>
      <c r="H224" s="525" t="str">
        <f t="shared" ref="H224:H225" si="157">Y224</f>
        <v/>
      </c>
      <c r="I224" s="26">
        <v>6.4000000000000001E-2</v>
      </c>
      <c r="J224" s="79">
        <v>8.3333333333333301E-2</v>
      </c>
      <c r="K224" s="79">
        <v>8.3333333333333301E-2</v>
      </c>
      <c r="L224" s="79">
        <v>8.3333333333333301E-2</v>
      </c>
      <c r="M224" s="79">
        <v>8.3333333333333301E-2</v>
      </c>
      <c r="N224" s="79">
        <v>8.3333333333333301E-2</v>
      </c>
      <c r="O224" s="79">
        <v>8.3333333333333301E-2</v>
      </c>
      <c r="P224" s="79">
        <v>8.3333333333333301E-2</v>
      </c>
      <c r="Q224" s="79">
        <v>8.3333333333333301E-2</v>
      </c>
      <c r="R224" s="79">
        <v>8.3333333333333301E-2</v>
      </c>
      <c r="S224" s="79">
        <v>8.3333333333333301E-2</v>
      </c>
      <c r="T224" s="79">
        <v>8.3333333333333301E-2</v>
      </c>
      <c r="U224" s="79">
        <v>1.6400000000000001E-2</v>
      </c>
      <c r="V224" s="80">
        <v>1</v>
      </c>
      <c r="W224" s="80">
        <v>6965.42</v>
      </c>
      <c r="X224" s="28">
        <f t="shared" ref="X224:X225" si="158">W224*V224</f>
        <v>6965.42</v>
      </c>
      <c r="Y224" s="38" t="s">
        <v>74</v>
      </c>
      <c r="Z224" s="528"/>
      <c r="AA224" s="532"/>
      <c r="AB224" s="535"/>
      <c r="AC224" s="533"/>
      <c r="AD224" s="658"/>
    </row>
    <row r="225" spans="1:38" ht="15.6" customHeight="1">
      <c r="A225" s="31"/>
      <c r="B225" s="1">
        <v>223</v>
      </c>
      <c r="C225" s="31" t="s">
        <v>1</v>
      </c>
      <c r="D225" s="32" t="s">
        <v>312</v>
      </c>
      <c r="E225" s="95" t="s">
        <v>238</v>
      </c>
      <c r="F225" s="417" t="s">
        <v>247</v>
      </c>
      <c r="G225" s="506" t="str">
        <f t="shared" si="156"/>
        <v>REALFERRAMENTAS - CIVIL</v>
      </c>
      <c r="H225" s="525">
        <f t="shared" si="157"/>
        <v>0.56493799209364093</v>
      </c>
      <c r="I225" s="35">
        <v>6.4119663837771262E-2</v>
      </c>
      <c r="J225" s="35">
        <v>8.3634344136223421E-2</v>
      </c>
      <c r="K225" s="35">
        <v>8.3634344136223421E-2</v>
      </c>
      <c r="L225" s="35">
        <v>8.3008394803663427E-2</v>
      </c>
      <c r="M225" s="35">
        <v>8.3513748393253137E-2</v>
      </c>
      <c r="N225" s="35">
        <v>8.3513748393253137E-2</v>
      </c>
      <c r="O225" s="35">
        <v>8.3513748393253137E-2</v>
      </c>
      <c r="P225" s="35"/>
      <c r="Q225" s="35"/>
      <c r="R225" s="35"/>
      <c r="S225" s="35"/>
      <c r="T225" s="35"/>
      <c r="U225" s="35"/>
      <c r="V225" s="36">
        <f t="shared" ref="V225" si="159">SUM(I225:U225)</f>
        <v>0.56493799209364093</v>
      </c>
      <c r="W225" s="81">
        <v>6965.42</v>
      </c>
      <c r="X225" s="37">
        <f t="shared" si="158"/>
        <v>3935.0303888888884</v>
      </c>
      <c r="Y225" s="38">
        <f t="shared" si="92"/>
        <v>0.56493799209364093</v>
      </c>
      <c r="Z225" s="529">
        <f>X224-AC225</f>
        <v>0</v>
      </c>
      <c r="AA225" s="546"/>
      <c r="AB225" s="535">
        <f>ROUND((AVERAGE(J225:T225)*12),10)</f>
        <v>1.0016366565000001</v>
      </c>
      <c r="AC225" s="535">
        <f>IF(AB225*W225&gt;X224,X224,AB225*W225)</f>
        <v>6965.42</v>
      </c>
      <c r="AD225" s="632">
        <f>AC225/X224</f>
        <v>1</v>
      </c>
    </row>
    <row r="226" spans="1:38" s="513" customFormat="1" ht="15.6" customHeight="1">
      <c r="A226" s="71"/>
      <c r="B226" s="30">
        <v>224</v>
      </c>
      <c r="C226" s="2" t="s">
        <v>0</v>
      </c>
      <c r="D226" s="83" t="s">
        <v>15</v>
      </c>
      <c r="E226" s="84" t="s">
        <v>313</v>
      </c>
      <c r="F226" s="85"/>
      <c r="G226" s="85"/>
      <c r="H226" s="85"/>
      <c r="I226" s="86"/>
      <c r="J226" s="86"/>
      <c r="K226" s="86"/>
      <c r="L226" s="86"/>
      <c r="M226" s="86"/>
      <c r="N226" s="86"/>
      <c r="O226" s="86"/>
      <c r="P226" s="86"/>
      <c r="Q226" s="86"/>
      <c r="R226" s="86"/>
      <c r="S226" s="86"/>
      <c r="T226" s="86"/>
      <c r="U226" s="86"/>
      <c r="V226" s="104"/>
      <c r="W226" s="87"/>
      <c r="X226" s="87">
        <f>SUMIF($C227:$C228,$C226,X227:X228)</f>
        <v>270788.7</v>
      </c>
      <c r="Y226" s="70" t="s">
        <v>74</v>
      </c>
      <c r="Z226" s="511"/>
      <c r="AA226" s="545"/>
      <c r="AB226" s="545"/>
      <c r="AC226" s="545"/>
      <c r="AD226" s="634"/>
      <c r="AL226" s="515"/>
    </row>
    <row r="227" spans="1:38" s="513" customFormat="1" ht="15.6" customHeight="1">
      <c r="A227" s="78"/>
      <c r="B227" s="1">
        <v>225</v>
      </c>
      <c r="C227" s="31" t="s">
        <v>1</v>
      </c>
      <c r="D227" s="88" t="s">
        <v>15</v>
      </c>
      <c r="E227" s="89" t="s">
        <v>313</v>
      </c>
      <c r="F227" s="90"/>
      <c r="G227" s="90"/>
      <c r="H227" s="90"/>
      <c r="I227" s="75">
        <v>0</v>
      </c>
      <c r="J227" s="75">
        <f t="shared" ref="J227:U227" si="160">SUMIF($C228:$C229,$C227,J228:J229)</f>
        <v>0</v>
      </c>
      <c r="K227" s="75">
        <f t="shared" si="160"/>
        <v>0</v>
      </c>
      <c r="L227" s="75">
        <f t="shared" si="160"/>
        <v>0</v>
      </c>
      <c r="M227" s="75">
        <f t="shared" si="160"/>
        <v>0</v>
      </c>
      <c r="N227" s="75">
        <f t="shared" si="160"/>
        <v>0</v>
      </c>
      <c r="O227" s="75">
        <f t="shared" si="160"/>
        <v>0</v>
      </c>
      <c r="P227" s="75">
        <f t="shared" si="160"/>
        <v>0</v>
      </c>
      <c r="Q227" s="75">
        <f t="shared" si="160"/>
        <v>0</v>
      </c>
      <c r="R227" s="75">
        <f t="shared" si="160"/>
        <v>0</v>
      </c>
      <c r="S227" s="75">
        <f t="shared" si="160"/>
        <v>0</v>
      </c>
      <c r="T227" s="75">
        <f t="shared" si="160"/>
        <v>0</v>
      </c>
      <c r="U227" s="75">
        <f t="shared" si="160"/>
        <v>0</v>
      </c>
      <c r="V227" s="91">
        <f>SUM(I227:U227)</f>
        <v>0</v>
      </c>
      <c r="W227" s="92">
        <v>0</v>
      </c>
      <c r="X227" s="77">
        <f>SUMIF($C228:$C229,$C227,X228:X229)</f>
        <v>0</v>
      </c>
      <c r="Y227" s="70">
        <f t="shared" si="92"/>
        <v>0</v>
      </c>
      <c r="Z227" s="511"/>
      <c r="AA227" s="545"/>
      <c r="AB227" s="545"/>
      <c r="AC227" s="545">
        <f>SUM(AC229)</f>
        <v>0</v>
      </c>
      <c r="AD227" s="635">
        <f>AC227/X226</f>
        <v>0</v>
      </c>
      <c r="AL227" s="515"/>
    </row>
    <row r="228" spans="1:38" ht="15.6" customHeight="1">
      <c r="B228" s="30">
        <v>226</v>
      </c>
      <c r="C228" s="2" t="s">
        <v>0</v>
      </c>
      <c r="D228" s="23" t="s">
        <v>15</v>
      </c>
      <c r="E228" s="94" t="s">
        <v>239</v>
      </c>
      <c r="F228" s="416" t="s">
        <v>314</v>
      </c>
      <c r="G228" s="506" t="str">
        <f t="shared" ref="G228:G229" si="161">C228&amp;E228</f>
        <v>PREVTransporte de componentes e equipamentos de elétrica</v>
      </c>
      <c r="H228" s="525" t="str">
        <f t="shared" ref="H228:H229" si="162">Y228</f>
        <v/>
      </c>
      <c r="I228" s="26">
        <v>25789.4</v>
      </c>
      <c r="J228" s="105">
        <v>32236.75</v>
      </c>
      <c r="K228" s="105">
        <v>32236.75</v>
      </c>
      <c r="L228" s="105">
        <v>32236.75</v>
      </c>
      <c r="M228" s="105">
        <v>32236.75</v>
      </c>
      <c r="N228" s="105">
        <v>32236.75</v>
      </c>
      <c r="O228" s="105">
        <v>32236.75</v>
      </c>
      <c r="P228" s="105">
        <v>32236.75</v>
      </c>
      <c r="Q228" s="105">
        <v>32236.75</v>
      </c>
      <c r="R228" s="105">
        <v>32236.75</v>
      </c>
      <c r="S228" s="105">
        <v>32236.75</v>
      </c>
      <c r="T228" s="105">
        <v>32236.75</v>
      </c>
      <c r="U228" s="26">
        <v>6447.35</v>
      </c>
      <c r="V228" s="80">
        <v>386841</v>
      </c>
      <c r="W228" s="80">
        <v>0.7</v>
      </c>
      <c r="X228" s="28">
        <f t="shared" ref="X228:X229" si="163">W228*V228</f>
        <v>270788.7</v>
      </c>
      <c r="Y228" s="38" t="s">
        <v>74</v>
      </c>
      <c r="Z228" s="528"/>
      <c r="AA228" s="532"/>
      <c r="AB228" s="535"/>
      <c r="AC228" s="533"/>
      <c r="AD228" s="658"/>
    </row>
    <row r="229" spans="1:38" ht="15.6" customHeight="1">
      <c r="A229" s="31"/>
      <c r="B229" s="1">
        <v>227</v>
      </c>
      <c r="C229" s="31" t="s">
        <v>1</v>
      </c>
      <c r="D229" s="32" t="s">
        <v>315</v>
      </c>
      <c r="E229" s="95" t="s">
        <v>239</v>
      </c>
      <c r="F229" s="417" t="s">
        <v>314</v>
      </c>
      <c r="G229" s="506" t="str">
        <f t="shared" si="161"/>
        <v>REALTransporte de componentes e equipamentos de elétrica</v>
      </c>
      <c r="H229" s="525">
        <f t="shared" si="162"/>
        <v>0</v>
      </c>
      <c r="I229" s="35">
        <v>0</v>
      </c>
      <c r="J229" s="35">
        <v>0</v>
      </c>
      <c r="K229" s="35">
        <v>0</v>
      </c>
      <c r="L229" s="35">
        <v>0</v>
      </c>
      <c r="M229" s="35">
        <v>0</v>
      </c>
      <c r="N229" s="35">
        <v>0</v>
      </c>
      <c r="O229" s="35">
        <v>0</v>
      </c>
      <c r="P229" s="35"/>
      <c r="Q229" s="35"/>
      <c r="R229" s="35"/>
      <c r="S229" s="35"/>
      <c r="T229" s="35"/>
      <c r="U229" s="35"/>
      <c r="V229" s="36">
        <f t="shared" ref="V229" si="164">SUM(I229:U229)</f>
        <v>0</v>
      </c>
      <c r="W229" s="81">
        <v>0.7</v>
      </c>
      <c r="X229" s="37">
        <f t="shared" si="163"/>
        <v>0</v>
      </c>
      <c r="Y229" s="422">
        <f t="shared" si="92"/>
        <v>0</v>
      </c>
      <c r="Z229" s="529">
        <f>X228-AC229</f>
        <v>270788.7</v>
      </c>
      <c r="AA229" s="546"/>
      <c r="AB229" s="535">
        <f>ROUND((AVERAGE(J229:T229)*12),10)</f>
        <v>0</v>
      </c>
      <c r="AC229" s="535">
        <f>IF(AB229*W229&gt;X228,X228,AB229*W229)</f>
        <v>0</v>
      </c>
      <c r="AD229" s="632">
        <f>AC229/X228</f>
        <v>0</v>
      </c>
    </row>
    <row r="230" spans="1:38" ht="15.6" customHeight="1">
      <c r="B230" s="30">
        <v>228</v>
      </c>
      <c r="C230" s="2" t="s">
        <v>0</v>
      </c>
      <c r="D230" s="83" t="s">
        <v>9</v>
      </c>
      <c r="E230" s="84" t="s">
        <v>316</v>
      </c>
      <c r="F230" s="85"/>
      <c r="G230" s="85"/>
      <c r="H230" s="85"/>
      <c r="I230" s="86"/>
      <c r="J230" s="86"/>
      <c r="K230" s="86"/>
      <c r="L230" s="86"/>
      <c r="M230" s="86"/>
      <c r="N230" s="86"/>
      <c r="O230" s="86"/>
      <c r="P230" s="86"/>
      <c r="Q230" s="86"/>
      <c r="R230" s="86"/>
      <c r="S230" s="86"/>
      <c r="T230" s="86"/>
      <c r="U230" s="86"/>
      <c r="V230" s="86"/>
      <c r="W230" s="87"/>
      <c r="X230" s="87">
        <f>SUMIF($C231:$C234,$C230,X231:X234)</f>
        <v>16308.35</v>
      </c>
      <c r="Y230" s="70" t="s">
        <v>74</v>
      </c>
      <c r="Z230" s="511"/>
      <c r="AA230" s="545"/>
      <c r="AB230" s="545"/>
      <c r="AC230" s="545"/>
      <c r="AD230" s="634"/>
    </row>
    <row r="231" spans="1:38" ht="15.6" customHeight="1">
      <c r="A231" s="31"/>
      <c r="B231" s="1">
        <v>229</v>
      </c>
      <c r="C231" s="31" t="s">
        <v>1</v>
      </c>
      <c r="D231" s="88" t="s">
        <v>9</v>
      </c>
      <c r="E231" s="89" t="s">
        <v>316</v>
      </c>
      <c r="F231" s="90"/>
      <c r="G231" s="90"/>
      <c r="H231" s="90"/>
      <c r="I231" s="75">
        <v>0</v>
      </c>
      <c r="J231" s="75">
        <f>SUMIF($C232:$C235,$C231,J232:J235)</f>
        <v>0</v>
      </c>
      <c r="K231" s="75">
        <f>SUMIF($C232:$C235,$C231,K232:K235)</f>
        <v>1</v>
      </c>
      <c r="L231" s="75">
        <v>0</v>
      </c>
      <c r="M231" s="75">
        <f t="shared" ref="M231:U231" si="165">SUMIF($C232:$C235,$C231,M232:M235)</f>
        <v>0</v>
      </c>
      <c r="N231" s="75">
        <f t="shared" si="165"/>
        <v>0</v>
      </c>
      <c r="O231" s="75">
        <f t="shared" si="165"/>
        <v>0</v>
      </c>
      <c r="P231" s="75">
        <f t="shared" si="165"/>
        <v>0</v>
      </c>
      <c r="Q231" s="75">
        <f t="shared" si="165"/>
        <v>0</v>
      </c>
      <c r="R231" s="75">
        <f t="shared" si="165"/>
        <v>0</v>
      </c>
      <c r="S231" s="75">
        <f t="shared" si="165"/>
        <v>0</v>
      </c>
      <c r="T231" s="75">
        <f t="shared" si="165"/>
        <v>0</v>
      </c>
      <c r="U231" s="75">
        <f t="shared" si="165"/>
        <v>0</v>
      </c>
      <c r="V231" s="91">
        <f>SUM(I231:U231)</f>
        <v>1</v>
      </c>
      <c r="W231" s="92">
        <v>0</v>
      </c>
      <c r="X231" s="77">
        <f>SUMIF($C232:$C235,$C231,X232:X235)</f>
        <v>8154.1750000000002</v>
      </c>
      <c r="Y231" s="70">
        <f t="shared" si="92"/>
        <v>0.5</v>
      </c>
      <c r="Z231" s="511"/>
      <c r="AA231" s="545"/>
      <c r="AB231" s="545"/>
      <c r="AC231" s="545">
        <f>SUM(AC233:AC235)</f>
        <v>8154.1750000000002</v>
      </c>
      <c r="AD231" s="635">
        <f>AC231/X230</f>
        <v>0.5</v>
      </c>
    </row>
    <row r="232" spans="1:38" ht="15.6" customHeight="1">
      <c r="B232" s="30">
        <v>230</v>
      </c>
      <c r="C232" s="2" t="s">
        <v>0</v>
      </c>
      <c r="D232" s="23" t="s">
        <v>317</v>
      </c>
      <c r="E232" s="94" t="s">
        <v>241</v>
      </c>
      <c r="F232" s="416" t="s">
        <v>228</v>
      </c>
      <c r="G232" s="506" t="str">
        <f t="shared" ref="G232:G235" si="166">C232&amp;E232</f>
        <v>PREVMobilização e Desmobilização dos equipamentos - eixo norte</v>
      </c>
      <c r="H232" s="525" t="str">
        <f t="shared" ref="H232:H235" si="167">Y232</f>
        <v/>
      </c>
      <c r="I232" s="79">
        <v>0.5</v>
      </c>
      <c r="J232" s="79">
        <v>0</v>
      </c>
      <c r="K232" s="79">
        <v>0</v>
      </c>
      <c r="L232" s="79">
        <v>0</v>
      </c>
      <c r="M232" s="79">
        <v>0</v>
      </c>
      <c r="N232" s="79">
        <v>0</v>
      </c>
      <c r="O232" s="79">
        <v>0</v>
      </c>
      <c r="P232" s="79">
        <v>0</v>
      </c>
      <c r="Q232" s="79">
        <v>0</v>
      </c>
      <c r="R232" s="79">
        <v>0</v>
      </c>
      <c r="S232" s="79">
        <v>0</v>
      </c>
      <c r="T232" s="79">
        <v>0.5</v>
      </c>
      <c r="U232" s="79">
        <v>0.5</v>
      </c>
      <c r="V232" s="80">
        <v>1</v>
      </c>
      <c r="W232" s="80">
        <v>9854.1200000000008</v>
      </c>
      <c r="X232" s="28">
        <f t="shared" ref="X232:X235" si="168">W232*V232</f>
        <v>9854.1200000000008</v>
      </c>
      <c r="Y232" s="38" t="s">
        <v>74</v>
      </c>
      <c r="Z232" s="528"/>
      <c r="AA232" s="532"/>
      <c r="AB232" s="535"/>
      <c r="AC232" s="533"/>
      <c r="AD232" s="658"/>
    </row>
    <row r="233" spans="1:38" ht="15.6" customHeight="1">
      <c r="A233" s="31"/>
      <c r="B233" s="1">
        <v>231</v>
      </c>
      <c r="C233" s="31" t="s">
        <v>1</v>
      </c>
      <c r="D233" s="32" t="s">
        <v>317</v>
      </c>
      <c r="E233" s="95" t="s">
        <v>241</v>
      </c>
      <c r="F233" s="417" t="s">
        <v>228</v>
      </c>
      <c r="G233" s="506" t="str">
        <f t="shared" si="166"/>
        <v>REALMobilização e Desmobilização dos equipamentos - eixo norte</v>
      </c>
      <c r="H233" s="525">
        <f t="shared" si="167"/>
        <v>0.5</v>
      </c>
      <c r="I233" s="35">
        <v>0</v>
      </c>
      <c r="J233" s="35">
        <v>0</v>
      </c>
      <c r="K233" s="35">
        <v>0.5</v>
      </c>
      <c r="L233" s="35">
        <v>0</v>
      </c>
      <c r="M233" s="35">
        <v>0</v>
      </c>
      <c r="N233" s="35">
        <v>0</v>
      </c>
      <c r="O233" s="35">
        <v>0</v>
      </c>
      <c r="P233" s="35"/>
      <c r="Q233" s="35"/>
      <c r="R233" s="35"/>
      <c r="S233" s="35"/>
      <c r="T233" s="35"/>
      <c r="U233" s="35"/>
      <c r="V233" s="36">
        <f t="shared" ref="V233" si="169">SUM(I233:U233)</f>
        <v>0.5</v>
      </c>
      <c r="W233" s="81">
        <v>9854.1200000000008</v>
      </c>
      <c r="X233" s="37">
        <f t="shared" si="168"/>
        <v>4927.0600000000004</v>
      </c>
      <c r="Y233" s="38">
        <f t="shared" si="92"/>
        <v>0.5</v>
      </c>
      <c r="Z233" s="529">
        <f>X232-AC233</f>
        <v>4927.0600000000004</v>
      </c>
      <c r="AA233" s="546"/>
      <c r="AB233" s="535">
        <f>V233</f>
        <v>0.5</v>
      </c>
      <c r="AC233" s="535">
        <f>IF(AB233*W233&gt;X232,X232,AB233*W233)</f>
        <v>4927.0600000000004</v>
      </c>
      <c r="AD233" s="632">
        <f>AC233/X232</f>
        <v>0.5</v>
      </c>
    </row>
    <row r="234" spans="1:38" ht="15.6" customHeight="1">
      <c r="B234" s="30">
        <v>232</v>
      </c>
      <c r="C234" s="2" t="s">
        <v>0</v>
      </c>
      <c r="D234" s="23" t="s">
        <v>318</v>
      </c>
      <c r="E234" s="94" t="s">
        <v>242</v>
      </c>
      <c r="F234" s="416" t="s">
        <v>228</v>
      </c>
      <c r="G234" s="506" t="str">
        <f t="shared" si="166"/>
        <v>PREVMobilização e Desmobilização dos equipamentos - eixo leste</v>
      </c>
      <c r="H234" s="525" t="str">
        <f t="shared" si="167"/>
        <v/>
      </c>
      <c r="I234" s="79">
        <v>0.5</v>
      </c>
      <c r="J234" s="79">
        <v>0</v>
      </c>
      <c r="K234" s="79">
        <v>0</v>
      </c>
      <c r="L234" s="79">
        <v>0</v>
      </c>
      <c r="M234" s="79">
        <v>0</v>
      </c>
      <c r="N234" s="79">
        <v>0</v>
      </c>
      <c r="O234" s="79">
        <v>0</v>
      </c>
      <c r="P234" s="79">
        <v>0</v>
      </c>
      <c r="Q234" s="79">
        <v>0</v>
      </c>
      <c r="R234" s="79">
        <v>0</v>
      </c>
      <c r="S234" s="79">
        <v>0</v>
      </c>
      <c r="T234" s="79">
        <v>0.5</v>
      </c>
      <c r="U234" s="79">
        <v>0.5</v>
      </c>
      <c r="V234" s="80">
        <v>1</v>
      </c>
      <c r="W234" s="80">
        <v>6454.23</v>
      </c>
      <c r="X234" s="28">
        <f t="shared" si="168"/>
        <v>6454.23</v>
      </c>
      <c r="Y234" s="38" t="s">
        <v>74</v>
      </c>
      <c r="Z234" s="528"/>
      <c r="AA234" s="532"/>
      <c r="AB234" s="535"/>
      <c r="AC234" s="533"/>
      <c r="AD234" s="658"/>
    </row>
    <row r="235" spans="1:38" ht="15.6" customHeight="1">
      <c r="A235" s="31"/>
      <c r="B235" s="1">
        <v>233</v>
      </c>
      <c r="C235" s="31" t="s">
        <v>1</v>
      </c>
      <c r="D235" s="32" t="s">
        <v>318</v>
      </c>
      <c r="E235" s="95" t="s">
        <v>242</v>
      </c>
      <c r="F235" s="417" t="s">
        <v>228</v>
      </c>
      <c r="G235" s="506" t="str">
        <f t="shared" si="166"/>
        <v>REALMobilização e Desmobilização dos equipamentos - eixo leste</v>
      </c>
      <c r="H235" s="525">
        <f t="shared" si="167"/>
        <v>0.5</v>
      </c>
      <c r="I235" s="35">
        <v>0</v>
      </c>
      <c r="J235" s="35">
        <v>0</v>
      </c>
      <c r="K235" s="35">
        <v>0.5</v>
      </c>
      <c r="L235" s="35">
        <v>0</v>
      </c>
      <c r="M235" s="35">
        <v>0</v>
      </c>
      <c r="N235" s="35">
        <v>0</v>
      </c>
      <c r="O235" s="35">
        <v>0</v>
      </c>
      <c r="P235" s="35"/>
      <c r="Q235" s="35"/>
      <c r="R235" s="35"/>
      <c r="S235" s="35"/>
      <c r="T235" s="35"/>
      <c r="U235" s="35"/>
      <c r="V235" s="36">
        <f t="shared" ref="V235" si="170">SUM(I235:U235)</f>
        <v>0.5</v>
      </c>
      <c r="W235" s="81">
        <v>6454.23</v>
      </c>
      <c r="X235" s="37">
        <f t="shared" si="168"/>
        <v>3227.1149999999998</v>
      </c>
      <c r="Y235" s="38">
        <f t="shared" si="92"/>
        <v>0.5</v>
      </c>
      <c r="Z235" s="529">
        <f>X234-AC235</f>
        <v>3227.1149999999998</v>
      </c>
      <c r="AA235" s="546"/>
      <c r="AB235" s="535">
        <f>V235</f>
        <v>0.5</v>
      </c>
      <c r="AC235" s="535">
        <f>IF(AB235*W235&gt;X234,X234,AB235*W235)</f>
        <v>3227.1149999999998</v>
      </c>
      <c r="AD235" s="632">
        <f>AC235/X234</f>
        <v>0.5</v>
      </c>
    </row>
    <row r="236" spans="1:38" ht="15.6" customHeight="1">
      <c r="B236" s="30">
        <v>234</v>
      </c>
      <c r="C236" s="2" t="s">
        <v>0</v>
      </c>
      <c r="D236" s="83" t="s">
        <v>10</v>
      </c>
      <c r="E236" s="84" t="s">
        <v>319</v>
      </c>
      <c r="F236" s="85"/>
      <c r="G236" s="85"/>
      <c r="H236" s="85"/>
      <c r="I236" s="86"/>
      <c r="J236" s="86"/>
      <c r="K236" s="86"/>
      <c r="L236" s="86"/>
      <c r="M236" s="86"/>
      <c r="N236" s="86"/>
      <c r="O236" s="86"/>
      <c r="P236" s="86"/>
      <c r="Q236" s="86"/>
      <c r="R236" s="86"/>
      <c r="S236" s="86"/>
      <c r="T236" s="86"/>
      <c r="U236" s="86"/>
      <c r="V236" s="86"/>
      <c r="W236" s="87"/>
      <c r="X236" s="106">
        <f>SUMIF($C237:$C248,$C236,X237:X248)</f>
        <v>70204</v>
      </c>
      <c r="Y236" s="70" t="s">
        <v>74</v>
      </c>
      <c r="Z236" s="511"/>
      <c r="AA236" s="545"/>
      <c r="AB236" s="545"/>
      <c r="AC236" s="545"/>
      <c r="AD236" s="634"/>
    </row>
    <row r="237" spans="1:38" ht="15.6" customHeight="1">
      <c r="A237" s="31"/>
      <c r="B237" s="1">
        <v>235</v>
      </c>
      <c r="C237" s="31" t="s">
        <v>1</v>
      </c>
      <c r="D237" s="88" t="s">
        <v>10</v>
      </c>
      <c r="E237" s="89" t="s">
        <v>319</v>
      </c>
      <c r="F237" s="90"/>
      <c r="G237" s="90"/>
      <c r="H237" s="90"/>
      <c r="I237" s="75">
        <f t="shared" ref="I237:U237" si="171">SUMIF($C238:$C250,$C237,I238:I250)</f>
        <v>8.533333333333335</v>
      </c>
      <c r="J237" s="75">
        <f t="shared" si="171"/>
        <v>10.666666666666668</v>
      </c>
      <c r="K237" s="75">
        <f t="shared" si="171"/>
        <v>10.666666666666668</v>
      </c>
      <c r="L237" s="75">
        <f t="shared" si="171"/>
        <v>10.666666666666668</v>
      </c>
      <c r="M237" s="75">
        <f t="shared" si="171"/>
        <v>10.666666666666668</v>
      </c>
      <c r="N237" s="75">
        <f t="shared" si="171"/>
        <v>10.666666666666668</v>
      </c>
      <c r="O237" s="75">
        <f t="shared" si="171"/>
        <v>10.666666666666668</v>
      </c>
      <c r="P237" s="75">
        <f t="shared" si="171"/>
        <v>0</v>
      </c>
      <c r="Q237" s="75">
        <f t="shared" si="171"/>
        <v>0</v>
      </c>
      <c r="R237" s="75">
        <f t="shared" si="171"/>
        <v>0</v>
      </c>
      <c r="S237" s="75">
        <f t="shared" si="171"/>
        <v>0</v>
      </c>
      <c r="T237" s="75">
        <f t="shared" si="171"/>
        <v>0</v>
      </c>
      <c r="U237" s="75">
        <f t="shared" si="171"/>
        <v>0</v>
      </c>
      <c r="V237" s="91">
        <f>SUM(I237:U237)</f>
        <v>72.533333333333346</v>
      </c>
      <c r="W237" s="92">
        <v>0</v>
      </c>
      <c r="X237" s="77">
        <f>SUMIF($C238:$C249,$C237,X238:X249)</f>
        <v>39782.266666666663</v>
      </c>
      <c r="Y237" s="70">
        <f t="shared" si="92"/>
        <v>0.56666666666666665</v>
      </c>
      <c r="Z237" s="511"/>
      <c r="AA237" s="545"/>
      <c r="AB237" s="545"/>
      <c r="AC237" s="545">
        <f>SUM(AC239:AC249)</f>
        <v>70204</v>
      </c>
      <c r="AD237" s="635">
        <f>AC237/X236</f>
        <v>1</v>
      </c>
    </row>
    <row r="238" spans="1:38" ht="15.6" customHeight="1">
      <c r="B238" s="30">
        <v>236</v>
      </c>
      <c r="C238" s="2" t="s">
        <v>0</v>
      </c>
      <c r="D238" s="23" t="s">
        <v>320</v>
      </c>
      <c r="E238" s="24" t="s">
        <v>244</v>
      </c>
      <c r="F238" s="416" t="s">
        <v>274</v>
      </c>
      <c r="G238" s="506" t="str">
        <f t="shared" ref="G238:G249" si="172">C238&amp;E238</f>
        <v>PREVLocação de Container 2,30x6,00m, alt.2,50m, s/div. int e s/sanitários</v>
      </c>
      <c r="H238" s="525" t="str">
        <f t="shared" ref="H238:H249" si="173">Y238</f>
        <v/>
      </c>
      <c r="I238" s="26">
        <v>1.6</v>
      </c>
      <c r="J238" s="79">
        <v>2</v>
      </c>
      <c r="K238" s="79">
        <v>2</v>
      </c>
      <c r="L238" s="79">
        <v>2</v>
      </c>
      <c r="M238" s="79">
        <v>2</v>
      </c>
      <c r="N238" s="79">
        <v>2</v>
      </c>
      <c r="O238" s="79">
        <v>2</v>
      </c>
      <c r="P238" s="79">
        <v>2</v>
      </c>
      <c r="Q238" s="79">
        <v>2</v>
      </c>
      <c r="R238" s="79">
        <v>2</v>
      </c>
      <c r="S238" s="79">
        <v>2</v>
      </c>
      <c r="T238" s="79">
        <v>2</v>
      </c>
      <c r="U238" s="26">
        <v>0.4</v>
      </c>
      <c r="V238" s="80">
        <v>24</v>
      </c>
      <c r="W238" s="80">
        <v>603.22</v>
      </c>
      <c r="X238" s="28">
        <f t="shared" ref="X238:X249" si="174">W238*V238</f>
        <v>14477.28</v>
      </c>
      <c r="Y238" s="38" t="s">
        <v>74</v>
      </c>
      <c r="Z238" s="528"/>
      <c r="AA238" s="532"/>
      <c r="AB238" s="535"/>
      <c r="AC238" s="533"/>
      <c r="AD238" s="658"/>
    </row>
    <row r="239" spans="1:38" ht="15.6" customHeight="1">
      <c r="A239" s="31"/>
      <c r="B239" s="1">
        <v>237</v>
      </c>
      <c r="C239" s="31" t="s">
        <v>1</v>
      </c>
      <c r="D239" s="32" t="s">
        <v>320</v>
      </c>
      <c r="E239" s="33" t="s">
        <v>244</v>
      </c>
      <c r="F239" s="417" t="s">
        <v>274</v>
      </c>
      <c r="G239" s="506" t="str">
        <f t="shared" si="172"/>
        <v>REALLocação de Container 2,30x6,00m, alt.2,50m, s/div. int e s/sanitários</v>
      </c>
      <c r="H239" s="525">
        <f t="shared" si="173"/>
        <v>0.56666666666666665</v>
      </c>
      <c r="I239" s="35">
        <v>1.6</v>
      </c>
      <c r="J239" s="35">
        <v>2</v>
      </c>
      <c r="K239" s="35">
        <v>2</v>
      </c>
      <c r="L239" s="35">
        <v>2</v>
      </c>
      <c r="M239" s="35">
        <v>2</v>
      </c>
      <c r="N239" s="35">
        <v>2</v>
      </c>
      <c r="O239" s="35">
        <v>2</v>
      </c>
      <c r="P239" s="35"/>
      <c r="Q239" s="35"/>
      <c r="R239" s="35"/>
      <c r="S239" s="35"/>
      <c r="T239" s="35"/>
      <c r="U239" s="35"/>
      <c r="V239" s="36">
        <f t="shared" ref="V239" si="175">SUM(I239:U239)</f>
        <v>13.6</v>
      </c>
      <c r="W239" s="81">
        <v>603.22</v>
      </c>
      <c r="X239" s="37">
        <f t="shared" si="174"/>
        <v>8203.7919999999995</v>
      </c>
      <c r="Y239" s="38">
        <f t="shared" si="92"/>
        <v>0.56666666666666665</v>
      </c>
      <c r="Z239" s="529">
        <f>X238-AC239</f>
        <v>0</v>
      </c>
      <c r="AA239" s="546"/>
      <c r="AB239" s="535">
        <f>ROUND((AVERAGE(J239:T239)*12),1)</f>
        <v>24</v>
      </c>
      <c r="AC239" s="535">
        <f>IF(AB239*W239&gt;X238,X238,AB239*W239)</f>
        <v>14477.28</v>
      </c>
      <c r="AD239" s="632">
        <f>AC239/X238</f>
        <v>1</v>
      </c>
    </row>
    <row r="240" spans="1:38" ht="15.6" customHeight="1">
      <c r="B240" s="30">
        <v>238</v>
      </c>
      <c r="C240" s="2" t="s">
        <v>0</v>
      </c>
      <c r="D240" s="23" t="s">
        <v>321</v>
      </c>
      <c r="E240" s="24" t="s">
        <v>245</v>
      </c>
      <c r="F240" s="416" t="s">
        <v>247</v>
      </c>
      <c r="G240" s="506" t="str">
        <f t="shared" si="172"/>
        <v>PREVAr condicionado split - 9.000 BTU's</v>
      </c>
      <c r="H240" s="525" t="str">
        <f t="shared" si="173"/>
        <v/>
      </c>
      <c r="I240" s="26">
        <v>1.6</v>
      </c>
      <c r="J240" s="79">
        <v>2</v>
      </c>
      <c r="K240" s="79">
        <v>2</v>
      </c>
      <c r="L240" s="79">
        <v>2</v>
      </c>
      <c r="M240" s="79">
        <v>2</v>
      </c>
      <c r="N240" s="79">
        <v>2</v>
      </c>
      <c r="O240" s="79">
        <v>2</v>
      </c>
      <c r="P240" s="79">
        <v>2</v>
      </c>
      <c r="Q240" s="79">
        <v>2</v>
      </c>
      <c r="R240" s="79">
        <v>2</v>
      </c>
      <c r="S240" s="79">
        <v>2</v>
      </c>
      <c r="T240" s="79">
        <v>2</v>
      </c>
      <c r="U240" s="26">
        <v>0.4</v>
      </c>
      <c r="V240" s="80">
        <v>24</v>
      </c>
      <c r="W240" s="80">
        <v>19.100000000000001</v>
      </c>
      <c r="X240" s="28">
        <f t="shared" si="174"/>
        <v>458.40000000000003</v>
      </c>
      <c r="Y240" s="38" t="s">
        <v>74</v>
      </c>
      <c r="Z240" s="528"/>
      <c r="AA240" s="532"/>
      <c r="AB240" s="535"/>
      <c r="AC240" s="533"/>
      <c r="AD240" s="658"/>
    </row>
    <row r="241" spans="1:38" ht="15.6" customHeight="1">
      <c r="A241" s="31"/>
      <c r="B241" s="1">
        <v>239</v>
      </c>
      <c r="C241" s="31" t="s">
        <v>1</v>
      </c>
      <c r="D241" s="32" t="s">
        <v>321</v>
      </c>
      <c r="E241" s="33" t="s">
        <v>245</v>
      </c>
      <c r="F241" s="417" t="s">
        <v>247</v>
      </c>
      <c r="G241" s="506" t="str">
        <f t="shared" si="172"/>
        <v>REALAr condicionado split - 9.000 BTU's</v>
      </c>
      <c r="H241" s="525">
        <f t="shared" si="173"/>
        <v>0.56666666666666665</v>
      </c>
      <c r="I241" s="35">
        <v>1.6</v>
      </c>
      <c r="J241" s="35">
        <v>2</v>
      </c>
      <c r="K241" s="35">
        <v>2</v>
      </c>
      <c r="L241" s="35">
        <v>2</v>
      </c>
      <c r="M241" s="35">
        <v>2</v>
      </c>
      <c r="N241" s="35">
        <v>2</v>
      </c>
      <c r="O241" s="35">
        <v>2</v>
      </c>
      <c r="P241" s="35"/>
      <c r="Q241" s="35"/>
      <c r="R241" s="35"/>
      <c r="S241" s="35"/>
      <c r="T241" s="35"/>
      <c r="U241" s="35"/>
      <c r="V241" s="36">
        <f t="shared" ref="V241" si="176">SUM(I241:U241)</f>
        <v>13.6</v>
      </c>
      <c r="W241" s="81">
        <v>19.100000000000001</v>
      </c>
      <c r="X241" s="37">
        <f t="shared" si="174"/>
        <v>259.76</v>
      </c>
      <c r="Y241" s="38">
        <f t="shared" si="92"/>
        <v>0.56666666666666665</v>
      </c>
      <c r="Z241" s="529">
        <f>X240-AC241</f>
        <v>0</v>
      </c>
      <c r="AA241" s="546"/>
      <c r="AB241" s="535">
        <f>ROUND((AVERAGE(J241:T241)*12),1)</f>
        <v>24</v>
      </c>
      <c r="AC241" s="535">
        <f>IF(AB241*W241&gt;X240,X240,AB241*W241)</f>
        <v>458.40000000000003</v>
      </c>
      <c r="AD241" s="632">
        <f>AC241/X240</f>
        <v>1</v>
      </c>
    </row>
    <row r="242" spans="1:38" ht="15.6" customHeight="1">
      <c r="B242" s="30">
        <v>240</v>
      </c>
      <c r="C242" s="2" t="s">
        <v>0</v>
      </c>
      <c r="D242" s="23" t="s">
        <v>322</v>
      </c>
      <c r="E242" s="24" t="s">
        <v>248</v>
      </c>
      <c r="F242" s="416" t="s">
        <v>247</v>
      </c>
      <c r="G242" s="506" t="str">
        <f t="shared" si="172"/>
        <v>PREVGrupo gerador de 4 KVA, 220v, trifásico, silenciado, com 100 metros de cabos e 01 QTA</v>
      </c>
      <c r="H242" s="525" t="str">
        <f t="shared" si="173"/>
        <v/>
      </c>
      <c r="I242" s="26">
        <v>1.6</v>
      </c>
      <c r="J242" s="79">
        <v>2</v>
      </c>
      <c r="K242" s="79">
        <v>2</v>
      </c>
      <c r="L242" s="79">
        <v>2</v>
      </c>
      <c r="M242" s="79">
        <v>2</v>
      </c>
      <c r="N242" s="79">
        <v>2</v>
      </c>
      <c r="O242" s="79">
        <v>2</v>
      </c>
      <c r="P242" s="79">
        <v>2</v>
      </c>
      <c r="Q242" s="79">
        <v>2</v>
      </c>
      <c r="R242" s="79">
        <v>2</v>
      </c>
      <c r="S242" s="79">
        <v>2</v>
      </c>
      <c r="T242" s="79">
        <v>2</v>
      </c>
      <c r="U242" s="26">
        <v>0.4</v>
      </c>
      <c r="V242" s="80">
        <v>24</v>
      </c>
      <c r="W242" s="107">
        <v>77.209999999999994</v>
      </c>
      <c r="X242" s="28">
        <f t="shared" si="174"/>
        <v>1853.04</v>
      </c>
      <c r="Y242" s="38" t="s">
        <v>74</v>
      </c>
      <c r="Z242" s="528"/>
      <c r="AA242" s="532"/>
      <c r="AB242" s="535"/>
      <c r="AC242" s="533"/>
      <c r="AD242" s="658"/>
    </row>
    <row r="243" spans="1:38" ht="15.6" customHeight="1">
      <c r="A243" s="31"/>
      <c r="B243" s="1">
        <v>241</v>
      </c>
      <c r="C243" s="31" t="s">
        <v>1</v>
      </c>
      <c r="D243" s="32" t="s">
        <v>322</v>
      </c>
      <c r="E243" s="33" t="s">
        <v>248</v>
      </c>
      <c r="F243" s="417" t="s">
        <v>247</v>
      </c>
      <c r="G243" s="506" t="str">
        <f t="shared" si="172"/>
        <v>REALGrupo gerador de 4 KVA, 220v, trifásico, silenciado, com 100 metros de cabos e 01 QTA</v>
      </c>
      <c r="H243" s="525">
        <f t="shared" si="173"/>
        <v>0.56666666666666654</v>
      </c>
      <c r="I243" s="35">
        <v>1.6</v>
      </c>
      <c r="J243" s="35">
        <v>2</v>
      </c>
      <c r="K243" s="35">
        <v>2</v>
      </c>
      <c r="L243" s="35">
        <v>2</v>
      </c>
      <c r="M243" s="35">
        <v>2</v>
      </c>
      <c r="N243" s="35">
        <v>2</v>
      </c>
      <c r="O243" s="35">
        <v>2</v>
      </c>
      <c r="P243" s="35"/>
      <c r="Q243" s="35"/>
      <c r="R243" s="35"/>
      <c r="S243" s="35"/>
      <c r="T243" s="35"/>
      <c r="U243" s="35"/>
      <c r="V243" s="36">
        <f t="shared" ref="V243" si="177">SUM(I243:U243)</f>
        <v>13.6</v>
      </c>
      <c r="W243" s="81">
        <v>77.209999999999994</v>
      </c>
      <c r="X243" s="37">
        <f t="shared" si="174"/>
        <v>1050.0559999999998</v>
      </c>
      <c r="Y243" s="38">
        <f t="shared" si="92"/>
        <v>0.56666666666666654</v>
      </c>
      <c r="Z243" s="529">
        <f>X242-AC243</f>
        <v>0</v>
      </c>
      <c r="AA243" s="546"/>
      <c r="AB243" s="535">
        <f>ROUND((AVERAGE(J243:T243)*12),1)</f>
        <v>24</v>
      </c>
      <c r="AC243" s="535">
        <f>IF(AB243*W243&gt;X242,X242,AB243*W243)</f>
        <v>1853.04</v>
      </c>
      <c r="AD243" s="632">
        <f>AC243/X242</f>
        <v>1</v>
      </c>
    </row>
    <row r="244" spans="1:38" ht="15.6" customHeight="1">
      <c r="B244" s="30">
        <v>242</v>
      </c>
      <c r="C244" s="2" t="s">
        <v>0</v>
      </c>
      <c r="D244" s="23" t="s">
        <v>323</v>
      </c>
      <c r="E244" s="24" t="s">
        <v>249</v>
      </c>
      <c r="F244" s="416" t="s">
        <v>274</v>
      </c>
      <c r="G244" s="506" t="str">
        <f t="shared" si="172"/>
        <v>PREVBanheiro Químico, com 03 limpezas semanais</v>
      </c>
      <c r="H244" s="525" t="str">
        <f t="shared" si="173"/>
        <v/>
      </c>
      <c r="I244" s="26">
        <v>3.2</v>
      </c>
      <c r="J244" s="79">
        <v>4</v>
      </c>
      <c r="K244" s="79">
        <v>4</v>
      </c>
      <c r="L244" s="79">
        <v>4</v>
      </c>
      <c r="M244" s="79">
        <v>4</v>
      </c>
      <c r="N244" s="79">
        <v>4</v>
      </c>
      <c r="O244" s="79">
        <v>4</v>
      </c>
      <c r="P244" s="79">
        <v>4</v>
      </c>
      <c r="Q244" s="79">
        <v>4</v>
      </c>
      <c r="R244" s="79">
        <v>4</v>
      </c>
      <c r="S244" s="79">
        <v>4</v>
      </c>
      <c r="T244" s="79">
        <v>4</v>
      </c>
      <c r="U244" s="26">
        <v>0.8</v>
      </c>
      <c r="V244" s="80">
        <v>48</v>
      </c>
      <c r="W244" s="80">
        <v>617.16999999999996</v>
      </c>
      <c r="X244" s="28">
        <f t="shared" si="174"/>
        <v>29624.159999999996</v>
      </c>
      <c r="Y244" s="38" t="s">
        <v>74</v>
      </c>
      <c r="Z244" s="528"/>
      <c r="AA244" s="532"/>
      <c r="AB244" s="535"/>
      <c r="AC244" s="533"/>
      <c r="AD244" s="658"/>
    </row>
    <row r="245" spans="1:38" ht="15.6" customHeight="1">
      <c r="A245" s="31"/>
      <c r="B245" s="1">
        <v>243</v>
      </c>
      <c r="C245" s="31" t="s">
        <v>1</v>
      </c>
      <c r="D245" s="32" t="s">
        <v>323</v>
      </c>
      <c r="E245" s="33" t="s">
        <v>249</v>
      </c>
      <c r="F245" s="417" t="s">
        <v>274</v>
      </c>
      <c r="G245" s="506" t="str">
        <f t="shared" si="172"/>
        <v>REALBanheiro Químico, com 03 limpezas semanais</v>
      </c>
      <c r="H245" s="525">
        <f t="shared" si="173"/>
        <v>0.56666666666666665</v>
      </c>
      <c r="I245" s="35">
        <v>3.2</v>
      </c>
      <c r="J245" s="35">
        <v>4</v>
      </c>
      <c r="K245" s="35">
        <v>4</v>
      </c>
      <c r="L245" s="35">
        <v>4</v>
      </c>
      <c r="M245" s="35">
        <v>4</v>
      </c>
      <c r="N245" s="35">
        <v>4</v>
      </c>
      <c r="O245" s="35">
        <v>4</v>
      </c>
      <c r="P245" s="35"/>
      <c r="Q245" s="35"/>
      <c r="R245" s="35"/>
      <c r="S245" s="35"/>
      <c r="T245" s="35"/>
      <c r="U245" s="35"/>
      <c r="V245" s="36">
        <f t="shared" ref="V245" si="178">SUM(I245:U245)</f>
        <v>27.2</v>
      </c>
      <c r="W245" s="81">
        <v>617.16999999999996</v>
      </c>
      <c r="X245" s="37">
        <f t="shared" si="174"/>
        <v>16787.023999999998</v>
      </c>
      <c r="Y245" s="38">
        <f t="shared" ref="Y245:Y261" si="179">X245/X244</f>
        <v>0.56666666666666665</v>
      </c>
      <c r="Z245" s="529">
        <f>X244-AC245</f>
        <v>0</v>
      </c>
      <c r="AA245" s="546"/>
      <c r="AB245" s="535">
        <f>ROUND((AVERAGE(J245:T245)*12),1)</f>
        <v>48</v>
      </c>
      <c r="AC245" s="535">
        <f>IF(AB245*W245&gt;X244,X244,AB245*W245)</f>
        <v>29624.159999999996</v>
      </c>
      <c r="AD245" s="632">
        <f>AC245/X244</f>
        <v>1</v>
      </c>
    </row>
    <row r="246" spans="1:38" ht="15.6" customHeight="1">
      <c r="B246" s="30">
        <v>244</v>
      </c>
      <c r="C246" s="2" t="s">
        <v>0</v>
      </c>
      <c r="D246" s="23" t="s">
        <v>324</v>
      </c>
      <c r="E246" s="24" t="s">
        <v>251</v>
      </c>
      <c r="F246" s="416" t="s">
        <v>228</v>
      </c>
      <c r="G246" s="506" t="str">
        <f t="shared" si="172"/>
        <v>PREVTenda Piramidal 6m x 6m (para refeitório)</v>
      </c>
      <c r="H246" s="525" t="str">
        <f t="shared" si="173"/>
        <v/>
      </c>
      <c r="I246" s="26">
        <v>0.26400000000000001</v>
      </c>
      <c r="J246" s="79">
        <v>0.33</v>
      </c>
      <c r="K246" s="79">
        <v>0.33</v>
      </c>
      <c r="L246" s="79">
        <v>0.33</v>
      </c>
      <c r="M246" s="79">
        <v>0.33</v>
      </c>
      <c r="N246" s="79">
        <v>0.33</v>
      </c>
      <c r="O246" s="79">
        <v>0.33</v>
      </c>
      <c r="P246" s="79">
        <v>0.33</v>
      </c>
      <c r="Q246" s="79">
        <v>0.33</v>
      </c>
      <c r="R246" s="79">
        <v>0.33</v>
      </c>
      <c r="S246" s="79">
        <v>0.33</v>
      </c>
      <c r="T246" s="79">
        <v>0.33</v>
      </c>
      <c r="U246" s="26">
        <v>6.6000000000000003E-2</v>
      </c>
      <c r="V246" s="80">
        <v>4</v>
      </c>
      <c r="W246" s="80">
        <v>5121.49</v>
      </c>
      <c r="X246" s="28">
        <f t="shared" si="174"/>
        <v>20485.96</v>
      </c>
      <c r="Y246" s="38" t="s">
        <v>74</v>
      </c>
      <c r="Z246" s="528"/>
      <c r="AA246" s="532"/>
      <c r="AB246" s="535"/>
      <c r="AC246" s="533"/>
      <c r="AD246" s="658"/>
    </row>
    <row r="247" spans="1:38" ht="15.6" customHeight="1">
      <c r="A247" s="31"/>
      <c r="B247" s="1">
        <v>245</v>
      </c>
      <c r="C247" s="31" t="s">
        <v>1</v>
      </c>
      <c r="D247" s="32" t="s">
        <v>324</v>
      </c>
      <c r="E247" s="33" t="s">
        <v>251</v>
      </c>
      <c r="F247" s="417" t="s">
        <v>228</v>
      </c>
      <c r="G247" s="506" t="str">
        <f t="shared" si="172"/>
        <v>REALTenda Piramidal 6m x 6m (para refeitório)</v>
      </c>
      <c r="H247" s="525">
        <f t="shared" si="173"/>
        <v>0.56666666666666665</v>
      </c>
      <c r="I247" s="35">
        <v>0.26666666666666666</v>
      </c>
      <c r="J247" s="35">
        <v>0.33333333333333331</v>
      </c>
      <c r="K247" s="35">
        <v>0.33333333333333331</v>
      </c>
      <c r="L247" s="35">
        <v>0.33333333333333331</v>
      </c>
      <c r="M247" s="35">
        <v>0.33333333333333331</v>
      </c>
      <c r="N247" s="35">
        <v>0.33333333333333331</v>
      </c>
      <c r="O247" s="35">
        <v>0.33333333333333331</v>
      </c>
      <c r="P247" s="35"/>
      <c r="Q247" s="35"/>
      <c r="R247" s="35"/>
      <c r="S247" s="35"/>
      <c r="T247" s="35"/>
      <c r="U247" s="35"/>
      <c r="V247" s="36">
        <f t="shared" ref="V247" si="180">SUM(I247:U247)</f>
        <v>2.2666666666666666</v>
      </c>
      <c r="W247" s="81">
        <v>5121.49</v>
      </c>
      <c r="X247" s="37">
        <f t="shared" si="174"/>
        <v>11608.710666666666</v>
      </c>
      <c r="Y247" s="38">
        <f t="shared" si="179"/>
        <v>0.56666666666666665</v>
      </c>
      <c r="Z247" s="529">
        <f>X246-AC247</f>
        <v>0</v>
      </c>
      <c r="AA247" s="546"/>
      <c r="AB247" s="535">
        <f>ROUND((AVERAGE(J247:T247)*12),1)</f>
        <v>4</v>
      </c>
      <c r="AC247" s="535">
        <f>IF(AB247*W247&gt;X246,X246,AB247*W247)</f>
        <v>20485.96</v>
      </c>
      <c r="AD247" s="632">
        <f>AC247/X246</f>
        <v>1</v>
      </c>
    </row>
    <row r="248" spans="1:38" ht="15.6" customHeight="1">
      <c r="B248" s="30">
        <v>246</v>
      </c>
      <c r="C248" s="2" t="s">
        <v>0</v>
      </c>
      <c r="D248" s="23" t="s">
        <v>325</v>
      </c>
      <c r="E248" s="24" t="s">
        <v>252</v>
      </c>
      <c r="F248" s="416" t="s">
        <v>228</v>
      </c>
      <c r="G248" s="506" t="str">
        <f t="shared" si="172"/>
        <v>PREVBebedouro elétrico</v>
      </c>
      <c r="H248" s="525" t="str">
        <f t="shared" si="173"/>
        <v/>
      </c>
      <c r="I248" s="26">
        <v>0.26400000000000001</v>
      </c>
      <c r="J248" s="79">
        <v>0.33</v>
      </c>
      <c r="K248" s="79">
        <v>0.33</v>
      </c>
      <c r="L248" s="79">
        <v>0.33</v>
      </c>
      <c r="M248" s="79">
        <v>0.33</v>
      </c>
      <c r="N248" s="79">
        <v>0.33</v>
      </c>
      <c r="O248" s="79">
        <v>0.33</v>
      </c>
      <c r="P248" s="79">
        <v>0.33</v>
      </c>
      <c r="Q248" s="79">
        <v>0.33</v>
      </c>
      <c r="R248" s="79">
        <v>0.33</v>
      </c>
      <c r="S248" s="79">
        <v>0.33</v>
      </c>
      <c r="T248" s="79">
        <v>0.33</v>
      </c>
      <c r="U248" s="26">
        <v>6.6000000000000003E-2</v>
      </c>
      <c r="V248" s="80">
        <v>4</v>
      </c>
      <c r="W248" s="80">
        <v>826.29</v>
      </c>
      <c r="X248" s="28">
        <f t="shared" si="174"/>
        <v>3305.16</v>
      </c>
      <c r="Y248" s="38" t="s">
        <v>74</v>
      </c>
      <c r="Z248" s="528"/>
      <c r="AA248" s="532"/>
      <c r="AB248" s="535"/>
      <c r="AC248" s="533"/>
      <c r="AD248" s="658"/>
    </row>
    <row r="249" spans="1:38" ht="15.6" customHeight="1">
      <c r="A249" s="31"/>
      <c r="B249" s="1">
        <v>247</v>
      </c>
      <c r="C249" s="31" t="s">
        <v>1</v>
      </c>
      <c r="D249" s="32" t="s">
        <v>325</v>
      </c>
      <c r="E249" s="33" t="s">
        <v>252</v>
      </c>
      <c r="F249" s="417" t="s">
        <v>228</v>
      </c>
      <c r="G249" s="506" t="str">
        <f t="shared" si="172"/>
        <v>REALBebedouro elétrico</v>
      </c>
      <c r="H249" s="525">
        <f t="shared" si="173"/>
        <v>0.56666666666666665</v>
      </c>
      <c r="I249" s="35">
        <v>0.26666666666666666</v>
      </c>
      <c r="J249" s="35">
        <v>0.33333333333333331</v>
      </c>
      <c r="K249" s="35">
        <v>0.33333333333333331</v>
      </c>
      <c r="L249" s="35">
        <v>0.33333333333333331</v>
      </c>
      <c r="M249" s="35">
        <v>0.33333333333333331</v>
      </c>
      <c r="N249" s="35">
        <v>0.33333333333333331</v>
      </c>
      <c r="O249" s="35">
        <v>0.33333333333333331</v>
      </c>
      <c r="P249" s="35"/>
      <c r="Q249" s="35"/>
      <c r="R249" s="35"/>
      <c r="S249" s="35"/>
      <c r="T249" s="35"/>
      <c r="U249" s="35"/>
      <c r="V249" s="36">
        <f t="shared" ref="V249" si="181">SUM(I249:U249)</f>
        <v>2.2666666666666666</v>
      </c>
      <c r="W249" s="81">
        <v>826.29</v>
      </c>
      <c r="X249" s="37">
        <f t="shared" si="174"/>
        <v>1872.924</v>
      </c>
      <c r="Y249" s="38">
        <f t="shared" si="179"/>
        <v>0.56666666666666665</v>
      </c>
      <c r="Z249" s="529">
        <f>X248-AC249</f>
        <v>0</v>
      </c>
      <c r="AA249" s="546"/>
      <c r="AB249" s="535">
        <f>ROUND((AVERAGE(J249:T249)*12),1)</f>
        <v>4</v>
      </c>
      <c r="AC249" s="535">
        <f>IF(AB249*W249&gt;X248,X248,AB249*W249)</f>
        <v>3305.16</v>
      </c>
      <c r="AD249" s="632">
        <f>AC249/X248</f>
        <v>1</v>
      </c>
    </row>
    <row r="250" spans="1:38" ht="15.6" customHeight="1">
      <c r="A250" s="31"/>
      <c r="B250" s="30">
        <v>248</v>
      </c>
      <c r="C250" s="31"/>
      <c r="D250" s="108"/>
      <c r="E250" s="109"/>
      <c r="F250" s="420"/>
      <c r="G250" s="420"/>
      <c r="H250" s="109"/>
      <c r="I250" s="110"/>
      <c r="J250" s="110"/>
      <c r="K250" s="110"/>
      <c r="L250" s="110"/>
      <c r="M250" s="110"/>
      <c r="N250" s="110"/>
      <c r="O250" s="110"/>
      <c r="P250" s="110"/>
      <c r="Q250" s="110"/>
      <c r="R250" s="110"/>
      <c r="S250" s="110"/>
      <c r="T250" s="110"/>
      <c r="U250" s="110"/>
      <c r="V250" s="111"/>
      <c r="W250" s="112"/>
      <c r="X250" s="37"/>
      <c r="Y250" s="38" t="s">
        <v>74</v>
      </c>
      <c r="Z250" s="529"/>
      <c r="AA250" s="546"/>
      <c r="AB250" s="535"/>
      <c r="AC250" s="535"/>
      <c r="AD250" s="658"/>
    </row>
    <row r="251" spans="1:38" s="513" customFormat="1" ht="15.6" customHeight="1">
      <c r="A251" s="44"/>
      <c r="B251" s="1">
        <v>249</v>
      </c>
      <c r="C251" s="2" t="s">
        <v>0</v>
      </c>
      <c r="D251" s="697" t="s">
        <v>326</v>
      </c>
      <c r="E251" s="698"/>
      <c r="F251" s="698"/>
      <c r="G251" s="698"/>
      <c r="H251" s="698"/>
      <c r="I251" s="113"/>
      <c r="J251" s="113"/>
      <c r="K251" s="113"/>
      <c r="L251" s="113"/>
      <c r="M251" s="113"/>
      <c r="N251" s="113"/>
      <c r="O251" s="113"/>
      <c r="P251" s="113"/>
      <c r="Q251" s="113"/>
      <c r="R251" s="113"/>
      <c r="S251" s="113"/>
      <c r="T251" s="113"/>
      <c r="U251" s="113"/>
      <c r="V251" s="113"/>
      <c r="W251" s="114"/>
      <c r="X251" s="115">
        <f ca="1">X236+X230+X226+X222+X218+X214+X210+X206+X202+X198+X164+X156+X140+X124+X110+X100+X88</f>
        <v>12317952.7564</v>
      </c>
      <c r="Y251" s="116"/>
      <c r="Z251" s="530"/>
      <c r="AA251" s="539"/>
      <c r="AB251" s="533"/>
      <c r="AC251" s="540"/>
      <c r="AD251" s="658"/>
      <c r="AL251" s="515"/>
    </row>
    <row r="252" spans="1:38" ht="15.6" customHeight="1">
      <c r="A252" s="31"/>
      <c r="B252" s="30">
        <v>250</v>
      </c>
      <c r="C252" s="31" t="s">
        <v>1</v>
      </c>
      <c r="D252" s="88" t="s">
        <v>326</v>
      </c>
      <c r="E252" s="89"/>
      <c r="F252" s="90"/>
      <c r="G252" s="90"/>
      <c r="H252" s="90"/>
      <c r="I252" s="75">
        <f t="shared" ref="I252:U252" si="182">SUM(I237+I231+I227+I223+I219+I215+I211+I207+I203+I199+I165+I157+I141+I125+I111+I101+I89)</f>
        <v>1102.494260556402</v>
      </c>
      <c r="J252" s="75">
        <f t="shared" si="182"/>
        <v>1495.3906187034879</v>
      </c>
      <c r="K252" s="75">
        <f t="shared" si="182"/>
        <v>1440.6886487841907</v>
      </c>
      <c r="L252" s="75">
        <f t="shared" si="182"/>
        <v>1525.3169539960345</v>
      </c>
      <c r="M252" s="75">
        <f t="shared" si="182"/>
        <v>1444.696400309622</v>
      </c>
      <c r="N252" s="75">
        <f t="shared" si="182"/>
        <v>1496.2134351670329</v>
      </c>
      <c r="O252" s="75">
        <f t="shared" si="182"/>
        <v>1411.1946427314012</v>
      </c>
      <c r="P252" s="75">
        <f t="shared" si="182"/>
        <v>0</v>
      </c>
      <c r="Q252" s="75">
        <f t="shared" si="182"/>
        <v>0</v>
      </c>
      <c r="R252" s="75">
        <f t="shared" si="182"/>
        <v>0</v>
      </c>
      <c r="S252" s="75">
        <f t="shared" si="182"/>
        <v>0</v>
      </c>
      <c r="T252" s="75">
        <f t="shared" si="182"/>
        <v>0</v>
      </c>
      <c r="U252" s="75">
        <f t="shared" si="182"/>
        <v>0</v>
      </c>
      <c r="V252" s="91">
        <f t="shared" ref="V252" si="183">SUM(I252:U252)</f>
        <v>9915.9949602481702</v>
      </c>
      <c r="W252" s="92"/>
      <c r="X252" s="77">
        <f>X237+X231+X227+X223+X219+X215+X207+X203+X199+X165+X157+X141+X125+X111+X101+X89+X211</f>
        <v>6312711.5009197779</v>
      </c>
      <c r="Y252" s="70">
        <f ca="1">X252/X251</f>
        <v>0.51248057414734782</v>
      </c>
      <c r="Z252" s="511"/>
      <c r="AA252" s="545"/>
      <c r="AB252" s="545"/>
      <c r="AC252" s="545">
        <f>AC237+AC231+AC227+AC223+AC219+AC215+AC207+AC203+AC199+AC165+AC157+AC141+AC125+AC111+AC101+AC89+AC211</f>
        <v>10858667.13620151</v>
      </c>
      <c r="AD252" s="635">
        <f ca="1">AC252/X251</f>
        <v>0.88153180572637824</v>
      </c>
    </row>
    <row r="253" spans="1:38" ht="15.6" customHeight="1">
      <c r="A253" s="15"/>
      <c r="B253" s="1">
        <v>251</v>
      </c>
      <c r="C253" s="2" t="s">
        <v>0</v>
      </c>
      <c r="D253" s="8">
        <v>3</v>
      </c>
      <c r="E253" s="9" t="s">
        <v>36</v>
      </c>
      <c r="F253" s="10"/>
      <c r="G253" s="10"/>
      <c r="H253" s="11"/>
      <c r="I253" s="117"/>
      <c r="J253" s="117"/>
      <c r="K253" s="117"/>
      <c r="L253" s="117"/>
      <c r="M253" s="117"/>
      <c r="N253" s="117"/>
      <c r="O253" s="117"/>
      <c r="P253" s="117"/>
      <c r="Q253" s="117"/>
      <c r="R253" s="117"/>
      <c r="S253" s="117"/>
      <c r="T253" s="117"/>
      <c r="U253" s="117"/>
      <c r="V253" s="117"/>
      <c r="W253" s="117"/>
      <c r="X253" s="118"/>
      <c r="Y253" s="14">
        <f>Y254</f>
        <v>0.50277844586235576</v>
      </c>
      <c r="Z253" s="510"/>
      <c r="AA253" s="531"/>
      <c r="AB253" s="531"/>
      <c r="AC253" s="531"/>
      <c r="AD253" s="630"/>
    </row>
    <row r="254" spans="1:38" ht="15.6" customHeight="1">
      <c r="A254" s="22"/>
      <c r="B254" s="30">
        <v>252</v>
      </c>
      <c r="C254" s="31" t="s">
        <v>1</v>
      </c>
      <c r="D254" s="16">
        <v>3</v>
      </c>
      <c r="E254" s="17" t="s">
        <v>36</v>
      </c>
      <c r="F254" s="18"/>
      <c r="G254" s="18"/>
      <c r="H254" s="19" t="s">
        <v>327</v>
      </c>
      <c r="I254" s="20"/>
      <c r="J254" s="20"/>
      <c r="K254" s="20"/>
      <c r="L254" s="20"/>
      <c r="M254" s="119"/>
      <c r="N254" s="119"/>
      <c r="O254" s="119"/>
      <c r="P254" s="119"/>
      <c r="Q254" s="119"/>
      <c r="R254" s="20"/>
      <c r="S254" s="20"/>
      <c r="T254" s="20"/>
      <c r="U254" s="20"/>
      <c r="V254" s="91"/>
      <c r="W254" s="92"/>
      <c r="X254" s="77">
        <f ca="1">SUMIF($C255:$C257,$C254,X255:X256)</f>
        <v>169515.73</v>
      </c>
      <c r="Y254" s="14">
        <f>Y259</f>
        <v>0.50277844586235576</v>
      </c>
      <c r="Z254" s="510"/>
      <c r="AA254" s="531"/>
      <c r="AB254" s="549">
        <f>AB256</f>
        <v>0.86190590719260984</v>
      </c>
      <c r="AC254" s="531">
        <f>AC256</f>
        <v>290598.39428571425</v>
      </c>
      <c r="AD254" s="630">
        <f>AD256</f>
        <v>0.86190590719260973</v>
      </c>
    </row>
    <row r="255" spans="1:38" ht="15.6" customHeight="1">
      <c r="B255" s="1">
        <v>253</v>
      </c>
      <c r="C255" s="2" t="s">
        <v>0</v>
      </c>
      <c r="D255" s="23" t="s">
        <v>328</v>
      </c>
      <c r="E255" s="24" t="s">
        <v>254</v>
      </c>
      <c r="F255" s="25" t="s">
        <v>329</v>
      </c>
      <c r="G255" s="506" t="str">
        <f t="shared" ref="G255:G256" si="184">C255&amp;E255</f>
        <v>PREVEquipamentos, materiais, ferramentas e serviços especializados</v>
      </c>
      <c r="H255" s="526" t="s">
        <v>74</v>
      </c>
      <c r="I255" s="26">
        <v>6.4000000000000001E-2</v>
      </c>
      <c r="J255" s="79">
        <v>0.08</v>
      </c>
      <c r="K255" s="79">
        <v>0.08</v>
      </c>
      <c r="L255" s="79">
        <v>0.08</v>
      </c>
      <c r="M255" s="79">
        <v>0.08</v>
      </c>
      <c r="N255" s="79">
        <v>0.08</v>
      </c>
      <c r="O255" s="79">
        <v>0.08</v>
      </c>
      <c r="P255" s="79">
        <v>0.08</v>
      </c>
      <c r="Q255" s="79">
        <v>0.08</v>
      </c>
      <c r="R255" s="79">
        <v>0.08</v>
      </c>
      <c r="S255" s="79">
        <v>0.08</v>
      </c>
      <c r="T255" s="79">
        <v>0.08</v>
      </c>
      <c r="U255" s="26">
        <v>1.6E-2</v>
      </c>
      <c r="V255" s="80">
        <v>1</v>
      </c>
      <c r="W255" s="80">
        <v>337157.91</v>
      </c>
      <c r="X255" s="28">
        <f t="shared" ref="X255" si="185">W255*V255</f>
        <v>337157.91</v>
      </c>
      <c r="Y255" s="38"/>
      <c r="Z255" s="528"/>
      <c r="AA255" s="532"/>
      <c r="AB255" s="533"/>
      <c r="AC255" s="550">
        <f>X255</f>
        <v>337157.91</v>
      </c>
      <c r="AD255" s="635">
        <f>AC255/W256</f>
        <v>1</v>
      </c>
    </row>
    <row r="256" spans="1:38" ht="15.6" customHeight="1">
      <c r="A256" s="31"/>
      <c r="B256" s="30">
        <v>254</v>
      </c>
      <c r="C256" s="31" t="s">
        <v>1</v>
      </c>
      <c r="D256" s="32" t="s">
        <v>328</v>
      </c>
      <c r="E256" s="33" t="s">
        <v>254</v>
      </c>
      <c r="F256" s="34" t="s">
        <v>329</v>
      </c>
      <c r="G256" s="506" t="str">
        <f t="shared" si="184"/>
        <v>REALEquipamentos, materiais, ferramentas e serviços especializados</v>
      </c>
      <c r="H256" s="525">
        <f t="shared" ref="H256" si="186">Y256</f>
        <v>0.50277844586235576</v>
      </c>
      <c r="I256" s="35">
        <v>0</v>
      </c>
      <c r="J256" s="35">
        <v>0</v>
      </c>
      <c r="K256" s="35">
        <v>0.2335989685070714</v>
      </c>
      <c r="L256" s="35">
        <v>1.8423266415431277E-2</v>
      </c>
      <c r="M256" s="35">
        <v>0.11346653560641659</v>
      </c>
      <c r="N256" s="35">
        <v>0.11415511503200386</v>
      </c>
      <c r="O256" s="35">
        <v>2.3134560301432645E-2</v>
      </c>
      <c r="P256" s="35"/>
      <c r="Q256" s="35"/>
      <c r="R256" s="35"/>
      <c r="S256" s="35"/>
      <c r="T256" s="483"/>
      <c r="U256" s="483"/>
      <c r="V256" s="497">
        <f t="shared" ref="V256" si="187">SUM(I256:U256)</f>
        <v>0.50277844586235576</v>
      </c>
      <c r="W256" s="81">
        <v>337157.91</v>
      </c>
      <c r="X256" s="37">
        <f>W256*V256</f>
        <v>169515.73</v>
      </c>
      <c r="Y256" s="38">
        <f>X256/X255</f>
        <v>0.50277844586235576</v>
      </c>
      <c r="Z256" s="529"/>
      <c r="AA256" s="546"/>
      <c r="AB256" s="551">
        <f>AVERAGE(I256:T256)*12</f>
        <v>0.86190590719260984</v>
      </c>
      <c r="AC256" s="535">
        <f>IF(AB256*W256&gt;X255,X255,AB256*W256)</f>
        <v>290598.39428571425</v>
      </c>
      <c r="AD256" s="632">
        <f>AC256/X255</f>
        <v>0.86190590719260973</v>
      </c>
    </row>
    <row r="257" spans="1:38" ht="15.6" customHeight="1">
      <c r="A257" s="31"/>
      <c r="B257" s="1">
        <v>255</v>
      </c>
      <c r="C257" s="31"/>
      <c r="D257" s="120"/>
      <c r="E257" s="121"/>
      <c r="F257" s="122"/>
      <c r="G257" s="122"/>
      <c r="H257" s="123"/>
      <c r="I257" s="124"/>
      <c r="J257" s="124"/>
      <c r="K257" s="124"/>
      <c r="L257" s="124"/>
      <c r="M257" s="125"/>
      <c r="N257" s="125"/>
      <c r="O257" s="124"/>
      <c r="P257" s="124"/>
      <c r="Q257" s="124"/>
      <c r="R257" s="124"/>
      <c r="S257" s="124"/>
      <c r="T257" s="124"/>
      <c r="U257" s="124"/>
      <c r="V257" s="126"/>
      <c r="W257" s="127"/>
      <c r="X257" s="128"/>
      <c r="Y257" s="31"/>
      <c r="Z257" s="421"/>
      <c r="AA257" s="546"/>
      <c r="AB257" s="535"/>
      <c r="AC257" s="535"/>
      <c r="AD257" s="658"/>
    </row>
    <row r="258" spans="1:38" s="513" customFormat="1" ht="15.6" customHeight="1">
      <c r="A258" s="44"/>
      <c r="B258" s="30">
        <v>256</v>
      </c>
      <c r="C258" s="2" t="s">
        <v>0</v>
      </c>
      <c r="D258" s="129" t="s">
        <v>330</v>
      </c>
      <c r="E258" s="130"/>
      <c r="F258" s="131"/>
      <c r="G258" s="131"/>
      <c r="H258" s="130"/>
      <c r="I258" s="132"/>
      <c r="J258" s="132"/>
      <c r="K258" s="132"/>
      <c r="L258" s="132"/>
      <c r="M258" s="132"/>
      <c r="N258" s="132"/>
      <c r="O258" s="132"/>
      <c r="P258" s="132"/>
      <c r="Q258" s="132"/>
      <c r="R258" s="132"/>
      <c r="S258" s="132"/>
      <c r="T258" s="132"/>
      <c r="U258" s="132"/>
      <c r="V258" s="133"/>
      <c r="W258" s="134"/>
      <c r="X258" s="135">
        <f>X255</f>
        <v>337157.91</v>
      </c>
      <c r="Y258" s="38" t="s">
        <v>74</v>
      </c>
      <c r="Z258" s="529"/>
      <c r="AA258" s="539"/>
      <c r="AB258" s="535"/>
      <c r="AC258" s="540"/>
      <c r="AD258" s="658"/>
      <c r="AL258" s="515"/>
    </row>
    <row r="259" spans="1:38" ht="15.6" customHeight="1">
      <c r="A259" s="31"/>
      <c r="B259" s="1">
        <v>257</v>
      </c>
      <c r="C259" s="31" t="s">
        <v>1</v>
      </c>
      <c r="D259" s="88" t="s">
        <v>330</v>
      </c>
      <c r="E259" s="89"/>
      <c r="F259" s="90"/>
      <c r="G259" s="90"/>
      <c r="H259" s="90"/>
      <c r="I259" s="484">
        <f>SUMIF($C255:$C257,$C259,I255:I257)</f>
        <v>0</v>
      </c>
      <c r="J259" s="484">
        <f t="shared" ref="J259:U259" si="188">SUMIF($C255:$C257,$C259,J255:J257)</f>
        <v>0</v>
      </c>
      <c r="K259" s="484">
        <f t="shared" si="188"/>
        <v>0.2335989685070714</v>
      </c>
      <c r="L259" s="484">
        <f t="shared" si="188"/>
        <v>1.8423266415431277E-2</v>
      </c>
      <c r="M259" s="484">
        <f t="shared" si="188"/>
        <v>0.11346653560641659</v>
      </c>
      <c r="N259" s="484">
        <f t="shared" si="188"/>
        <v>0.11415511503200386</v>
      </c>
      <c r="O259" s="484">
        <f t="shared" si="188"/>
        <v>2.3134560301432645E-2</v>
      </c>
      <c r="P259" s="484">
        <f t="shared" si="188"/>
        <v>0</v>
      </c>
      <c r="Q259" s="484">
        <f t="shared" si="188"/>
        <v>0</v>
      </c>
      <c r="R259" s="484">
        <f t="shared" si="188"/>
        <v>0</v>
      </c>
      <c r="S259" s="484">
        <f t="shared" si="188"/>
        <v>0</v>
      </c>
      <c r="T259" s="484">
        <f t="shared" si="188"/>
        <v>0</v>
      </c>
      <c r="U259" s="485">
        <f t="shared" si="188"/>
        <v>0</v>
      </c>
      <c r="V259" s="91"/>
      <c r="W259" s="92"/>
      <c r="X259" s="77">
        <f>X256</f>
        <v>169515.73</v>
      </c>
      <c r="Y259" s="70">
        <f t="shared" si="179"/>
        <v>0.50277844586235576</v>
      </c>
      <c r="Z259" s="511"/>
      <c r="AA259" s="545"/>
      <c r="AB259" s="545"/>
      <c r="AC259" s="545"/>
      <c r="AD259" s="634"/>
    </row>
    <row r="260" spans="1:38" s="513" customFormat="1" ht="25.15" customHeight="1">
      <c r="A260" s="44"/>
      <c r="B260" s="30">
        <v>258</v>
      </c>
      <c r="C260" s="2" t="s">
        <v>0</v>
      </c>
      <c r="D260" s="697" t="s">
        <v>331</v>
      </c>
      <c r="E260" s="698"/>
      <c r="F260" s="698"/>
      <c r="G260" s="670"/>
      <c r="H260" s="136"/>
      <c r="I260" s="137"/>
      <c r="J260" s="137"/>
      <c r="K260" s="137"/>
      <c r="L260" s="137"/>
      <c r="M260" s="137"/>
      <c r="N260" s="137"/>
      <c r="O260" s="137"/>
      <c r="P260" s="137"/>
      <c r="Q260" s="137"/>
      <c r="R260" s="137"/>
      <c r="S260" s="137"/>
      <c r="T260" s="137"/>
      <c r="U260" s="137"/>
      <c r="V260" s="138"/>
      <c r="W260" s="114"/>
      <c r="X260" s="115">
        <f ca="1">X258+X251+X82</f>
        <v>30965994.743074007</v>
      </c>
      <c r="Y260" s="38" t="s">
        <v>74</v>
      </c>
      <c r="Z260" s="528"/>
      <c r="AA260" s="539"/>
      <c r="AB260" s="535"/>
      <c r="AC260" s="540"/>
      <c r="AD260" s="658"/>
      <c r="AL260" s="515"/>
    </row>
    <row r="261" spans="1:38" s="513" customFormat="1" ht="25.15" customHeight="1">
      <c r="A261" s="47"/>
      <c r="B261" s="1">
        <v>259</v>
      </c>
      <c r="C261" s="31" t="s">
        <v>1</v>
      </c>
      <c r="D261" s="724" t="s">
        <v>331</v>
      </c>
      <c r="E261" s="725"/>
      <c r="F261" s="725"/>
      <c r="G261" s="671"/>
      <c r="H261" s="139"/>
      <c r="I261" s="409">
        <f t="shared" ref="I261:U261" si="189">SUM(I259+I252+I83)</f>
        <v>1236.532493754569</v>
      </c>
      <c r="J261" s="409">
        <f t="shared" si="189"/>
        <v>1672.0509408682128</v>
      </c>
      <c r="K261" s="409">
        <f t="shared" si="189"/>
        <v>1620.7238519785747</v>
      </c>
      <c r="L261" s="409">
        <f t="shared" si="189"/>
        <v>1706.081743494957</v>
      </c>
      <c r="M261" s="409">
        <f t="shared" si="189"/>
        <v>1621.0752809746052</v>
      </c>
      <c r="N261" s="409">
        <f t="shared" si="189"/>
        <v>1665.8815754140192</v>
      </c>
      <c r="O261" s="409">
        <f t="shared" si="189"/>
        <v>1580.037476403767</v>
      </c>
      <c r="P261" s="409">
        <f t="shared" si="189"/>
        <v>0</v>
      </c>
      <c r="Q261" s="409">
        <f t="shared" si="189"/>
        <v>0</v>
      </c>
      <c r="R261" s="409">
        <f t="shared" si="189"/>
        <v>0</v>
      </c>
      <c r="S261" s="409">
        <f t="shared" si="189"/>
        <v>0</v>
      </c>
      <c r="T261" s="409">
        <f t="shared" si="189"/>
        <v>0</v>
      </c>
      <c r="U261" s="409">
        <f t="shared" si="189"/>
        <v>0</v>
      </c>
      <c r="V261" s="140"/>
      <c r="W261" s="141"/>
      <c r="X261" s="142">
        <f>X259+X252+X83+X267</f>
        <v>15889781.055725032</v>
      </c>
      <c r="Y261" s="38">
        <f t="shared" ca="1" si="179"/>
        <v>0.51313646429133397</v>
      </c>
      <c r="Z261" s="529">
        <f ca="1">X260-AC261</f>
        <v>3228614.4608724974</v>
      </c>
      <c r="AA261" s="543"/>
      <c r="AB261" s="535"/>
      <c r="AC261" s="542">
        <f>AC255+AC252+AC83+AC267</f>
        <v>27737380.28220151</v>
      </c>
      <c r="AD261" s="633">
        <f ca="1">AC261/X260</f>
        <v>0.89573677552875564</v>
      </c>
      <c r="AL261" s="515"/>
    </row>
    <row r="263" spans="1:38">
      <c r="A263" s="31"/>
      <c r="B263" s="31"/>
      <c r="C263" s="31"/>
      <c r="D263" s="659">
        <f>VLOOKUP($D$277&amp;$E$276,$G$7:$Y$261,COLUMN(S270),0)</f>
        <v>0.39583333333333331</v>
      </c>
      <c r="E263" s="31"/>
      <c r="F263" s="144"/>
      <c r="G263" s="144"/>
      <c r="H263" s="144"/>
      <c r="I263" s="145"/>
      <c r="J263" s="145"/>
      <c r="K263" s="145"/>
      <c r="L263" s="145"/>
      <c r="M263" s="145"/>
      <c r="N263" s="145"/>
      <c r="O263" s="145"/>
      <c r="P263" s="145"/>
      <c r="Q263" s="145"/>
      <c r="R263" s="145"/>
      <c r="S263" s="145"/>
      <c r="T263" s="145"/>
      <c r="U263" s="145"/>
      <c r="V263" s="31"/>
      <c r="W263" s="146"/>
      <c r="X263" s="146"/>
      <c r="Z263" s="31"/>
      <c r="AA263" s="31"/>
      <c r="AB263" s="387"/>
      <c r="AC263" s="387"/>
      <c r="AD263" s="637"/>
    </row>
    <row r="265" spans="1:38">
      <c r="A265" s="31"/>
      <c r="B265" s="30"/>
      <c r="C265" s="31"/>
      <c r="D265" s="143"/>
      <c r="E265" s="31"/>
      <c r="F265" s="144"/>
      <c r="G265" s="144"/>
      <c r="H265" s="144"/>
      <c r="I265" s="145"/>
      <c r="J265" s="145"/>
      <c r="K265" s="145"/>
      <c r="L265" s="145"/>
      <c r="M265" s="145"/>
      <c r="N265" s="145"/>
      <c r="O265" s="145"/>
      <c r="P265" s="145"/>
      <c r="Q265" s="145"/>
      <c r="R265" s="145"/>
      <c r="S265" s="145"/>
      <c r="T265" s="145"/>
      <c r="U265" s="145"/>
      <c r="V265" s="467"/>
      <c r="W265" s="146"/>
      <c r="X265" s="146"/>
      <c r="Z265" s="31"/>
      <c r="AA265" s="31"/>
      <c r="AB265" s="387"/>
      <c r="AC265" s="387"/>
      <c r="AD265" s="637"/>
    </row>
    <row r="266" spans="1:38">
      <c r="X266" s="150"/>
      <c r="Z266" s="468"/>
      <c r="AD266" s="660"/>
    </row>
    <row r="267" spans="1:38" ht="14.45" customHeight="1">
      <c r="A267" s="31"/>
      <c r="B267" s="30"/>
      <c r="C267" s="31"/>
      <c r="D267" s="143"/>
      <c r="E267" s="31"/>
      <c r="F267" s="144"/>
      <c r="G267" s="144"/>
      <c r="H267" s="144"/>
      <c r="I267" s="145"/>
      <c r="J267" s="145"/>
      <c r="K267" s="145"/>
      <c r="L267" s="145"/>
      <c r="M267" s="145"/>
      <c r="N267" s="145"/>
      <c r="O267" s="145"/>
      <c r="P267" s="145"/>
      <c r="Q267" s="145"/>
      <c r="R267" s="145"/>
      <c r="S267" s="145"/>
      <c r="T267" s="145"/>
      <c r="U267" s="31"/>
      <c r="V267" s="31"/>
      <c r="W267" s="146"/>
      <c r="X267" s="146"/>
      <c r="Z267" s="31"/>
      <c r="AA267" s="31"/>
      <c r="AB267" s="387"/>
      <c r="AC267" s="387"/>
      <c r="AD267" s="637"/>
    </row>
    <row r="268" spans="1:38">
      <c r="Y268" s="504"/>
      <c r="AD268" s="660"/>
    </row>
    <row r="269" spans="1:38">
      <c r="A269" s="31"/>
      <c r="B269" s="30"/>
      <c r="C269" s="31"/>
      <c r="D269" s="143"/>
      <c r="E269" s="31"/>
      <c r="F269" s="144"/>
      <c r="G269" s="144"/>
      <c r="H269" s="144"/>
      <c r="I269" s="145"/>
      <c r="J269" s="145"/>
      <c r="K269" s="145"/>
      <c r="L269" s="145"/>
      <c r="M269" s="145"/>
      <c r="N269" s="145"/>
      <c r="O269" s="145"/>
      <c r="P269" s="145"/>
      <c r="Q269" s="145"/>
      <c r="R269" s="145"/>
      <c r="S269" s="145"/>
      <c r="T269" s="145"/>
      <c r="U269" s="145"/>
      <c r="V269" s="31"/>
      <c r="W269" s="469"/>
      <c r="X269" s="146"/>
      <c r="Y269" s="504"/>
      <c r="Z269" s="31"/>
      <c r="AA269" s="31"/>
      <c r="AB269" s="387"/>
      <c r="AC269" s="387"/>
      <c r="AD269" s="637"/>
    </row>
    <row r="270" spans="1:38">
      <c r="Y270" s="504"/>
      <c r="Z270" s="505"/>
      <c r="AD270" s="660"/>
    </row>
    <row r="271" spans="1:38">
      <c r="A271" s="31"/>
      <c r="B271" s="30"/>
      <c r="C271" s="31"/>
      <c r="D271" s="143"/>
      <c r="E271" s="31"/>
      <c r="F271" s="145"/>
      <c r="G271" s="145"/>
      <c r="H271" s="145"/>
      <c r="I271" s="145"/>
      <c r="J271" s="145"/>
      <c r="K271" s="145"/>
      <c r="L271" s="145"/>
      <c r="M271" s="145"/>
      <c r="N271" s="145"/>
      <c r="O271" s="145"/>
      <c r="P271" s="145"/>
      <c r="Q271" s="145"/>
      <c r="R271" s="145"/>
      <c r="S271" s="31"/>
      <c r="T271" s="146"/>
      <c r="U271" s="146"/>
      <c r="V271" s="504"/>
      <c r="W271" s="31"/>
      <c r="X271" s="31"/>
      <c r="Y271" s="387"/>
      <c r="Z271" s="387"/>
      <c r="AA271" s="491"/>
      <c r="AB271" s="31"/>
      <c r="AC271" s="31"/>
      <c r="AD271" s="638"/>
    </row>
    <row r="272" spans="1:38">
      <c r="F272" s="148"/>
      <c r="G272" s="148"/>
      <c r="H272" s="148"/>
      <c r="S272" s="2"/>
      <c r="T272" s="149"/>
      <c r="U272" s="149"/>
      <c r="V272" s="504"/>
      <c r="W272" s="2"/>
      <c r="X272" s="2"/>
      <c r="Y272" s="266"/>
      <c r="Z272" s="266"/>
      <c r="AA272" s="661"/>
      <c r="AB272" s="2"/>
      <c r="AC272" s="2"/>
      <c r="AD272" s="639"/>
    </row>
    <row r="273" spans="1:30" ht="14.45" customHeight="1">
      <c r="A273" s="31"/>
      <c r="B273" s="30"/>
      <c r="C273" s="31"/>
      <c r="D273" s="729" t="s">
        <v>332</v>
      </c>
      <c r="E273" s="732" t="s">
        <v>333</v>
      </c>
      <c r="F273" s="726" t="s">
        <v>334</v>
      </c>
      <c r="G273" s="727"/>
      <c r="H273" s="727"/>
      <c r="I273" s="727"/>
      <c r="J273" s="727"/>
      <c r="K273" s="727"/>
      <c r="L273" s="727"/>
      <c r="M273" s="727"/>
      <c r="N273" s="727"/>
      <c r="O273" s="727"/>
      <c r="P273" s="727"/>
      <c r="Q273" s="727"/>
      <c r="R273" s="728"/>
      <c r="S273" s="721"/>
      <c r="T273" s="721"/>
      <c r="U273" s="735"/>
      <c r="V273" s="736"/>
      <c r="W273" s="720"/>
      <c r="X273" s="721"/>
      <c r="Y273" s="501"/>
      <c r="Z273" s="501"/>
      <c r="AA273" s="501"/>
      <c r="AB273" s="31"/>
      <c r="AC273" s="31"/>
      <c r="AD273" s="638"/>
    </row>
    <row r="274" spans="1:30" ht="14.45" customHeight="1">
      <c r="D274" s="730"/>
      <c r="E274" s="733"/>
      <c r="F274" s="500" t="s">
        <v>27</v>
      </c>
      <c r="G274" s="500">
        <v>25</v>
      </c>
      <c r="H274" s="500">
        <v>26</v>
      </c>
      <c r="I274" s="500">
        <v>27</v>
      </c>
      <c r="J274" s="500">
        <v>28</v>
      </c>
      <c r="K274" s="500">
        <v>29</v>
      </c>
      <c r="L274" s="500">
        <v>30</v>
      </c>
      <c r="M274" s="500">
        <v>31</v>
      </c>
      <c r="N274" s="500">
        <v>32</v>
      </c>
      <c r="O274" s="500">
        <v>33</v>
      </c>
      <c r="P274" s="500">
        <v>34</v>
      </c>
      <c r="Q274" s="500">
        <v>35</v>
      </c>
      <c r="R274" s="594">
        <v>36</v>
      </c>
      <c r="S274" s="721"/>
      <c r="T274" s="721"/>
      <c r="U274" s="735"/>
      <c r="V274" s="737"/>
      <c r="W274" s="720"/>
      <c r="X274" s="721"/>
      <c r="Y274" s="501"/>
      <c r="Z274" s="501"/>
      <c r="AA274" s="501"/>
      <c r="AB274" s="2"/>
      <c r="AC274" s="2"/>
      <c r="AD274" s="639"/>
    </row>
    <row r="275" spans="1:30">
      <c r="A275" s="31"/>
      <c r="B275" s="30"/>
      <c r="C275" s="31"/>
      <c r="D275" s="731"/>
      <c r="E275" s="734"/>
      <c r="F275" s="508">
        <v>45474</v>
      </c>
      <c r="G275" s="508">
        <v>45505</v>
      </c>
      <c r="H275" s="508">
        <v>45536</v>
      </c>
      <c r="I275" s="508">
        <v>45566</v>
      </c>
      <c r="J275" s="508">
        <v>45597</v>
      </c>
      <c r="K275" s="508">
        <v>45627</v>
      </c>
      <c r="L275" s="508">
        <v>45658</v>
      </c>
      <c r="M275" s="508">
        <v>45689</v>
      </c>
      <c r="N275" s="508">
        <v>45717</v>
      </c>
      <c r="O275" s="508">
        <v>45748</v>
      </c>
      <c r="P275" s="508">
        <v>45778</v>
      </c>
      <c r="Q275" s="508">
        <v>45809</v>
      </c>
      <c r="R275" s="595">
        <v>45839</v>
      </c>
      <c r="S275" s="502"/>
      <c r="T275" s="502"/>
      <c r="U275" s="503"/>
      <c r="W275" s="527"/>
      <c r="X275" s="527"/>
      <c r="Y275" s="266"/>
      <c r="Z275" s="266"/>
      <c r="AA275" s="662"/>
      <c r="AB275" s="31"/>
      <c r="AC275" s="31"/>
      <c r="AD275" s="638"/>
    </row>
    <row r="276" spans="1:30" s="513" customFormat="1">
      <c r="A276" s="44"/>
      <c r="B276" s="518"/>
      <c r="C276" s="44"/>
      <c r="D276" s="596" t="s">
        <v>0</v>
      </c>
      <c r="E276" s="722" t="s">
        <v>87</v>
      </c>
      <c r="F276" s="519">
        <f>VLOOKUP($D$276&amp;$E$276,$G$7:$U$261,COLUMN(C271),0)</f>
        <v>9.6000000000000014</v>
      </c>
      <c r="G276" s="519">
        <f t="shared" ref="G276:R276" si="190">VLOOKUP($D$276&amp;$E$276,$G$7:$U$261,COLUMN(D271),0)</f>
        <v>12</v>
      </c>
      <c r="H276" s="519">
        <f t="shared" si="190"/>
        <v>12</v>
      </c>
      <c r="I276" s="519">
        <f t="shared" si="190"/>
        <v>12</v>
      </c>
      <c r="J276" s="519">
        <f t="shared" si="190"/>
        <v>12</v>
      </c>
      <c r="K276" s="519">
        <f t="shared" si="190"/>
        <v>12</v>
      </c>
      <c r="L276" s="519">
        <f t="shared" si="190"/>
        <v>12</v>
      </c>
      <c r="M276" s="519">
        <f t="shared" si="190"/>
        <v>12</v>
      </c>
      <c r="N276" s="519">
        <f t="shared" si="190"/>
        <v>12</v>
      </c>
      <c r="O276" s="519">
        <f t="shared" si="190"/>
        <v>12</v>
      </c>
      <c r="P276" s="519">
        <f t="shared" si="190"/>
        <v>12</v>
      </c>
      <c r="Q276" s="519">
        <f t="shared" si="190"/>
        <v>12</v>
      </c>
      <c r="R276" s="597">
        <f t="shared" si="190"/>
        <v>2.4000000000000004</v>
      </c>
      <c r="S276" s="502"/>
      <c r="T276" s="672"/>
      <c r="U276" s="672"/>
      <c r="V276" s="82"/>
      <c r="W276" s="527"/>
      <c r="X276" s="527"/>
      <c r="Y276" s="403"/>
      <c r="Z276" s="403"/>
      <c r="AA276" s="520"/>
      <c r="AB276" s="44"/>
      <c r="AC276" s="44"/>
      <c r="AD276" s="640"/>
    </row>
    <row r="277" spans="1:30" s="513" customFormat="1">
      <c r="A277" s="47"/>
      <c r="B277" s="521"/>
      <c r="C277" s="47"/>
      <c r="D277" s="598" t="s">
        <v>1</v>
      </c>
      <c r="E277" s="723"/>
      <c r="F277" s="522">
        <f>VLOOKUP($D$277&amp;$E$276,$G$7:$U$261,COLUMN(C272),0)</f>
        <v>7.9999999999999991</v>
      </c>
      <c r="G277" s="522">
        <f t="shared" ref="G277:R277" si="191">VLOOKUP($D$277&amp;$E$276,$G$7:$U$261,COLUMN(D272),0)</f>
        <v>9</v>
      </c>
      <c r="H277" s="522">
        <f t="shared" si="191"/>
        <v>8</v>
      </c>
      <c r="I277" s="522">
        <f t="shared" si="191"/>
        <v>8</v>
      </c>
      <c r="J277" s="522">
        <f t="shared" si="191"/>
        <v>7.3666666666666671</v>
      </c>
      <c r="K277" s="522">
        <f t="shared" si="191"/>
        <v>7.6999999999999993</v>
      </c>
      <c r="L277" s="522">
        <f t="shared" si="191"/>
        <v>8.9333333333333336</v>
      </c>
      <c r="M277" s="522">
        <f t="shared" si="191"/>
        <v>0</v>
      </c>
      <c r="N277" s="522">
        <f t="shared" si="191"/>
        <v>0</v>
      </c>
      <c r="O277" s="522">
        <f t="shared" si="191"/>
        <v>0</v>
      </c>
      <c r="P277" s="522">
        <f t="shared" si="191"/>
        <v>0</v>
      </c>
      <c r="Q277" s="522">
        <f t="shared" si="191"/>
        <v>0</v>
      </c>
      <c r="R277" s="599">
        <f t="shared" si="191"/>
        <v>0</v>
      </c>
      <c r="S277" s="47"/>
      <c r="T277" s="523"/>
      <c r="U277" s="523"/>
      <c r="V277" s="82"/>
      <c r="W277" s="527"/>
      <c r="X277" s="527"/>
      <c r="Y277" s="392"/>
      <c r="Z277" s="392"/>
      <c r="AA277" s="524"/>
      <c r="AB277" s="47"/>
      <c r="AC277" s="47"/>
      <c r="AD277" s="641"/>
    </row>
    <row r="278" spans="1:30" ht="15.6">
      <c r="D278" s="600"/>
      <c r="E278" s="584">
        <f>D263</f>
        <v>0.39583333333333331</v>
      </c>
      <c r="F278" s="558"/>
      <c r="G278" s="558"/>
      <c r="H278" s="558"/>
      <c r="I278" s="559"/>
      <c r="J278" s="559"/>
      <c r="K278" s="559"/>
      <c r="L278" s="559"/>
      <c r="M278" s="559"/>
      <c r="N278" s="559"/>
      <c r="O278" s="559"/>
      <c r="P278" s="559"/>
      <c r="Q278" s="559"/>
      <c r="R278" s="601"/>
      <c r="W278" s="527"/>
      <c r="X278" s="527"/>
      <c r="AD278" s="660"/>
    </row>
    <row r="279" spans="1:30">
      <c r="A279" s="31"/>
      <c r="B279" s="30"/>
      <c r="C279" s="31"/>
      <c r="D279" s="602"/>
      <c r="E279" s="560"/>
      <c r="F279" s="561"/>
      <c r="G279" s="561"/>
      <c r="H279" s="561"/>
      <c r="I279" s="562"/>
      <c r="J279" s="562"/>
      <c r="K279" s="562"/>
      <c r="L279" s="562"/>
      <c r="M279" s="562"/>
      <c r="N279" s="562"/>
      <c r="O279" s="562"/>
      <c r="P279" s="562"/>
      <c r="Q279" s="562"/>
      <c r="R279" s="603"/>
      <c r="S279" s="145"/>
      <c r="T279" s="145"/>
      <c r="U279" s="145"/>
      <c r="V279" s="31"/>
      <c r="Z279" s="31"/>
      <c r="AA279" s="31"/>
      <c r="AB279" s="387"/>
      <c r="AC279" s="387"/>
      <c r="AD279" s="637"/>
    </row>
    <row r="280" spans="1:30">
      <c r="D280" s="600"/>
      <c r="E280" s="557"/>
      <c r="F280" s="558"/>
      <c r="G280" s="558"/>
      <c r="H280" s="558"/>
      <c r="I280" s="559"/>
      <c r="J280" s="559"/>
      <c r="K280" s="559"/>
      <c r="L280" s="559"/>
      <c r="M280" s="559"/>
      <c r="N280" s="559"/>
      <c r="O280" s="559"/>
      <c r="P280" s="559"/>
      <c r="Q280" s="559"/>
      <c r="R280" s="601"/>
      <c r="AD280" s="660"/>
    </row>
    <row r="281" spans="1:30">
      <c r="A281" s="31"/>
      <c r="B281" s="30"/>
      <c r="C281" s="31"/>
      <c r="D281" s="602"/>
      <c r="E281" s="560"/>
      <c r="F281" s="561"/>
      <c r="G281" s="561"/>
      <c r="H281" s="561"/>
      <c r="I281" s="562"/>
      <c r="J281" s="562"/>
      <c r="K281" s="562"/>
      <c r="L281" s="562"/>
      <c r="M281" s="562"/>
      <c r="N281" s="562"/>
      <c r="O281" s="562"/>
      <c r="P281" s="562"/>
      <c r="Q281" s="562"/>
      <c r="R281" s="603"/>
      <c r="S281" s="145"/>
      <c r="T281" s="145"/>
      <c r="U281" s="145"/>
      <c r="V281" s="31"/>
      <c r="W281" s="146"/>
      <c r="X281" s="146"/>
      <c r="Y281" s="624"/>
      <c r="Z281" s="31"/>
      <c r="AA281" s="31"/>
      <c r="AB281" s="387"/>
      <c r="AC281" s="387"/>
      <c r="AD281" s="637"/>
    </row>
    <row r="282" spans="1:30">
      <c r="D282" s="600"/>
      <c r="E282" s="557"/>
      <c r="F282" s="558"/>
      <c r="G282" s="558"/>
      <c r="H282" s="558"/>
      <c r="I282" s="559"/>
      <c r="J282" s="559"/>
      <c r="K282" s="559"/>
      <c r="L282" s="559"/>
      <c r="M282" s="559"/>
      <c r="N282" s="559"/>
      <c r="O282" s="559"/>
      <c r="P282" s="559"/>
      <c r="Q282" s="559"/>
      <c r="R282" s="601"/>
      <c r="AD282" s="660"/>
    </row>
    <row r="283" spans="1:30">
      <c r="A283" s="31"/>
      <c r="B283" s="30"/>
      <c r="C283" s="31"/>
      <c r="D283" s="602"/>
      <c r="E283" s="560"/>
      <c r="F283" s="561"/>
      <c r="G283" s="561"/>
      <c r="H283" s="561"/>
      <c r="I283" s="562"/>
      <c r="J283" s="562"/>
      <c r="K283" s="562"/>
      <c r="L283" s="562"/>
      <c r="M283" s="562"/>
      <c r="N283" s="562"/>
      <c r="O283" s="562"/>
      <c r="P283" s="562"/>
      <c r="Q283" s="562"/>
      <c r="R283" s="603"/>
      <c r="S283" s="145"/>
      <c r="T283" s="145"/>
      <c r="U283" s="145"/>
      <c r="V283" s="31"/>
      <c r="W283" s="146"/>
      <c r="X283" s="146"/>
      <c r="Z283" s="31"/>
      <c r="AA283" s="31"/>
      <c r="AB283" s="387"/>
      <c r="AC283" s="387"/>
      <c r="AD283" s="637"/>
    </row>
    <row r="284" spans="1:30">
      <c r="D284" s="600"/>
      <c r="E284" s="557"/>
      <c r="F284" s="558"/>
      <c r="G284" s="558"/>
      <c r="H284" s="558"/>
      <c r="I284" s="559"/>
      <c r="J284" s="559"/>
      <c r="K284" s="559"/>
      <c r="L284" s="559"/>
      <c r="M284" s="559"/>
      <c r="N284" s="559"/>
      <c r="O284" s="559"/>
      <c r="P284" s="559"/>
      <c r="Q284" s="559"/>
      <c r="R284" s="601"/>
      <c r="AD284" s="660"/>
    </row>
    <row r="285" spans="1:30">
      <c r="A285" s="31"/>
      <c r="B285" s="30"/>
      <c r="C285" s="31"/>
      <c r="D285" s="602"/>
      <c r="E285" s="560"/>
      <c r="F285" s="561"/>
      <c r="G285" s="561"/>
      <c r="H285" s="561"/>
      <c r="I285" s="562"/>
      <c r="J285" s="562"/>
      <c r="K285" s="562"/>
      <c r="L285" s="562"/>
      <c r="M285" s="562"/>
      <c r="N285" s="562"/>
      <c r="O285" s="562"/>
      <c r="P285" s="562"/>
      <c r="Q285" s="562"/>
      <c r="R285" s="603"/>
      <c r="S285" s="145"/>
      <c r="T285" s="145"/>
      <c r="U285" s="145"/>
      <c r="V285" s="31"/>
      <c r="W285" s="146"/>
      <c r="X285" s="146"/>
      <c r="Z285" s="31"/>
      <c r="AA285" s="31"/>
      <c r="AB285" s="387"/>
      <c r="AC285" s="387"/>
      <c r="AD285" s="637"/>
    </row>
    <row r="286" spans="1:30">
      <c r="D286" s="600"/>
      <c r="E286" s="557"/>
      <c r="F286" s="558"/>
      <c r="G286" s="558"/>
      <c r="H286" s="558"/>
      <c r="I286" s="559"/>
      <c r="J286" s="559"/>
      <c r="K286" s="559"/>
      <c r="L286" s="559"/>
      <c r="M286" s="559"/>
      <c r="N286" s="559"/>
      <c r="O286" s="559"/>
      <c r="P286" s="559"/>
      <c r="Q286" s="559"/>
      <c r="R286" s="601"/>
      <c r="AD286" s="660"/>
    </row>
    <row r="287" spans="1:30">
      <c r="A287" s="31"/>
      <c r="B287" s="30"/>
      <c r="C287" s="31"/>
      <c r="D287" s="602"/>
      <c r="E287" s="560"/>
      <c r="F287" s="561"/>
      <c r="G287" s="561"/>
      <c r="H287" s="561"/>
      <c r="I287" s="562"/>
      <c r="J287" s="562"/>
      <c r="K287" s="562"/>
      <c r="L287" s="562"/>
      <c r="M287" s="562"/>
      <c r="N287" s="562"/>
      <c r="O287" s="562"/>
      <c r="P287" s="562"/>
      <c r="Q287" s="562"/>
      <c r="R287" s="603"/>
      <c r="S287" s="145"/>
      <c r="T287" s="145"/>
      <c r="U287" s="145"/>
      <c r="V287" s="31"/>
      <c r="W287" s="146"/>
      <c r="X287" s="146"/>
      <c r="Z287" s="31"/>
      <c r="AA287" s="31"/>
      <c r="AB287" s="387"/>
      <c r="AC287" s="387"/>
      <c r="AD287" s="637"/>
    </row>
    <row r="288" spans="1:30">
      <c r="D288" s="600"/>
      <c r="E288" s="557"/>
      <c r="F288" s="558"/>
      <c r="G288" s="558"/>
      <c r="H288" s="558"/>
      <c r="I288" s="559"/>
      <c r="J288" s="559"/>
      <c r="K288" s="559"/>
      <c r="L288" s="559"/>
      <c r="M288" s="559"/>
      <c r="N288" s="559"/>
      <c r="O288" s="559"/>
      <c r="P288" s="559"/>
      <c r="Q288" s="559"/>
      <c r="R288" s="601"/>
      <c r="AD288" s="660"/>
    </row>
    <row r="289" spans="1:30">
      <c r="A289" s="31"/>
      <c r="B289" s="30"/>
      <c r="C289" s="31"/>
      <c r="D289" s="602"/>
      <c r="E289" s="560"/>
      <c r="F289" s="561"/>
      <c r="G289" s="561"/>
      <c r="H289" s="561"/>
      <c r="I289" s="562"/>
      <c r="J289" s="562"/>
      <c r="K289" s="562"/>
      <c r="L289" s="562"/>
      <c r="M289" s="562"/>
      <c r="N289" s="562"/>
      <c r="O289" s="562"/>
      <c r="P289" s="562"/>
      <c r="Q289" s="562"/>
      <c r="R289" s="603"/>
      <c r="S289" s="145"/>
      <c r="T289" s="145"/>
      <c r="U289" s="145"/>
      <c r="V289" s="31"/>
      <c r="W289" s="146"/>
      <c r="X289" s="146"/>
      <c r="Z289" s="31"/>
      <c r="AA289" s="31"/>
      <c r="AB289" s="387"/>
      <c r="AC289" s="387"/>
      <c r="AD289" s="637"/>
    </row>
    <row r="290" spans="1:30">
      <c r="D290" s="600"/>
      <c r="E290" s="557"/>
      <c r="F290" s="558"/>
      <c r="G290" s="558"/>
      <c r="H290" s="558"/>
      <c r="I290" s="559"/>
      <c r="J290" s="559"/>
      <c r="K290" s="559"/>
      <c r="L290" s="559"/>
      <c r="M290" s="559"/>
      <c r="N290" s="559"/>
      <c r="O290" s="559"/>
      <c r="P290" s="559"/>
      <c r="Q290" s="559"/>
      <c r="R290" s="601"/>
      <c r="AD290" s="660"/>
    </row>
    <row r="291" spans="1:30">
      <c r="A291" s="31"/>
      <c r="B291" s="30"/>
      <c r="C291" s="31"/>
      <c r="D291" s="602"/>
      <c r="E291" s="560"/>
      <c r="F291" s="561"/>
      <c r="G291" s="561"/>
      <c r="H291" s="561"/>
      <c r="I291" s="562"/>
      <c r="J291" s="562"/>
      <c r="K291" s="562"/>
      <c r="L291" s="562"/>
      <c r="M291" s="562"/>
      <c r="N291" s="562"/>
      <c r="O291" s="562"/>
      <c r="P291" s="562"/>
      <c r="Q291" s="562"/>
      <c r="R291" s="603"/>
      <c r="S291" s="145"/>
      <c r="T291" s="145"/>
      <c r="U291" s="145"/>
      <c r="V291" s="31"/>
      <c r="W291" s="146"/>
      <c r="X291" s="146"/>
      <c r="Z291" s="31"/>
      <c r="AA291" s="31"/>
      <c r="AB291" s="387"/>
      <c r="AC291" s="387"/>
      <c r="AD291" s="637"/>
    </row>
    <row r="292" spans="1:30">
      <c r="D292" s="600"/>
      <c r="E292" s="557"/>
      <c r="F292" s="558"/>
      <c r="G292" s="558"/>
      <c r="H292" s="558"/>
      <c r="I292" s="559"/>
      <c r="J292" s="559"/>
      <c r="K292" s="559"/>
      <c r="L292" s="559"/>
      <c r="M292" s="559"/>
      <c r="N292" s="559"/>
      <c r="O292" s="559"/>
      <c r="P292" s="559"/>
      <c r="Q292" s="559"/>
      <c r="R292" s="601"/>
      <c r="AD292" s="660"/>
    </row>
    <row r="293" spans="1:30">
      <c r="A293" s="31"/>
      <c r="B293" s="30"/>
      <c r="C293" s="31"/>
      <c r="D293" s="604"/>
      <c r="E293" s="605"/>
      <c r="F293" s="606"/>
      <c r="G293" s="606"/>
      <c r="H293" s="606"/>
      <c r="I293" s="607"/>
      <c r="J293" s="607"/>
      <c r="K293" s="607"/>
      <c r="L293" s="607"/>
      <c r="M293" s="607"/>
      <c r="N293" s="607"/>
      <c r="O293" s="607"/>
      <c r="P293" s="607"/>
      <c r="Q293" s="607"/>
      <c r="R293" s="608"/>
      <c r="S293" s="145"/>
      <c r="T293" s="145"/>
      <c r="U293" s="145"/>
      <c r="V293" s="31"/>
      <c r="W293" s="146"/>
      <c r="X293" s="146"/>
      <c r="Z293" s="31"/>
      <c r="AA293" s="31"/>
      <c r="AB293" s="387"/>
      <c r="AC293" s="387"/>
      <c r="AD293" s="637"/>
    </row>
    <row r="295" spans="1:30">
      <c r="A295" s="31"/>
      <c r="B295" s="30"/>
      <c r="C295" s="31"/>
      <c r="D295" s="143"/>
      <c r="E295" s="31"/>
      <c r="F295" s="144"/>
      <c r="G295" s="144"/>
      <c r="H295" s="144"/>
      <c r="I295" s="145"/>
      <c r="J295" s="145"/>
      <c r="K295" s="145"/>
      <c r="L295" s="145"/>
      <c r="M295" s="145"/>
      <c r="N295" s="145"/>
      <c r="O295" s="145"/>
      <c r="P295" s="145"/>
      <c r="Q295" s="145"/>
      <c r="R295" s="145"/>
      <c r="S295" s="145"/>
      <c r="T295" s="145"/>
      <c r="U295" s="145"/>
      <c r="V295" s="31"/>
      <c r="W295" s="146"/>
      <c r="X295" s="146"/>
      <c r="Z295" s="31"/>
      <c r="AA295" s="31"/>
      <c r="AB295" s="387"/>
      <c r="AC295" s="387"/>
      <c r="AD295" s="637"/>
    </row>
    <row r="297" spans="1:30">
      <c r="A297" s="31"/>
      <c r="B297" s="30"/>
      <c r="C297" s="31"/>
      <c r="D297" s="143"/>
      <c r="E297" s="31"/>
      <c r="F297" s="144"/>
      <c r="G297" s="144"/>
      <c r="H297" s="144"/>
      <c r="I297" s="145"/>
      <c r="J297" s="145"/>
      <c r="K297" s="145"/>
      <c r="L297" s="145"/>
      <c r="M297" s="145"/>
      <c r="N297" s="145"/>
      <c r="O297" s="145"/>
      <c r="P297" s="145"/>
      <c r="Q297" s="145"/>
      <c r="R297" s="145"/>
      <c r="S297" s="145"/>
      <c r="T297" s="145"/>
      <c r="U297" s="145"/>
      <c r="V297" s="31"/>
      <c r="W297" s="146"/>
      <c r="X297" s="146"/>
      <c r="Z297" s="31"/>
      <c r="AA297" s="31"/>
      <c r="AB297" s="387"/>
      <c r="AC297" s="387"/>
      <c r="AD297" s="637"/>
    </row>
    <row r="299" spans="1:30">
      <c r="A299" s="31"/>
      <c r="B299" s="30"/>
      <c r="C299" s="31"/>
      <c r="D299" s="143"/>
      <c r="E299" s="31"/>
      <c r="F299" s="144"/>
      <c r="G299" s="144"/>
      <c r="H299" s="144"/>
      <c r="I299" s="145"/>
      <c r="J299" s="145"/>
      <c r="K299" s="145"/>
      <c r="L299" s="145"/>
      <c r="M299" s="145"/>
      <c r="N299" s="145"/>
      <c r="O299" s="145"/>
      <c r="P299" s="145"/>
      <c r="Q299" s="145"/>
      <c r="R299" s="145"/>
      <c r="S299" s="145"/>
      <c r="T299" s="145"/>
      <c r="U299" s="145"/>
      <c r="V299" s="31"/>
      <c r="W299" s="146"/>
      <c r="X299" s="146"/>
      <c r="Z299" s="31"/>
      <c r="AA299" s="31"/>
      <c r="AB299" s="387"/>
      <c r="AC299" s="387"/>
      <c r="AD299" s="637"/>
    </row>
    <row r="301" spans="1:30">
      <c r="A301" s="31"/>
      <c r="B301" s="30"/>
      <c r="C301" s="31"/>
      <c r="D301" s="143"/>
      <c r="E301" s="31"/>
      <c r="F301" s="144"/>
      <c r="G301" s="144"/>
      <c r="H301" s="144"/>
      <c r="I301" s="145"/>
      <c r="J301" s="145"/>
      <c r="K301" s="145"/>
      <c r="L301" s="145"/>
      <c r="M301" s="145"/>
      <c r="N301" s="145"/>
      <c r="O301" s="145"/>
      <c r="P301" s="145"/>
      <c r="Q301" s="145"/>
      <c r="R301" s="145"/>
      <c r="S301" s="145"/>
      <c r="T301" s="145"/>
      <c r="U301" s="145"/>
      <c r="V301" s="31"/>
      <c r="W301" s="146"/>
      <c r="X301" s="146"/>
      <c r="Z301" s="31"/>
      <c r="AA301" s="31"/>
      <c r="AB301" s="387"/>
      <c r="AC301" s="387"/>
      <c r="AD301" s="637"/>
    </row>
    <row r="303" spans="1:30">
      <c r="A303" s="31"/>
      <c r="B303" s="30"/>
      <c r="C303" s="31"/>
      <c r="D303" s="143"/>
      <c r="E303" s="31"/>
      <c r="F303" s="144"/>
      <c r="G303" s="144"/>
      <c r="H303" s="144"/>
      <c r="I303" s="145"/>
      <c r="J303" s="145"/>
      <c r="K303" s="145"/>
      <c r="L303" s="145"/>
      <c r="M303" s="145"/>
      <c r="N303" s="145"/>
      <c r="O303" s="145"/>
      <c r="P303" s="145"/>
      <c r="Q303" s="145"/>
      <c r="R303" s="145"/>
      <c r="S303" s="145"/>
      <c r="T303" s="145"/>
      <c r="U303" s="145"/>
      <c r="V303" s="31"/>
      <c r="W303" s="146"/>
      <c r="X303" s="146"/>
      <c r="Z303" s="31"/>
      <c r="AA303" s="31"/>
      <c r="AB303" s="387"/>
      <c r="AC303" s="387"/>
      <c r="AD303" s="637"/>
    </row>
    <row r="305" spans="1:30">
      <c r="A305" s="31"/>
      <c r="B305" s="30"/>
      <c r="C305" s="31"/>
      <c r="D305" s="143"/>
      <c r="E305" s="31"/>
      <c r="F305" s="144"/>
      <c r="G305" s="144"/>
      <c r="H305" s="144"/>
      <c r="I305" s="145"/>
      <c r="J305" s="145"/>
      <c r="K305" s="145"/>
      <c r="L305" s="145"/>
      <c r="M305" s="145"/>
      <c r="N305" s="145"/>
      <c r="O305" s="145"/>
      <c r="P305" s="145"/>
      <c r="Q305" s="145"/>
      <c r="R305" s="145"/>
      <c r="S305" s="145"/>
      <c r="T305" s="145"/>
      <c r="U305" s="145"/>
      <c r="V305" s="31"/>
      <c r="W305" s="146"/>
      <c r="X305" s="146"/>
      <c r="Z305" s="31"/>
      <c r="AA305" s="31"/>
      <c r="AB305" s="387"/>
      <c r="AC305" s="387"/>
      <c r="AD305" s="637"/>
    </row>
    <row r="307" spans="1:30">
      <c r="A307" s="31"/>
      <c r="B307" s="30"/>
      <c r="C307" s="31"/>
      <c r="D307" s="143"/>
      <c r="E307" s="31"/>
      <c r="F307" s="144"/>
      <c r="G307" s="144"/>
      <c r="H307" s="144"/>
      <c r="I307" s="145"/>
      <c r="J307" s="145"/>
      <c r="K307" s="145"/>
      <c r="L307" s="145"/>
      <c r="M307" s="145"/>
      <c r="N307" s="145"/>
      <c r="O307" s="145"/>
      <c r="P307" s="145"/>
      <c r="Q307" s="145"/>
      <c r="R307" s="145"/>
      <c r="S307" s="145"/>
      <c r="T307" s="145"/>
      <c r="U307" s="145"/>
      <c r="V307" s="31"/>
      <c r="W307" s="146"/>
      <c r="X307" s="146"/>
      <c r="Z307" s="31"/>
      <c r="AA307" s="31"/>
      <c r="AB307" s="387"/>
      <c r="AC307" s="387"/>
      <c r="AD307" s="637"/>
    </row>
    <row r="309" spans="1:30">
      <c r="A309" s="31"/>
      <c r="B309" s="30"/>
      <c r="C309" s="31"/>
      <c r="D309" s="143"/>
      <c r="E309" s="31"/>
      <c r="F309" s="144"/>
      <c r="G309" s="144"/>
      <c r="H309" s="144"/>
      <c r="I309" s="145"/>
      <c r="J309" s="145"/>
      <c r="K309" s="145"/>
      <c r="L309" s="145"/>
      <c r="M309" s="145"/>
      <c r="N309" s="145"/>
      <c r="O309" s="145"/>
      <c r="P309" s="145"/>
      <c r="Q309" s="145"/>
      <c r="R309" s="145"/>
      <c r="S309" s="145"/>
      <c r="T309" s="145"/>
      <c r="U309" s="145"/>
      <c r="V309" s="31"/>
      <c r="W309" s="146"/>
      <c r="X309" s="146"/>
      <c r="Z309" s="31"/>
      <c r="AA309" s="31"/>
      <c r="AB309" s="387"/>
      <c r="AC309" s="387"/>
      <c r="AD309" s="637"/>
    </row>
    <row r="311" spans="1:30">
      <c r="A311" s="31"/>
      <c r="B311" s="30"/>
      <c r="C311" s="31"/>
      <c r="D311" s="143"/>
      <c r="E311" s="31"/>
      <c r="F311" s="144"/>
      <c r="G311" s="144"/>
      <c r="H311" s="144"/>
      <c r="I311" s="145"/>
      <c r="J311" s="145"/>
      <c r="K311" s="145"/>
      <c r="L311" s="145"/>
      <c r="M311" s="145"/>
      <c r="N311" s="145"/>
      <c r="O311" s="145"/>
      <c r="P311" s="145"/>
      <c r="Q311" s="145"/>
      <c r="R311" s="145"/>
      <c r="S311" s="145"/>
      <c r="T311" s="145"/>
      <c r="U311" s="145"/>
      <c r="V311" s="31"/>
      <c r="W311" s="146"/>
      <c r="X311" s="146"/>
      <c r="Z311" s="31"/>
      <c r="AA311" s="31"/>
      <c r="AB311" s="387"/>
      <c r="AC311" s="387"/>
      <c r="AD311" s="637"/>
    </row>
    <row r="313" spans="1:30">
      <c r="A313" s="31"/>
      <c r="B313" s="30"/>
      <c r="C313" s="31"/>
      <c r="D313" s="143"/>
      <c r="E313" s="31"/>
      <c r="F313" s="144"/>
      <c r="G313" s="144"/>
      <c r="H313" s="144"/>
      <c r="I313" s="145"/>
      <c r="J313" s="145"/>
      <c r="K313" s="145"/>
      <c r="L313" s="145"/>
      <c r="M313" s="145"/>
      <c r="N313" s="145"/>
      <c r="O313" s="145"/>
      <c r="P313" s="145"/>
      <c r="Q313" s="145"/>
      <c r="R313" s="145"/>
      <c r="S313" s="145"/>
      <c r="T313" s="145"/>
      <c r="U313" s="145"/>
      <c r="V313" s="31"/>
      <c r="W313" s="146"/>
      <c r="X313" s="146"/>
      <c r="Z313" s="31"/>
      <c r="AA313" s="31"/>
      <c r="AB313" s="387"/>
      <c r="AC313" s="387"/>
      <c r="AD313" s="637"/>
    </row>
    <row r="315" spans="1:30">
      <c r="A315" s="31"/>
      <c r="B315" s="30"/>
      <c r="C315" s="31"/>
      <c r="D315" s="143"/>
      <c r="E315" s="31"/>
      <c r="F315" s="144"/>
      <c r="G315" s="144"/>
      <c r="H315" s="144"/>
      <c r="I315" s="145"/>
      <c r="J315" s="145"/>
      <c r="K315" s="145"/>
      <c r="L315" s="145"/>
      <c r="M315" s="145"/>
      <c r="N315" s="145"/>
      <c r="O315" s="145"/>
      <c r="P315" s="145"/>
      <c r="Q315" s="145"/>
      <c r="R315" s="145"/>
      <c r="S315" s="145"/>
      <c r="T315" s="145"/>
      <c r="U315" s="145"/>
      <c r="V315" s="31"/>
      <c r="W315" s="146"/>
      <c r="X315" s="146"/>
      <c r="Z315" s="31"/>
      <c r="AA315" s="31"/>
      <c r="AB315" s="387"/>
      <c r="AC315" s="387"/>
      <c r="AD315" s="637"/>
    </row>
    <row r="317" spans="1:30">
      <c r="A317" s="31"/>
      <c r="B317" s="30"/>
      <c r="C317" s="31"/>
      <c r="D317" s="143"/>
      <c r="E317" s="31"/>
      <c r="F317" s="144"/>
      <c r="G317" s="144"/>
      <c r="H317" s="144"/>
      <c r="I317" s="145"/>
      <c r="J317" s="145"/>
      <c r="K317" s="145"/>
      <c r="L317" s="145"/>
      <c r="M317" s="145"/>
      <c r="N317" s="145"/>
      <c r="O317" s="145"/>
      <c r="P317" s="145"/>
      <c r="Q317" s="145"/>
      <c r="R317" s="145"/>
      <c r="S317" s="145"/>
      <c r="T317" s="145"/>
      <c r="U317" s="145"/>
      <c r="V317" s="31"/>
      <c r="W317" s="146"/>
      <c r="X317" s="146"/>
      <c r="Z317" s="31"/>
      <c r="AA317" s="31"/>
      <c r="AB317" s="387"/>
      <c r="AC317" s="387"/>
      <c r="AD317" s="637"/>
    </row>
    <row r="319" spans="1:30">
      <c r="A319" s="31"/>
      <c r="B319" s="30"/>
      <c r="C319" s="31"/>
      <c r="D319" s="143"/>
      <c r="E319" s="31"/>
      <c r="F319" s="144"/>
      <c r="G319" s="144"/>
      <c r="H319" s="144"/>
      <c r="I319" s="145"/>
      <c r="J319" s="145"/>
      <c r="K319" s="145"/>
      <c r="L319" s="145"/>
      <c r="M319" s="145"/>
      <c r="N319" s="145"/>
      <c r="O319" s="145"/>
      <c r="P319" s="145"/>
      <c r="Q319" s="145"/>
      <c r="R319" s="145"/>
      <c r="S319" s="145"/>
      <c r="T319" s="145"/>
      <c r="U319" s="145"/>
      <c r="V319" s="31"/>
      <c r="W319" s="146"/>
      <c r="X319" s="146"/>
      <c r="Z319" s="31"/>
      <c r="AA319" s="31"/>
      <c r="AB319" s="387"/>
      <c r="AC319" s="387"/>
      <c r="AD319" s="637"/>
    </row>
    <row r="321" spans="1:30">
      <c r="A321" s="31"/>
      <c r="B321" s="30"/>
      <c r="C321" s="31"/>
      <c r="D321" s="143"/>
      <c r="E321" s="31"/>
      <c r="F321" s="144"/>
      <c r="G321" s="144"/>
      <c r="H321" s="144"/>
      <c r="I321" s="145"/>
      <c r="J321" s="145"/>
      <c r="K321" s="145"/>
      <c r="L321" s="145"/>
      <c r="M321" s="145"/>
      <c r="N321" s="145"/>
      <c r="O321" s="145"/>
      <c r="P321" s="145"/>
      <c r="Q321" s="145"/>
      <c r="R321" s="145"/>
      <c r="S321" s="145"/>
      <c r="T321" s="145"/>
      <c r="U321" s="145"/>
      <c r="V321" s="31"/>
      <c r="W321" s="146"/>
      <c r="X321" s="146"/>
      <c r="Z321" s="31"/>
      <c r="AA321" s="31"/>
      <c r="AB321" s="387"/>
      <c r="AC321" s="387"/>
      <c r="AD321" s="637"/>
    </row>
    <row r="323" spans="1:30">
      <c r="A323" s="31"/>
      <c r="B323" s="30"/>
      <c r="C323" s="31"/>
      <c r="D323" s="143"/>
      <c r="E323" s="31"/>
      <c r="F323" s="144"/>
      <c r="G323" s="144"/>
      <c r="H323" s="144"/>
      <c r="I323" s="145"/>
      <c r="J323" s="145"/>
      <c r="K323" s="145"/>
      <c r="L323" s="145"/>
      <c r="M323" s="145"/>
      <c r="N323" s="145"/>
      <c r="O323" s="145"/>
      <c r="P323" s="145"/>
      <c r="Q323" s="145"/>
      <c r="R323" s="145"/>
      <c r="S323" s="145"/>
      <c r="T323" s="145"/>
      <c r="U323" s="145"/>
      <c r="V323" s="31"/>
      <c r="W323" s="146"/>
      <c r="X323" s="146"/>
      <c r="Z323" s="31"/>
      <c r="AA323" s="31"/>
      <c r="AB323" s="387"/>
      <c r="AC323" s="387"/>
      <c r="AD323" s="637"/>
    </row>
    <row r="325" spans="1:30">
      <c r="A325" s="31"/>
      <c r="B325" s="30"/>
      <c r="C325" s="31"/>
      <c r="D325" s="143"/>
      <c r="E325" s="31"/>
      <c r="F325" s="144"/>
      <c r="G325" s="144"/>
      <c r="H325" s="144"/>
      <c r="I325" s="145"/>
      <c r="J325" s="145"/>
      <c r="K325" s="145"/>
      <c r="L325" s="145"/>
      <c r="M325" s="145"/>
      <c r="N325" s="145"/>
      <c r="O325" s="145"/>
      <c r="P325" s="145"/>
      <c r="Q325" s="145"/>
      <c r="R325" s="145"/>
      <c r="S325" s="145"/>
      <c r="T325" s="145"/>
      <c r="U325" s="145"/>
      <c r="V325" s="31"/>
      <c r="W325" s="146"/>
      <c r="X325" s="146"/>
      <c r="Z325" s="31"/>
      <c r="AA325" s="31"/>
      <c r="AB325" s="387"/>
      <c r="AC325" s="387"/>
      <c r="AD325" s="637"/>
    </row>
    <row r="327" spans="1:30">
      <c r="A327" s="31"/>
      <c r="B327" s="30"/>
      <c r="C327" s="31"/>
      <c r="D327" s="143"/>
      <c r="E327" s="31"/>
      <c r="F327" s="144"/>
      <c r="G327" s="144"/>
      <c r="H327" s="144"/>
      <c r="I327" s="145"/>
      <c r="J327" s="145"/>
      <c r="K327" s="145"/>
      <c r="L327" s="145"/>
      <c r="M327" s="145"/>
      <c r="N327" s="145"/>
      <c r="O327" s="145"/>
      <c r="P327" s="145"/>
      <c r="Q327" s="145"/>
      <c r="R327" s="145"/>
      <c r="S327" s="145"/>
      <c r="T327" s="145"/>
      <c r="U327" s="145"/>
      <c r="V327" s="31"/>
      <c r="W327" s="146"/>
      <c r="X327" s="146"/>
      <c r="Z327" s="31"/>
      <c r="AA327" s="31"/>
      <c r="AB327" s="387"/>
      <c r="AC327" s="387"/>
      <c r="AD327" s="637"/>
    </row>
    <row r="329" spans="1:30">
      <c r="A329" s="31"/>
      <c r="B329" s="30"/>
      <c r="C329" s="31"/>
      <c r="D329" s="143"/>
      <c r="E329" s="31"/>
      <c r="F329" s="144"/>
      <c r="G329" s="144"/>
      <c r="H329" s="144"/>
      <c r="I329" s="145"/>
      <c r="J329" s="145"/>
      <c r="K329" s="145"/>
      <c r="L329" s="145"/>
      <c r="M329" s="145"/>
      <c r="N329" s="145"/>
      <c r="O329" s="145"/>
      <c r="P329" s="145"/>
      <c r="Q329" s="145"/>
      <c r="R329" s="145"/>
      <c r="S329" s="145"/>
      <c r="T329" s="145"/>
      <c r="U329" s="145"/>
      <c r="V329" s="31"/>
      <c r="W329" s="146"/>
      <c r="X329" s="146"/>
      <c r="Z329" s="31"/>
      <c r="AA329" s="31"/>
      <c r="AB329" s="387"/>
      <c r="AC329" s="387"/>
      <c r="AD329" s="637"/>
    </row>
    <row r="331" spans="1:30">
      <c r="A331" s="31"/>
      <c r="B331" s="30"/>
      <c r="C331" s="31"/>
      <c r="D331" s="143"/>
      <c r="E331" s="31"/>
      <c r="F331" s="144"/>
      <c r="G331" s="144"/>
      <c r="H331" s="144"/>
      <c r="I331" s="145"/>
      <c r="J331" s="145"/>
      <c r="K331" s="145"/>
      <c r="L331" s="145"/>
      <c r="M331" s="145"/>
      <c r="N331" s="145"/>
      <c r="O331" s="145"/>
      <c r="P331" s="145"/>
      <c r="Q331" s="145"/>
      <c r="R331" s="145"/>
      <c r="S331" s="145"/>
      <c r="T331" s="145"/>
      <c r="U331" s="145"/>
      <c r="V331" s="31"/>
      <c r="W331" s="146"/>
      <c r="X331" s="146"/>
      <c r="Z331" s="31"/>
      <c r="AA331" s="31"/>
      <c r="AB331" s="387"/>
      <c r="AC331" s="387"/>
      <c r="AD331" s="637"/>
    </row>
    <row r="333" spans="1:30">
      <c r="A333" s="31"/>
      <c r="B333" s="30"/>
      <c r="C333" s="31"/>
      <c r="D333" s="143"/>
      <c r="E333" s="31"/>
      <c r="F333" s="144"/>
      <c r="G333" s="144"/>
      <c r="H333" s="144"/>
      <c r="I333" s="145"/>
      <c r="J333" s="145"/>
      <c r="K333" s="145"/>
      <c r="L333" s="145"/>
      <c r="M333" s="145"/>
      <c r="N333" s="145"/>
      <c r="O333" s="145"/>
      <c r="P333" s="145"/>
      <c r="Q333" s="145"/>
      <c r="R333" s="145"/>
      <c r="S333" s="145"/>
      <c r="T333" s="145"/>
      <c r="U333" s="145"/>
      <c r="V333" s="31"/>
      <c r="W333" s="146"/>
      <c r="X333" s="146"/>
      <c r="Z333" s="31"/>
      <c r="AA333" s="31"/>
      <c r="AB333" s="387"/>
      <c r="AC333" s="387"/>
      <c r="AD333" s="637"/>
    </row>
    <row r="335" spans="1:30">
      <c r="A335" s="31"/>
      <c r="B335" s="30"/>
      <c r="C335" s="31"/>
      <c r="D335" s="143"/>
      <c r="E335" s="31"/>
      <c r="F335" s="144"/>
      <c r="G335" s="144"/>
      <c r="H335" s="144"/>
      <c r="I335" s="145"/>
      <c r="J335" s="145"/>
      <c r="K335" s="145"/>
      <c r="L335" s="145"/>
      <c r="M335" s="145"/>
      <c r="N335" s="145"/>
      <c r="O335" s="145"/>
      <c r="P335" s="145"/>
      <c r="Q335" s="145"/>
      <c r="R335" s="145"/>
      <c r="S335" s="145"/>
      <c r="T335" s="145"/>
      <c r="U335" s="145"/>
      <c r="V335" s="31"/>
      <c r="W335" s="146"/>
      <c r="X335" s="146"/>
      <c r="Z335" s="31"/>
      <c r="AA335" s="31"/>
      <c r="AB335" s="387"/>
      <c r="AC335" s="387"/>
      <c r="AD335" s="637"/>
    </row>
    <row r="337" spans="1:30">
      <c r="A337" s="31"/>
      <c r="B337" s="30"/>
      <c r="C337" s="31"/>
      <c r="D337" s="143"/>
      <c r="E337" s="31"/>
      <c r="F337" s="144"/>
      <c r="G337" s="144"/>
      <c r="H337" s="144"/>
      <c r="I337" s="145"/>
      <c r="J337" s="145"/>
      <c r="K337" s="145"/>
      <c r="L337" s="145"/>
      <c r="M337" s="145"/>
      <c r="N337" s="145"/>
      <c r="O337" s="145"/>
      <c r="P337" s="145"/>
      <c r="Q337" s="145"/>
      <c r="R337" s="145"/>
      <c r="S337" s="145"/>
      <c r="T337" s="145"/>
      <c r="U337" s="145"/>
      <c r="V337" s="31"/>
      <c r="W337" s="146"/>
      <c r="X337" s="146"/>
      <c r="Z337" s="31"/>
      <c r="AA337" s="31"/>
      <c r="AB337" s="387"/>
      <c r="AC337" s="387"/>
      <c r="AD337" s="637"/>
    </row>
    <row r="339" spans="1:30">
      <c r="A339" s="31"/>
      <c r="B339" s="30"/>
      <c r="C339" s="31"/>
      <c r="D339" s="143"/>
      <c r="E339" s="31"/>
      <c r="F339" s="144"/>
      <c r="G339" s="144"/>
      <c r="H339" s="144"/>
      <c r="I339" s="145"/>
      <c r="J339" s="145"/>
      <c r="K339" s="145"/>
      <c r="L339" s="145"/>
      <c r="M339" s="145"/>
      <c r="N339" s="145"/>
      <c r="O339" s="145"/>
      <c r="P339" s="145"/>
      <c r="Q339" s="145"/>
      <c r="R339" s="145"/>
      <c r="S339" s="145"/>
      <c r="T339" s="145"/>
      <c r="U339" s="145"/>
      <c r="V339" s="31"/>
      <c r="W339" s="146"/>
      <c r="X339" s="146"/>
      <c r="Z339" s="31"/>
      <c r="AA339" s="31"/>
      <c r="AB339" s="387"/>
      <c r="AC339" s="387"/>
      <c r="AD339" s="637"/>
    </row>
    <row r="341" spans="1:30">
      <c r="A341" s="31"/>
      <c r="B341" s="30"/>
      <c r="C341" s="31"/>
      <c r="D341" s="143"/>
      <c r="E341" s="31"/>
      <c r="F341" s="144"/>
      <c r="G341" s="144"/>
      <c r="H341" s="144"/>
      <c r="I341" s="145"/>
      <c r="J341" s="145"/>
      <c r="K341" s="145"/>
      <c r="L341" s="145"/>
      <c r="M341" s="145"/>
      <c r="N341" s="145"/>
      <c r="O341" s="145"/>
      <c r="P341" s="145"/>
      <c r="Q341" s="145"/>
      <c r="R341" s="145"/>
      <c r="S341" s="145"/>
      <c r="T341" s="145"/>
      <c r="U341" s="145"/>
      <c r="V341" s="31"/>
      <c r="W341" s="146"/>
      <c r="X341" s="146"/>
      <c r="Z341" s="31"/>
      <c r="AA341" s="31"/>
      <c r="AB341" s="387"/>
      <c r="AC341" s="387"/>
      <c r="AD341" s="637"/>
    </row>
    <row r="343" spans="1:30">
      <c r="A343" s="31"/>
      <c r="B343" s="30"/>
      <c r="C343" s="31"/>
      <c r="D343" s="143"/>
      <c r="E343" s="31"/>
      <c r="F343" s="144"/>
      <c r="G343" s="144"/>
      <c r="H343" s="144"/>
      <c r="I343" s="145"/>
      <c r="J343" s="145"/>
      <c r="K343" s="145"/>
      <c r="L343" s="145"/>
      <c r="M343" s="145"/>
      <c r="N343" s="145"/>
      <c r="O343" s="145"/>
      <c r="P343" s="145"/>
      <c r="Q343" s="145"/>
      <c r="R343" s="145"/>
      <c r="S343" s="145"/>
      <c r="T343" s="145"/>
      <c r="U343" s="145"/>
      <c r="V343" s="31"/>
      <c r="W343" s="146"/>
      <c r="X343" s="146"/>
      <c r="Z343" s="31"/>
      <c r="AA343" s="31"/>
      <c r="AB343" s="387"/>
      <c r="AC343" s="387"/>
      <c r="AD343" s="637"/>
    </row>
    <row r="345" spans="1:30">
      <c r="A345" s="31"/>
      <c r="B345" s="30"/>
      <c r="C345" s="31"/>
      <c r="D345" s="143"/>
      <c r="E345" s="31"/>
      <c r="F345" s="144"/>
      <c r="G345" s="144"/>
      <c r="H345" s="144"/>
      <c r="I345" s="145"/>
      <c r="J345" s="145"/>
      <c r="K345" s="145"/>
      <c r="L345" s="145"/>
      <c r="M345" s="145"/>
      <c r="N345" s="145"/>
      <c r="O345" s="145"/>
      <c r="P345" s="145"/>
      <c r="Q345" s="145"/>
      <c r="R345" s="145"/>
      <c r="S345" s="145"/>
      <c r="T345" s="145"/>
      <c r="U345" s="145"/>
      <c r="V345" s="31"/>
      <c r="W345" s="146"/>
      <c r="X345" s="146"/>
      <c r="Z345" s="31"/>
      <c r="AA345" s="31"/>
      <c r="AB345" s="387"/>
      <c r="AC345" s="387"/>
      <c r="AD345" s="637"/>
    </row>
    <row r="347" spans="1:30">
      <c r="A347" s="31"/>
      <c r="B347" s="30"/>
      <c r="C347" s="31"/>
      <c r="D347" s="143"/>
      <c r="E347" s="31"/>
      <c r="F347" s="144"/>
      <c r="G347" s="144"/>
      <c r="H347" s="144"/>
      <c r="I347" s="145"/>
      <c r="J347" s="145"/>
      <c r="K347" s="145"/>
      <c r="L347" s="145"/>
      <c r="M347" s="145"/>
      <c r="N347" s="145"/>
      <c r="O347" s="145"/>
      <c r="P347" s="145"/>
      <c r="Q347" s="145"/>
      <c r="R347" s="145"/>
      <c r="S347" s="145"/>
      <c r="T347" s="145"/>
      <c r="U347" s="145"/>
      <c r="V347" s="31"/>
      <c r="W347" s="146"/>
      <c r="X347" s="146"/>
      <c r="Z347" s="31"/>
      <c r="AA347" s="31"/>
      <c r="AB347" s="387"/>
      <c r="AC347" s="387"/>
      <c r="AD347" s="637"/>
    </row>
    <row r="349" spans="1:30">
      <c r="A349" s="31"/>
      <c r="B349" s="30"/>
      <c r="C349" s="31"/>
      <c r="D349" s="143"/>
      <c r="E349" s="31"/>
      <c r="F349" s="144"/>
      <c r="G349" s="144"/>
      <c r="H349" s="144"/>
      <c r="I349" s="145"/>
      <c r="J349" s="145"/>
      <c r="K349" s="145"/>
      <c r="L349" s="145"/>
      <c r="M349" s="145"/>
      <c r="N349" s="145"/>
      <c r="O349" s="145"/>
      <c r="P349" s="145"/>
      <c r="Q349" s="145"/>
      <c r="R349" s="145"/>
      <c r="S349" s="145"/>
      <c r="T349" s="145"/>
      <c r="U349" s="145"/>
      <c r="V349" s="31"/>
      <c r="W349" s="146"/>
      <c r="X349" s="146"/>
      <c r="Z349" s="31"/>
      <c r="AA349" s="31"/>
      <c r="AB349" s="387"/>
      <c r="AC349" s="387"/>
      <c r="AD349" s="637"/>
    </row>
    <row r="351" spans="1:30">
      <c r="A351" s="31"/>
      <c r="B351" s="30"/>
      <c r="C351" s="31"/>
      <c r="D351" s="143"/>
      <c r="E351" s="31"/>
      <c r="F351" s="144"/>
      <c r="G351" s="144"/>
      <c r="H351" s="144"/>
      <c r="I351" s="145"/>
      <c r="J351" s="145"/>
      <c r="K351" s="145"/>
      <c r="L351" s="145"/>
      <c r="M351" s="145"/>
      <c r="N351" s="145"/>
      <c r="O351" s="145"/>
      <c r="P351" s="145"/>
      <c r="Q351" s="145"/>
      <c r="R351" s="145"/>
      <c r="S351" s="145"/>
      <c r="T351" s="145"/>
      <c r="U351" s="145"/>
      <c r="V351" s="31"/>
      <c r="W351" s="146"/>
      <c r="X351" s="146"/>
      <c r="Z351" s="31"/>
      <c r="AA351" s="31"/>
      <c r="AB351" s="387"/>
      <c r="AC351" s="387"/>
      <c r="AD351" s="637"/>
    </row>
    <row r="353" spans="1:30">
      <c r="A353" s="31"/>
      <c r="B353" s="30"/>
      <c r="C353" s="31"/>
      <c r="D353" s="143"/>
      <c r="E353" s="31"/>
      <c r="F353" s="144"/>
      <c r="G353" s="144"/>
      <c r="H353" s="144"/>
      <c r="I353" s="145"/>
      <c r="J353" s="145"/>
      <c r="K353" s="145"/>
      <c r="L353" s="145"/>
      <c r="M353" s="145"/>
      <c r="N353" s="145"/>
      <c r="O353" s="145"/>
      <c r="P353" s="145"/>
      <c r="Q353" s="145"/>
      <c r="R353" s="145"/>
      <c r="S353" s="145"/>
      <c r="T353" s="145"/>
      <c r="U353" s="145"/>
      <c r="V353" s="31"/>
      <c r="W353" s="146"/>
      <c r="X353" s="146"/>
      <c r="Z353" s="31"/>
      <c r="AA353" s="31"/>
      <c r="AB353" s="387"/>
      <c r="AC353" s="387"/>
      <c r="AD353" s="637"/>
    </row>
    <row r="355" spans="1:30">
      <c r="A355" s="31"/>
      <c r="B355" s="30"/>
      <c r="C355" s="31"/>
      <c r="D355" s="143"/>
      <c r="E355" s="31"/>
      <c r="F355" s="144"/>
      <c r="G355" s="144"/>
      <c r="H355" s="144"/>
      <c r="I355" s="145"/>
      <c r="J355" s="145"/>
      <c r="K355" s="145"/>
      <c r="L355" s="145"/>
      <c r="M355" s="145"/>
      <c r="N355" s="145"/>
      <c r="O355" s="145"/>
      <c r="P355" s="145"/>
      <c r="Q355" s="145"/>
      <c r="R355" s="145"/>
      <c r="S355" s="145"/>
      <c r="T355" s="145"/>
      <c r="U355" s="145"/>
      <c r="V355" s="31"/>
      <c r="W355" s="146"/>
      <c r="X355" s="146"/>
      <c r="Z355" s="31"/>
      <c r="AA355" s="31"/>
      <c r="AB355" s="387"/>
      <c r="AC355" s="387"/>
      <c r="AD355" s="637"/>
    </row>
    <row r="357" spans="1:30">
      <c r="A357" s="31"/>
      <c r="B357" s="30"/>
      <c r="C357" s="31"/>
      <c r="D357" s="143"/>
      <c r="E357" s="31"/>
      <c r="F357" s="144"/>
      <c r="G357" s="144"/>
      <c r="H357" s="144"/>
      <c r="I357" s="145"/>
      <c r="J357" s="145"/>
      <c r="K357" s="145"/>
      <c r="L357" s="145"/>
      <c r="M357" s="145"/>
      <c r="N357" s="145"/>
      <c r="O357" s="145"/>
      <c r="P357" s="145"/>
      <c r="Q357" s="145"/>
      <c r="R357" s="145"/>
      <c r="S357" s="145"/>
      <c r="T357" s="145"/>
      <c r="U357" s="145"/>
      <c r="V357" s="31"/>
      <c r="W357" s="146"/>
      <c r="X357" s="146"/>
      <c r="Z357" s="31"/>
      <c r="AA357" s="31"/>
      <c r="AB357" s="387"/>
      <c r="AC357" s="387"/>
      <c r="AD357" s="637"/>
    </row>
    <row r="359" spans="1:30">
      <c r="A359" s="31"/>
      <c r="B359" s="30"/>
      <c r="C359" s="31"/>
      <c r="D359" s="143"/>
      <c r="E359" s="31"/>
      <c r="F359" s="144"/>
      <c r="G359" s="144"/>
      <c r="H359" s="144"/>
      <c r="I359" s="145"/>
      <c r="J359" s="145"/>
      <c r="K359" s="145"/>
      <c r="L359" s="145"/>
      <c r="M359" s="145"/>
      <c r="N359" s="145"/>
      <c r="O359" s="145"/>
      <c r="P359" s="145"/>
      <c r="Q359" s="145"/>
      <c r="R359" s="145"/>
      <c r="S359" s="145"/>
      <c r="T359" s="145"/>
      <c r="U359" s="145"/>
      <c r="V359" s="31"/>
      <c r="W359" s="146"/>
      <c r="X359" s="146"/>
      <c r="Z359" s="31"/>
      <c r="AA359" s="31"/>
      <c r="AB359" s="387"/>
      <c r="AC359" s="387"/>
      <c r="AD359" s="637"/>
    </row>
    <row r="361" spans="1:30">
      <c r="A361" s="31"/>
      <c r="B361" s="30"/>
      <c r="C361" s="31"/>
      <c r="D361" s="143"/>
      <c r="E361" s="31"/>
      <c r="F361" s="144"/>
      <c r="G361" s="144"/>
      <c r="H361" s="144"/>
      <c r="I361" s="145"/>
      <c r="J361" s="145"/>
      <c r="K361" s="145"/>
      <c r="L361" s="145"/>
      <c r="M361" s="145"/>
      <c r="N361" s="145"/>
      <c r="O361" s="145"/>
      <c r="P361" s="145"/>
      <c r="Q361" s="145"/>
      <c r="R361" s="145"/>
      <c r="S361" s="145"/>
      <c r="T361" s="145"/>
      <c r="U361" s="145"/>
      <c r="V361" s="31"/>
      <c r="W361" s="146"/>
      <c r="X361" s="146"/>
      <c r="Z361" s="31"/>
      <c r="AA361" s="31"/>
      <c r="AB361" s="387"/>
      <c r="AC361" s="387"/>
      <c r="AD361" s="637"/>
    </row>
    <row r="363" spans="1:30">
      <c r="A363" s="31"/>
      <c r="B363" s="30"/>
      <c r="C363" s="31"/>
      <c r="D363" s="143"/>
      <c r="E363" s="31"/>
      <c r="F363" s="144"/>
      <c r="G363" s="144"/>
      <c r="H363" s="144"/>
      <c r="I363" s="145"/>
      <c r="J363" s="145"/>
      <c r="K363" s="145"/>
      <c r="L363" s="145"/>
      <c r="M363" s="145"/>
      <c r="N363" s="145"/>
      <c r="O363" s="145"/>
      <c r="P363" s="145"/>
      <c r="Q363" s="145"/>
      <c r="R363" s="145"/>
      <c r="S363" s="145"/>
      <c r="T363" s="145"/>
      <c r="U363" s="145"/>
      <c r="V363" s="31"/>
      <c r="W363" s="146"/>
      <c r="X363" s="146"/>
      <c r="Z363" s="31"/>
      <c r="AA363" s="31"/>
      <c r="AB363" s="387"/>
      <c r="AC363" s="387"/>
      <c r="AD363" s="637"/>
    </row>
    <row r="365" spans="1:30">
      <c r="A365" s="31"/>
      <c r="B365" s="30"/>
      <c r="C365" s="31"/>
      <c r="D365" s="143"/>
      <c r="E365" s="31"/>
      <c r="F365" s="144"/>
      <c r="G365" s="144"/>
      <c r="H365" s="144"/>
      <c r="I365" s="145"/>
      <c r="J365" s="145"/>
      <c r="K365" s="145"/>
      <c r="L365" s="145"/>
      <c r="M365" s="145"/>
      <c r="N365" s="145"/>
      <c r="O365" s="145"/>
      <c r="P365" s="145"/>
      <c r="Q365" s="145"/>
      <c r="R365" s="145"/>
      <c r="S365" s="145"/>
      <c r="T365" s="145"/>
      <c r="U365" s="145"/>
      <c r="V365" s="31"/>
      <c r="W365" s="146"/>
      <c r="X365" s="146"/>
      <c r="Z365" s="31"/>
      <c r="AA365" s="31"/>
      <c r="AB365" s="387"/>
      <c r="AC365" s="387"/>
      <c r="AD365" s="637"/>
    </row>
    <row r="367" spans="1:30">
      <c r="A367" s="31"/>
      <c r="B367" s="30"/>
      <c r="C367" s="31"/>
      <c r="D367" s="143"/>
      <c r="E367" s="31"/>
      <c r="F367" s="144"/>
      <c r="G367" s="144"/>
      <c r="H367" s="144"/>
      <c r="I367" s="145"/>
      <c r="J367" s="145"/>
      <c r="K367" s="145"/>
      <c r="L367" s="145"/>
      <c r="M367" s="145"/>
      <c r="N367" s="145"/>
      <c r="O367" s="145"/>
      <c r="P367" s="145"/>
      <c r="Q367" s="145"/>
      <c r="R367" s="145"/>
      <c r="S367" s="145"/>
      <c r="T367" s="145"/>
      <c r="U367" s="145"/>
      <c r="V367" s="31"/>
      <c r="W367" s="146"/>
      <c r="X367" s="146"/>
      <c r="Z367" s="31"/>
      <c r="AA367" s="31"/>
      <c r="AB367" s="387"/>
      <c r="AC367" s="387"/>
      <c r="AD367" s="637"/>
    </row>
    <row r="369" spans="1:30">
      <c r="A369" s="31"/>
      <c r="B369" s="30"/>
      <c r="C369" s="31"/>
      <c r="D369" s="143"/>
      <c r="E369" s="31"/>
      <c r="F369" s="144"/>
      <c r="G369" s="144"/>
      <c r="H369" s="144"/>
      <c r="I369" s="145"/>
      <c r="J369" s="145"/>
      <c r="K369" s="145"/>
      <c r="L369" s="145"/>
      <c r="M369" s="145"/>
      <c r="N369" s="145"/>
      <c r="O369" s="145"/>
      <c r="P369" s="145"/>
      <c r="Q369" s="145"/>
      <c r="R369" s="145"/>
      <c r="S369" s="145"/>
      <c r="T369" s="145"/>
      <c r="U369" s="145"/>
      <c r="V369" s="31"/>
      <c r="W369" s="146"/>
      <c r="X369" s="146"/>
      <c r="Z369" s="31"/>
      <c r="AA369" s="31"/>
      <c r="AB369" s="387"/>
      <c r="AC369" s="387"/>
      <c r="AD369" s="637"/>
    </row>
    <row r="371" spans="1:30">
      <c r="A371" s="31"/>
      <c r="B371" s="30"/>
      <c r="C371" s="31"/>
      <c r="D371" s="143"/>
      <c r="E371" s="31"/>
      <c r="F371" s="144"/>
      <c r="G371" s="144"/>
      <c r="H371" s="144"/>
      <c r="I371" s="145"/>
      <c r="J371" s="145"/>
      <c r="K371" s="145"/>
      <c r="L371" s="145"/>
      <c r="M371" s="145"/>
      <c r="N371" s="145"/>
      <c r="O371" s="145"/>
      <c r="P371" s="145"/>
      <c r="Q371" s="145"/>
      <c r="R371" s="145"/>
      <c r="S371" s="145"/>
      <c r="T371" s="145"/>
      <c r="U371" s="145"/>
      <c r="V371" s="31"/>
      <c r="W371" s="146"/>
      <c r="X371" s="146"/>
      <c r="Z371" s="31"/>
      <c r="AA371" s="31"/>
      <c r="AB371" s="387"/>
      <c r="AC371" s="387"/>
      <c r="AD371" s="637"/>
    </row>
    <row r="373" spans="1:30">
      <c r="A373" s="31"/>
      <c r="B373" s="30"/>
      <c r="C373" s="31"/>
      <c r="D373" s="143"/>
      <c r="E373" s="31"/>
      <c r="F373" s="144"/>
      <c r="G373" s="144"/>
      <c r="H373" s="144"/>
      <c r="I373" s="145"/>
      <c r="J373" s="145"/>
      <c r="K373" s="145"/>
      <c r="L373" s="145"/>
      <c r="M373" s="145"/>
      <c r="N373" s="145"/>
      <c r="O373" s="145"/>
      <c r="P373" s="145"/>
      <c r="Q373" s="145"/>
      <c r="R373" s="145"/>
      <c r="S373" s="145"/>
      <c r="T373" s="145"/>
      <c r="U373" s="145"/>
      <c r="V373" s="31"/>
      <c r="W373" s="146"/>
      <c r="X373" s="146"/>
      <c r="Z373" s="31"/>
      <c r="AA373" s="31"/>
      <c r="AB373" s="387"/>
      <c r="AC373" s="387"/>
      <c r="AD373" s="637"/>
    </row>
    <row r="375" spans="1:30">
      <c r="A375" s="31"/>
      <c r="B375" s="30"/>
      <c r="C375" s="31"/>
      <c r="D375" s="143"/>
      <c r="E375" s="31"/>
      <c r="F375" s="144"/>
      <c r="G375" s="144"/>
      <c r="H375" s="144"/>
      <c r="I375" s="145"/>
      <c r="J375" s="145"/>
      <c r="K375" s="145"/>
      <c r="L375" s="145"/>
      <c r="M375" s="145"/>
      <c r="N375" s="145"/>
      <c r="O375" s="145"/>
      <c r="P375" s="145"/>
      <c r="Q375" s="145"/>
      <c r="R375" s="145"/>
      <c r="S375" s="145"/>
      <c r="T375" s="145"/>
      <c r="U375" s="145"/>
      <c r="V375" s="31"/>
      <c r="W375" s="146"/>
      <c r="X375" s="146"/>
      <c r="Z375" s="31"/>
      <c r="AA375" s="31"/>
      <c r="AB375" s="387"/>
      <c r="AC375" s="387"/>
      <c r="AD375" s="637"/>
    </row>
    <row r="377" spans="1:30">
      <c r="A377" s="31"/>
      <c r="B377" s="30"/>
      <c r="C377" s="31"/>
      <c r="D377" s="143"/>
      <c r="E377" s="31"/>
      <c r="F377" s="144"/>
      <c r="G377" s="144"/>
      <c r="H377" s="144"/>
      <c r="I377" s="145"/>
      <c r="J377" s="145"/>
      <c r="K377" s="145"/>
      <c r="L377" s="145"/>
      <c r="M377" s="145"/>
      <c r="N377" s="145"/>
      <c r="O377" s="145"/>
      <c r="P377" s="145"/>
      <c r="Q377" s="145"/>
      <c r="R377" s="145"/>
      <c r="S377" s="145"/>
      <c r="T377" s="145"/>
      <c r="U377" s="145"/>
      <c r="V377" s="31"/>
      <c r="W377" s="146"/>
      <c r="X377" s="146"/>
      <c r="Z377" s="31"/>
      <c r="AA377" s="31"/>
      <c r="AB377" s="387"/>
      <c r="AC377" s="387"/>
      <c r="AD377" s="637"/>
    </row>
    <row r="379" spans="1:30">
      <c r="A379" s="31"/>
      <c r="B379" s="30"/>
      <c r="C379" s="31"/>
      <c r="D379" s="143"/>
      <c r="E379" s="31"/>
      <c r="F379" s="144"/>
      <c r="G379" s="144"/>
      <c r="H379" s="144"/>
      <c r="I379" s="145"/>
      <c r="J379" s="145"/>
      <c r="K379" s="145"/>
      <c r="L379" s="145"/>
      <c r="M379" s="145"/>
      <c r="N379" s="145"/>
      <c r="O379" s="145"/>
      <c r="P379" s="145"/>
      <c r="Q379" s="145"/>
      <c r="R379" s="145"/>
      <c r="S379" s="145"/>
      <c r="T379" s="145"/>
      <c r="U379" s="145"/>
      <c r="V379" s="31"/>
      <c r="W379" s="146"/>
      <c r="X379" s="146"/>
      <c r="Z379" s="31"/>
      <c r="AA379" s="31"/>
      <c r="AB379" s="387"/>
      <c r="AC379" s="387"/>
      <c r="AD379" s="637"/>
    </row>
    <row r="381" spans="1:30">
      <c r="A381" s="31"/>
      <c r="B381" s="30"/>
      <c r="C381" s="31"/>
      <c r="D381" s="143"/>
      <c r="E381" s="31"/>
      <c r="F381" s="144"/>
      <c r="G381" s="144"/>
      <c r="H381" s="144"/>
      <c r="I381" s="145"/>
      <c r="J381" s="145"/>
      <c r="K381" s="145"/>
      <c r="L381" s="145"/>
      <c r="M381" s="145"/>
      <c r="N381" s="145"/>
      <c r="O381" s="145"/>
      <c r="P381" s="145"/>
      <c r="Q381" s="145"/>
      <c r="R381" s="145"/>
      <c r="S381" s="145"/>
      <c r="T381" s="145"/>
      <c r="U381" s="145"/>
      <c r="V381" s="31"/>
      <c r="W381" s="146"/>
      <c r="X381" s="146"/>
      <c r="Z381" s="31"/>
      <c r="AA381" s="31"/>
      <c r="AB381" s="387"/>
      <c r="AC381" s="387"/>
      <c r="AD381" s="637"/>
    </row>
    <row r="383" spans="1:30">
      <c r="A383" s="31"/>
      <c r="B383" s="30"/>
      <c r="C383" s="31"/>
      <c r="D383" s="143"/>
      <c r="E383" s="31"/>
      <c r="F383" s="144"/>
      <c r="G383" s="144"/>
      <c r="H383" s="144"/>
      <c r="I383" s="145"/>
      <c r="J383" s="145"/>
      <c r="K383" s="145"/>
      <c r="L383" s="145"/>
      <c r="M383" s="145"/>
      <c r="N383" s="145"/>
      <c r="O383" s="145"/>
      <c r="P383" s="145"/>
      <c r="Q383" s="145"/>
      <c r="R383" s="145"/>
      <c r="S383" s="145"/>
      <c r="T383" s="145"/>
      <c r="U383" s="145"/>
      <c r="V383" s="31"/>
      <c r="W383" s="146"/>
      <c r="X383" s="146"/>
      <c r="Z383" s="31"/>
      <c r="AA383" s="31"/>
      <c r="AB383" s="387"/>
      <c r="AC383" s="387"/>
      <c r="AD383" s="637"/>
    </row>
    <row r="385" spans="1:30">
      <c r="A385" s="31"/>
      <c r="B385" s="30"/>
      <c r="C385" s="31"/>
      <c r="D385" s="143"/>
      <c r="E385" s="31"/>
      <c r="F385" s="144"/>
      <c r="G385" s="144"/>
      <c r="H385" s="144"/>
      <c r="I385" s="145"/>
      <c r="J385" s="145"/>
      <c r="K385" s="145"/>
      <c r="L385" s="145"/>
      <c r="M385" s="145"/>
      <c r="N385" s="145"/>
      <c r="O385" s="145"/>
      <c r="P385" s="145"/>
      <c r="Q385" s="145"/>
      <c r="R385" s="145"/>
      <c r="S385" s="145"/>
      <c r="T385" s="145"/>
      <c r="U385" s="145"/>
      <c r="V385" s="31"/>
      <c r="W385" s="146"/>
      <c r="X385" s="146"/>
      <c r="Z385" s="31"/>
      <c r="AA385" s="31"/>
      <c r="AB385" s="387"/>
      <c r="AC385" s="387"/>
      <c r="AD385" s="637"/>
    </row>
    <row r="387" spans="1:30">
      <c r="A387" s="31"/>
      <c r="B387" s="30"/>
      <c r="C387" s="31"/>
      <c r="D387" s="143"/>
      <c r="E387" s="31"/>
      <c r="F387" s="144"/>
      <c r="G387" s="144"/>
      <c r="H387" s="144"/>
      <c r="I387" s="145"/>
      <c r="J387" s="145"/>
      <c r="K387" s="145"/>
      <c r="L387" s="145"/>
      <c r="M387" s="145"/>
      <c r="N387" s="145"/>
      <c r="O387" s="145"/>
      <c r="P387" s="145"/>
      <c r="Q387" s="145"/>
      <c r="R387" s="145"/>
      <c r="S387" s="145"/>
      <c r="T387" s="145"/>
      <c r="U387" s="145"/>
      <c r="V387" s="31"/>
      <c r="W387" s="146"/>
      <c r="X387" s="146"/>
      <c r="Z387" s="31"/>
      <c r="AA387" s="31"/>
      <c r="AB387" s="387"/>
      <c r="AC387" s="387"/>
      <c r="AD387" s="637"/>
    </row>
    <row r="389" spans="1:30">
      <c r="A389" s="31"/>
      <c r="B389" s="30"/>
      <c r="C389" s="31"/>
      <c r="D389" s="143"/>
      <c r="E389" s="31"/>
      <c r="F389" s="144"/>
      <c r="G389" s="144"/>
      <c r="H389" s="144"/>
      <c r="I389" s="145"/>
      <c r="J389" s="145"/>
      <c r="K389" s="145"/>
      <c r="L389" s="145"/>
      <c r="M389" s="145"/>
      <c r="N389" s="145"/>
      <c r="O389" s="145"/>
      <c r="P389" s="145"/>
      <c r="Q389" s="145"/>
      <c r="R389" s="145"/>
      <c r="S389" s="145"/>
      <c r="T389" s="145"/>
      <c r="U389" s="145"/>
      <c r="V389" s="31"/>
      <c r="W389" s="146"/>
      <c r="X389" s="146"/>
      <c r="Z389" s="31"/>
      <c r="AA389" s="31"/>
      <c r="AB389" s="387"/>
      <c r="AC389" s="387"/>
      <c r="AD389" s="637"/>
    </row>
    <row r="391" spans="1:30">
      <c r="A391" s="31"/>
      <c r="B391" s="30"/>
      <c r="C391" s="31"/>
      <c r="D391" s="143"/>
      <c r="E391" s="31"/>
      <c r="F391" s="144"/>
      <c r="G391" s="144"/>
      <c r="H391" s="144"/>
      <c r="I391" s="145"/>
      <c r="J391" s="145"/>
      <c r="K391" s="145"/>
      <c r="L391" s="145"/>
      <c r="M391" s="145"/>
      <c r="N391" s="145"/>
      <c r="O391" s="145"/>
      <c r="P391" s="145"/>
      <c r="Q391" s="145"/>
      <c r="R391" s="145"/>
      <c r="S391" s="145"/>
      <c r="T391" s="145"/>
      <c r="U391" s="145"/>
      <c r="V391" s="31"/>
      <c r="W391" s="146"/>
      <c r="X391" s="146"/>
      <c r="Z391" s="31"/>
      <c r="AA391" s="31"/>
      <c r="AB391" s="387"/>
      <c r="AC391" s="387"/>
      <c r="AD391" s="637"/>
    </row>
    <row r="393" spans="1:30">
      <c r="A393" s="31"/>
      <c r="B393" s="30"/>
      <c r="C393" s="31"/>
      <c r="D393" s="143"/>
      <c r="E393" s="31"/>
      <c r="F393" s="144"/>
      <c r="G393" s="144"/>
      <c r="H393" s="144"/>
      <c r="I393" s="145"/>
      <c r="J393" s="145"/>
      <c r="K393" s="145"/>
      <c r="L393" s="145"/>
      <c r="M393" s="145"/>
      <c r="N393" s="145"/>
      <c r="O393" s="145"/>
      <c r="P393" s="145"/>
      <c r="Q393" s="145"/>
      <c r="R393" s="145"/>
      <c r="S393" s="145"/>
      <c r="T393" s="145"/>
      <c r="U393" s="145"/>
      <c r="V393" s="31"/>
      <c r="W393" s="146"/>
      <c r="X393" s="146"/>
      <c r="Z393" s="31"/>
      <c r="AA393" s="31"/>
      <c r="AB393" s="387"/>
      <c r="AC393" s="387"/>
      <c r="AD393" s="637"/>
    </row>
    <row r="395" spans="1:30">
      <c r="A395" s="31"/>
      <c r="B395" s="30"/>
      <c r="C395" s="31"/>
      <c r="D395" s="143"/>
      <c r="E395" s="31"/>
      <c r="F395" s="144"/>
      <c r="G395" s="144"/>
      <c r="H395" s="144"/>
      <c r="I395" s="145"/>
      <c r="J395" s="145"/>
      <c r="K395" s="145"/>
      <c r="L395" s="145"/>
      <c r="M395" s="145"/>
      <c r="N395" s="145"/>
      <c r="O395" s="145"/>
      <c r="P395" s="145"/>
      <c r="Q395" s="145"/>
      <c r="R395" s="145"/>
      <c r="S395" s="145"/>
      <c r="T395" s="145"/>
      <c r="U395" s="145"/>
      <c r="V395" s="31"/>
      <c r="W395" s="146"/>
      <c r="X395" s="146"/>
      <c r="Z395" s="31"/>
      <c r="AA395" s="31"/>
      <c r="AB395" s="387"/>
      <c r="AC395" s="387"/>
      <c r="AD395" s="637"/>
    </row>
    <row r="397" spans="1:30">
      <c r="A397" s="31"/>
      <c r="B397" s="30"/>
      <c r="C397" s="31"/>
      <c r="D397" s="143"/>
      <c r="E397" s="31"/>
      <c r="F397" s="144"/>
      <c r="G397" s="144"/>
      <c r="H397" s="144"/>
      <c r="I397" s="145"/>
      <c r="J397" s="145"/>
      <c r="K397" s="145"/>
      <c r="L397" s="145"/>
      <c r="M397" s="145"/>
      <c r="N397" s="145"/>
      <c r="O397" s="145"/>
      <c r="P397" s="145"/>
      <c r="Q397" s="145"/>
      <c r="R397" s="145"/>
      <c r="S397" s="145"/>
      <c r="T397" s="145"/>
      <c r="U397" s="145"/>
      <c r="V397" s="31"/>
      <c r="W397" s="146"/>
      <c r="X397" s="146"/>
      <c r="Z397" s="31"/>
      <c r="AA397" s="31"/>
      <c r="AB397" s="387"/>
      <c r="AC397" s="387"/>
      <c r="AD397" s="637"/>
    </row>
    <row r="399" spans="1:30">
      <c r="A399" s="31"/>
      <c r="B399" s="30"/>
      <c r="C399" s="31"/>
      <c r="D399" s="143"/>
      <c r="E399" s="31"/>
      <c r="F399" s="144"/>
      <c r="G399" s="144"/>
      <c r="H399" s="144"/>
      <c r="I399" s="145"/>
      <c r="J399" s="145"/>
      <c r="K399" s="145"/>
      <c r="L399" s="145"/>
      <c r="M399" s="145"/>
      <c r="N399" s="145"/>
      <c r="O399" s="145"/>
      <c r="P399" s="145"/>
      <c r="Q399" s="145"/>
      <c r="R399" s="145"/>
      <c r="S399" s="145"/>
      <c r="T399" s="145"/>
      <c r="U399" s="145"/>
      <c r="V399" s="31"/>
      <c r="W399" s="146"/>
      <c r="X399" s="146"/>
      <c r="Z399" s="31"/>
      <c r="AA399" s="31"/>
      <c r="AB399" s="387"/>
      <c r="AC399" s="387"/>
      <c r="AD399" s="637"/>
    </row>
    <row r="401" spans="1:30">
      <c r="A401" s="31"/>
      <c r="B401" s="30"/>
      <c r="C401" s="31"/>
      <c r="D401" s="143"/>
      <c r="E401" s="31"/>
      <c r="F401" s="144"/>
      <c r="G401" s="144"/>
      <c r="H401" s="144"/>
      <c r="I401" s="145"/>
      <c r="J401" s="145"/>
      <c r="K401" s="145"/>
      <c r="L401" s="145"/>
      <c r="M401" s="145"/>
      <c r="N401" s="145"/>
      <c r="O401" s="145"/>
      <c r="P401" s="145"/>
      <c r="Q401" s="145"/>
      <c r="R401" s="145"/>
      <c r="S401" s="145"/>
      <c r="T401" s="145"/>
      <c r="U401" s="145"/>
      <c r="V401" s="31"/>
      <c r="W401" s="146"/>
      <c r="X401" s="146"/>
      <c r="Z401" s="31"/>
      <c r="AA401" s="31"/>
      <c r="AB401" s="387"/>
      <c r="AC401" s="387"/>
      <c r="AD401" s="637"/>
    </row>
    <row r="403" spans="1:30">
      <c r="A403" s="31"/>
      <c r="B403" s="30"/>
      <c r="C403" s="31"/>
      <c r="D403" s="143"/>
      <c r="E403" s="31"/>
      <c r="F403" s="144"/>
      <c r="G403" s="144"/>
      <c r="H403" s="144"/>
      <c r="I403" s="145"/>
      <c r="J403" s="145"/>
      <c r="K403" s="145"/>
      <c r="L403" s="145"/>
      <c r="M403" s="145"/>
      <c r="N403" s="145"/>
      <c r="O403" s="145"/>
      <c r="P403" s="145"/>
      <c r="Q403" s="145"/>
      <c r="R403" s="145"/>
      <c r="S403" s="145"/>
      <c r="T403" s="145"/>
      <c r="U403" s="145"/>
      <c r="V403" s="31"/>
      <c r="W403" s="146"/>
      <c r="X403" s="146"/>
      <c r="Z403" s="31"/>
      <c r="AA403" s="31"/>
      <c r="AB403" s="387"/>
      <c r="AC403" s="387"/>
      <c r="AD403" s="637"/>
    </row>
    <row r="405" spans="1:30">
      <c r="A405" s="31"/>
      <c r="B405" s="30"/>
      <c r="C405" s="31"/>
      <c r="D405" s="143"/>
      <c r="E405" s="31"/>
      <c r="F405" s="144"/>
      <c r="G405" s="144"/>
      <c r="H405" s="144"/>
      <c r="I405" s="145"/>
      <c r="J405" s="145"/>
      <c r="K405" s="145"/>
      <c r="L405" s="145"/>
      <c r="M405" s="145"/>
      <c r="N405" s="145"/>
      <c r="O405" s="145"/>
      <c r="P405" s="145"/>
      <c r="Q405" s="145"/>
      <c r="R405" s="145"/>
      <c r="S405" s="145"/>
      <c r="T405" s="145"/>
      <c r="U405" s="145"/>
      <c r="V405" s="31"/>
      <c r="W405" s="146"/>
      <c r="X405" s="146"/>
      <c r="Z405" s="31"/>
      <c r="AA405" s="31"/>
      <c r="AB405" s="387"/>
      <c r="AC405" s="387"/>
      <c r="AD405" s="637"/>
    </row>
    <row r="407" spans="1:30">
      <c r="A407" s="31"/>
      <c r="B407" s="30"/>
      <c r="C407" s="31"/>
      <c r="D407" s="143"/>
      <c r="E407" s="31"/>
      <c r="F407" s="144"/>
      <c r="G407" s="144"/>
      <c r="H407" s="144"/>
      <c r="I407" s="145"/>
      <c r="J407" s="145"/>
      <c r="K407" s="145"/>
      <c r="L407" s="145"/>
      <c r="M407" s="145"/>
      <c r="N407" s="145"/>
      <c r="O407" s="145"/>
      <c r="P407" s="145"/>
      <c r="Q407" s="145"/>
      <c r="R407" s="145"/>
      <c r="S407" s="145"/>
      <c r="T407" s="145"/>
      <c r="U407" s="145"/>
      <c r="V407" s="31"/>
      <c r="W407" s="146"/>
      <c r="X407" s="146"/>
      <c r="Z407" s="31"/>
      <c r="AA407" s="31"/>
      <c r="AB407" s="387"/>
      <c r="AC407" s="387"/>
      <c r="AD407" s="637"/>
    </row>
    <row r="409" spans="1:30">
      <c r="A409" s="31"/>
      <c r="B409" s="30"/>
      <c r="C409" s="31"/>
      <c r="D409" s="143"/>
      <c r="E409" s="31"/>
      <c r="F409" s="144"/>
      <c r="G409" s="144"/>
      <c r="H409" s="144"/>
      <c r="I409" s="145"/>
      <c r="J409" s="145"/>
      <c r="K409" s="145"/>
      <c r="L409" s="145"/>
      <c r="M409" s="145"/>
      <c r="N409" s="145"/>
      <c r="O409" s="145"/>
      <c r="P409" s="145"/>
      <c r="Q409" s="145"/>
      <c r="R409" s="145"/>
      <c r="S409" s="145"/>
      <c r="T409" s="145"/>
      <c r="U409" s="145"/>
      <c r="V409" s="31"/>
      <c r="W409" s="146"/>
      <c r="X409" s="146"/>
      <c r="Z409" s="31"/>
      <c r="AA409" s="31"/>
      <c r="AB409" s="387"/>
      <c r="AC409" s="387"/>
      <c r="AD409" s="637"/>
    </row>
    <row r="411" spans="1:30">
      <c r="A411" s="31"/>
      <c r="B411" s="30"/>
      <c r="C411" s="31"/>
      <c r="D411" s="143"/>
      <c r="E411" s="31"/>
      <c r="F411" s="144"/>
      <c r="G411" s="144"/>
      <c r="H411" s="144"/>
      <c r="I411" s="145"/>
      <c r="J411" s="145"/>
      <c r="K411" s="145"/>
      <c r="L411" s="145"/>
      <c r="M411" s="145"/>
      <c r="N411" s="145"/>
      <c r="O411" s="145"/>
      <c r="P411" s="145"/>
      <c r="Q411" s="145"/>
      <c r="R411" s="145"/>
      <c r="S411" s="145"/>
      <c r="T411" s="145"/>
      <c r="U411" s="145"/>
      <c r="V411" s="31"/>
      <c r="W411" s="146"/>
      <c r="X411" s="146"/>
      <c r="Z411" s="31"/>
      <c r="AA411" s="31"/>
      <c r="AB411" s="387"/>
      <c r="AC411" s="387"/>
      <c r="AD411" s="637"/>
    </row>
    <row r="413" spans="1:30">
      <c r="A413" s="31"/>
      <c r="B413" s="30"/>
      <c r="C413" s="31"/>
      <c r="D413" s="143"/>
      <c r="E413" s="31"/>
      <c r="F413" s="144"/>
      <c r="G413" s="144"/>
      <c r="H413" s="144"/>
      <c r="I413" s="145"/>
      <c r="J413" s="145"/>
      <c r="K413" s="145"/>
      <c r="L413" s="145"/>
      <c r="M413" s="145"/>
      <c r="N413" s="145"/>
      <c r="O413" s="145"/>
      <c r="P413" s="145"/>
      <c r="Q413" s="145"/>
      <c r="R413" s="145"/>
      <c r="S413" s="145"/>
      <c r="T413" s="145"/>
      <c r="U413" s="145"/>
      <c r="V413" s="31"/>
      <c r="W413" s="146"/>
      <c r="X413" s="146"/>
      <c r="Z413" s="31"/>
      <c r="AA413" s="31"/>
      <c r="AB413" s="387"/>
      <c r="AC413" s="387"/>
      <c r="AD413" s="637"/>
    </row>
    <row r="415" spans="1:30">
      <c r="A415" s="31"/>
      <c r="B415" s="30"/>
      <c r="C415" s="31"/>
      <c r="D415" s="143"/>
      <c r="E415" s="31"/>
      <c r="F415" s="144"/>
      <c r="G415" s="144"/>
      <c r="H415" s="144"/>
      <c r="I415" s="145"/>
      <c r="J415" s="145"/>
      <c r="K415" s="145"/>
      <c r="L415" s="145"/>
      <c r="M415" s="145"/>
      <c r="N415" s="145"/>
      <c r="O415" s="145"/>
      <c r="P415" s="145"/>
      <c r="Q415" s="145"/>
      <c r="R415" s="145"/>
      <c r="S415" s="145"/>
      <c r="T415" s="145"/>
      <c r="U415" s="145"/>
      <c r="V415" s="31"/>
      <c r="W415" s="146"/>
      <c r="X415" s="146"/>
      <c r="Z415" s="31"/>
      <c r="AA415" s="31"/>
      <c r="AB415" s="387"/>
      <c r="AC415" s="387"/>
      <c r="AD415" s="637"/>
    </row>
    <row r="417" spans="1:30">
      <c r="A417" s="31"/>
      <c r="B417" s="30"/>
      <c r="C417" s="31"/>
      <c r="D417" s="143"/>
      <c r="E417" s="31"/>
      <c r="F417" s="144"/>
      <c r="G417" s="144"/>
      <c r="H417" s="144"/>
      <c r="I417" s="145"/>
      <c r="J417" s="145"/>
      <c r="K417" s="145"/>
      <c r="L417" s="145"/>
      <c r="M417" s="145"/>
      <c r="N417" s="145"/>
      <c r="O417" s="145"/>
      <c r="P417" s="145"/>
      <c r="Q417" s="145"/>
      <c r="R417" s="145"/>
      <c r="S417" s="145"/>
      <c r="T417" s="145"/>
      <c r="U417" s="145"/>
      <c r="V417" s="31"/>
      <c r="W417" s="146"/>
      <c r="X417" s="146"/>
      <c r="Z417" s="31"/>
      <c r="AA417" s="31"/>
      <c r="AB417" s="387"/>
      <c r="AC417" s="387"/>
      <c r="AD417" s="637"/>
    </row>
    <row r="419" spans="1:30">
      <c r="A419" s="31"/>
      <c r="B419" s="30"/>
      <c r="C419" s="31"/>
      <c r="D419" s="143"/>
      <c r="E419" s="31"/>
      <c r="F419" s="144"/>
      <c r="G419" s="144"/>
      <c r="H419" s="144"/>
      <c r="I419" s="145"/>
      <c r="J419" s="145"/>
      <c r="K419" s="145"/>
      <c r="L419" s="145"/>
      <c r="M419" s="145"/>
      <c r="N419" s="145"/>
      <c r="O419" s="145"/>
      <c r="P419" s="145"/>
      <c r="Q419" s="145"/>
      <c r="R419" s="145"/>
      <c r="S419" s="145"/>
      <c r="T419" s="145"/>
      <c r="U419" s="145"/>
      <c r="V419" s="31"/>
      <c r="W419" s="146"/>
      <c r="X419" s="146"/>
      <c r="Z419" s="31"/>
      <c r="AA419" s="31"/>
      <c r="AB419" s="387"/>
      <c r="AC419" s="387"/>
      <c r="AD419" s="637"/>
    </row>
    <row r="421" spans="1:30">
      <c r="A421" s="31"/>
      <c r="B421" s="30"/>
      <c r="C421" s="31"/>
      <c r="D421" s="143"/>
      <c r="E421" s="31"/>
      <c r="F421" s="144"/>
      <c r="G421" s="144"/>
      <c r="H421" s="144"/>
      <c r="I421" s="145"/>
      <c r="J421" s="145"/>
      <c r="K421" s="145"/>
      <c r="L421" s="145"/>
      <c r="M421" s="145"/>
      <c r="N421" s="145"/>
      <c r="O421" s="145"/>
      <c r="P421" s="145"/>
      <c r="Q421" s="145"/>
      <c r="R421" s="145"/>
      <c r="S421" s="145"/>
      <c r="T421" s="145"/>
      <c r="U421" s="145"/>
      <c r="V421" s="31"/>
      <c r="W421" s="146"/>
      <c r="X421" s="146"/>
      <c r="Z421" s="31"/>
      <c r="AA421" s="31"/>
      <c r="AB421" s="387"/>
      <c r="AC421" s="387"/>
      <c r="AD421" s="637"/>
    </row>
    <row r="423" spans="1:30">
      <c r="A423" s="31"/>
      <c r="B423" s="30"/>
      <c r="C423" s="31"/>
      <c r="D423" s="143"/>
      <c r="E423" s="31"/>
      <c r="F423" s="144"/>
      <c r="G423" s="144"/>
      <c r="H423" s="144"/>
      <c r="I423" s="145"/>
      <c r="J423" s="145"/>
      <c r="K423" s="145"/>
      <c r="L423" s="145"/>
      <c r="M423" s="145"/>
      <c r="N423" s="145"/>
      <c r="O423" s="145"/>
      <c r="P423" s="145"/>
      <c r="Q423" s="145"/>
      <c r="R423" s="145"/>
      <c r="S423" s="145"/>
      <c r="T423" s="145"/>
      <c r="U423" s="145"/>
      <c r="V423" s="31"/>
      <c r="W423" s="146"/>
      <c r="X423" s="146"/>
      <c r="Z423" s="31"/>
      <c r="AA423" s="31"/>
      <c r="AB423" s="387"/>
      <c r="AC423" s="387"/>
      <c r="AD423" s="637"/>
    </row>
    <row r="425" spans="1:30">
      <c r="A425" s="31"/>
      <c r="B425" s="30"/>
      <c r="C425" s="31"/>
      <c r="D425" s="143"/>
      <c r="E425" s="31"/>
      <c r="F425" s="144"/>
      <c r="G425" s="144"/>
      <c r="H425" s="144"/>
      <c r="I425" s="145"/>
      <c r="J425" s="145"/>
      <c r="K425" s="145"/>
      <c r="L425" s="145"/>
      <c r="M425" s="145"/>
      <c r="N425" s="145"/>
      <c r="O425" s="145"/>
      <c r="P425" s="145"/>
      <c r="Q425" s="145"/>
      <c r="R425" s="145"/>
      <c r="S425" s="145"/>
      <c r="T425" s="145"/>
      <c r="U425" s="145"/>
      <c r="V425" s="31"/>
      <c r="W425" s="146"/>
      <c r="X425" s="146"/>
      <c r="Z425" s="31"/>
      <c r="AA425" s="31"/>
      <c r="AB425" s="387"/>
      <c r="AC425" s="387"/>
      <c r="AD425" s="637"/>
    </row>
    <row r="427" spans="1:30">
      <c r="A427" s="31"/>
      <c r="B427" s="30"/>
      <c r="C427" s="31"/>
      <c r="D427" s="143"/>
      <c r="E427" s="31"/>
      <c r="F427" s="144"/>
      <c r="G427" s="144"/>
      <c r="H427" s="144"/>
      <c r="I427" s="145"/>
      <c r="J427" s="145"/>
      <c r="K427" s="145"/>
      <c r="L427" s="145"/>
      <c r="M427" s="145"/>
      <c r="N427" s="145"/>
      <c r="O427" s="145"/>
      <c r="P427" s="145"/>
      <c r="Q427" s="145"/>
      <c r="R427" s="145"/>
      <c r="S427" s="145"/>
      <c r="T427" s="145"/>
      <c r="U427" s="145"/>
      <c r="V427" s="31"/>
      <c r="W427" s="146"/>
      <c r="X427" s="146"/>
      <c r="Z427" s="31"/>
      <c r="AA427" s="31"/>
      <c r="AB427" s="387"/>
      <c r="AC427" s="387"/>
      <c r="AD427" s="637"/>
    </row>
    <row r="429" spans="1:30">
      <c r="A429" s="31"/>
      <c r="B429" s="30"/>
      <c r="C429" s="31"/>
      <c r="D429" s="143"/>
      <c r="E429" s="31"/>
      <c r="F429" s="144"/>
      <c r="G429" s="144"/>
      <c r="H429" s="144"/>
      <c r="I429" s="145"/>
      <c r="J429" s="145"/>
      <c r="K429" s="145"/>
      <c r="L429" s="145"/>
      <c r="M429" s="145"/>
      <c r="N429" s="145"/>
      <c r="O429" s="145"/>
      <c r="P429" s="145"/>
      <c r="Q429" s="145"/>
      <c r="R429" s="145"/>
      <c r="S429" s="145"/>
      <c r="T429" s="145"/>
      <c r="U429" s="145"/>
      <c r="V429" s="31"/>
      <c r="W429" s="146"/>
      <c r="X429" s="146"/>
      <c r="Z429" s="31"/>
      <c r="AA429" s="31"/>
      <c r="AB429" s="387"/>
      <c r="AC429" s="387"/>
      <c r="AD429" s="637"/>
    </row>
    <row r="431" spans="1:30">
      <c r="A431" s="31"/>
      <c r="B431" s="30"/>
      <c r="C431" s="31"/>
      <c r="D431" s="143"/>
      <c r="E431" s="31"/>
      <c r="F431" s="144"/>
      <c r="G431" s="144"/>
      <c r="H431" s="144"/>
      <c r="I431" s="145"/>
      <c r="J431" s="145"/>
      <c r="K431" s="145"/>
      <c r="L431" s="145"/>
      <c r="M431" s="145"/>
      <c r="N431" s="145"/>
      <c r="O431" s="145"/>
      <c r="P431" s="145"/>
      <c r="Q431" s="145"/>
      <c r="R431" s="145"/>
      <c r="S431" s="145"/>
      <c r="T431" s="145"/>
      <c r="U431" s="145"/>
      <c r="V431" s="31"/>
      <c r="W431" s="146"/>
      <c r="X431" s="146"/>
      <c r="Z431" s="31"/>
      <c r="AA431" s="31"/>
      <c r="AB431" s="387"/>
      <c r="AC431" s="387"/>
      <c r="AD431" s="637"/>
    </row>
    <row r="433" spans="1:30">
      <c r="A433" s="31"/>
      <c r="B433" s="30"/>
      <c r="C433" s="31"/>
      <c r="D433" s="143"/>
      <c r="E433" s="31"/>
      <c r="F433" s="144"/>
      <c r="G433" s="144"/>
      <c r="H433" s="144"/>
      <c r="I433" s="145"/>
      <c r="J433" s="145"/>
      <c r="K433" s="145"/>
      <c r="L433" s="145"/>
      <c r="M433" s="145"/>
      <c r="N433" s="145"/>
      <c r="O433" s="145"/>
      <c r="P433" s="145"/>
      <c r="Q433" s="145"/>
      <c r="R433" s="145"/>
      <c r="S433" s="145"/>
      <c r="T433" s="145"/>
      <c r="U433" s="145"/>
      <c r="V433" s="31"/>
      <c r="W433" s="146"/>
      <c r="X433" s="146"/>
      <c r="Z433" s="31"/>
      <c r="AA433" s="31"/>
      <c r="AB433" s="387"/>
      <c r="AC433" s="387"/>
      <c r="AD433" s="637"/>
    </row>
    <row r="435" spans="1:30">
      <c r="A435" s="31"/>
      <c r="B435" s="30"/>
      <c r="C435" s="31"/>
      <c r="D435" s="143"/>
      <c r="E435" s="31"/>
      <c r="F435" s="144"/>
      <c r="G435" s="144"/>
      <c r="H435" s="144"/>
      <c r="I435" s="145"/>
      <c r="J435" s="145"/>
      <c r="K435" s="145"/>
      <c r="L435" s="145"/>
      <c r="M435" s="145"/>
      <c r="N435" s="145"/>
      <c r="O435" s="145"/>
      <c r="P435" s="145"/>
      <c r="Q435" s="145"/>
      <c r="R435" s="145"/>
      <c r="S435" s="145"/>
      <c r="T435" s="145"/>
      <c r="U435" s="145"/>
      <c r="V435" s="31"/>
      <c r="W435" s="146"/>
      <c r="X435" s="146"/>
      <c r="Z435" s="31"/>
      <c r="AA435" s="31"/>
      <c r="AB435" s="387"/>
      <c r="AC435" s="387"/>
      <c r="AD435" s="637"/>
    </row>
    <row r="437" spans="1:30">
      <c r="A437" s="31"/>
      <c r="B437" s="30"/>
      <c r="C437" s="31"/>
      <c r="D437" s="143"/>
      <c r="E437" s="31"/>
      <c r="F437" s="144"/>
      <c r="G437" s="144"/>
      <c r="H437" s="144"/>
      <c r="I437" s="145"/>
      <c r="J437" s="145"/>
      <c r="K437" s="145"/>
      <c r="L437" s="145"/>
      <c r="M437" s="145"/>
      <c r="N437" s="145"/>
      <c r="O437" s="145"/>
      <c r="P437" s="145"/>
      <c r="Q437" s="145"/>
      <c r="R437" s="145"/>
      <c r="S437" s="145"/>
      <c r="T437" s="145"/>
      <c r="U437" s="145"/>
      <c r="V437" s="31"/>
      <c r="W437" s="146"/>
      <c r="X437" s="146"/>
      <c r="Z437" s="31"/>
      <c r="AA437" s="31"/>
      <c r="AB437" s="387"/>
      <c r="AC437" s="387"/>
      <c r="AD437" s="637"/>
    </row>
    <row r="439" spans="1:30">
      <c r="A439" s="31"/>
      <c r="B439" s="30"/>
      <c r="C439" s="31"/>
      <c r="D439" s="143"/>
      <c r="E439" s="31"/>
      <c r="F439" s="144"/>
      <c r="G439" s="144"/>
      <c r="H439" s="144"/>
      <c r="I439" s="145"/>
      <c r="J439" s="145"/>
      <c r="K439" s="145"/>
      <c r="L439" s="145"/>
      <c r="M439" s="145"/>
      <c r="N439" s="145"/>
      <c r="O439" s="145"/>
      <c r="P439" s="145"/>
      <c r="Q439" s="145"/>
      <c r="R439" s="145"/>
      <c r="S439" s="145"/>
      <c r="T439" s="145"/>
      <c r="U439" s="145"/>
      <c r="V439" s="31"/>
      <c r="W439" s="146"/>
      <c r="X439" s="146"/>
      <c r="Z439" s="31"/>
      <c r="AA439" s="31"/>
      <c r="AB439" s="387"/>
      <c r="AC439" s="387"/>
      <c r="AD439" s="637"/>
    </row>
    <row r="441" spans="1:30">
      <c r="A441" s="31"/>
      <c r="B441" s="30"/>
      <c r="C441" s="31"/>
      <c r="D441" s="143"/>
      <c r="E441" s="31"/>
      <c r="F441" s="144"/>
      <c r="G441" s="144"/>
      <c r="H441" s="144"/>
      <c r="I441" s="145"/>
      <c r="J441" s="145"/>
      <c r="K441" s="145"/>
      <c r="L441" s="145"/>
      <c r="M441" s="145"/>
      <c r="N441" s="145"/>
      <c r="O441" s="145"/>
      <c r="P441" s="145"/>
      <c r="Q441" s="145"/>
      <c r="R441" s="145"/>
      <c r="S441" s="145"/>
      <c r="T441" s="145"/>
      <c r="U441" s="145"/>
      <c r="V441" s="31"/>
      <c r="W441" s="146"/>
      <c r="X441" s="146"/>
      <c r="Z441" s="31"/>
      <c r="AA441" s="31"/>
      <c r="AB441" s="387"/>
      <c r="AC441" s="387"/>
      <c r="AD441" s="637"/>
    </row>
    <row r="443" spans="1:30">
      <c r="A443" s="31"/>
      <c r="B443" s="30"/>
      <c r="C443" s="31"/>
      <c r="D443" s="143"/>
      <c r="E443" s="31"/>
      <c r="F443" s="144"/>
      <c r="G443" s="144"/>
      <c r="H443" s="144"/>
      <c r="I443" s="145"/>
      <c r="J443" s="145"/>
      <c r="K443" s="145"/>
      <c r="L443" s="145"/>
      <c r="M443" s="145"/>
      <c r="N443" s="145"/>
      <c r="O443" s="145"/>
      <c r="P443" s="145"/>
      <c r="Q443" s="145"/>
      <c r="R443" s="145"/>
      <c r="S443" s="145"/>
      <c r="T443" s="145"/>
      <c r="U443" s="145"/>
      <c r="V443" s="31"/>
      <c r="W443" s="146"/>
      <c r="X443" s="146"/>
      <c r="Z443" s="31"/>
      <c r="AA443" s="31"/>
      <c r="AB443" s="387"/>
      <c r="AC443" s="387"/>
      <c r="AD443" s="637"/>
    </row>
    <row r="445" spans="1:30">
      <c r="A445" s="31"/>
      <c r="B445" s="30"/>
      <c r="C445" s="31"/>
      <c r="D445" s="143"/>
      <c r="E445" s="31"/>
      <c r="F445" s="144"/>
      <c r="G445" s="144"/>
      <c r="H445" s="144"/>
      <c r="I445" s="145"/>
      <c r="J445" s="145"/>
      <c r="K445" s="145"/>
      <c r="L445" s="145"/>
      <c r="M445" s="145"/>
      <c r="N445" s="145"/>
      <c r="O445" s="145"/>
      <c r="P445" s="145"/>
      <c r="Q445" s="145"/>
      <c r="R445" s="145"/>
      <c r="S445" s="145"/>
      <c r="T445" s="145"/>
      <c r="U445" s="145"/>
      <c r="V445" s="31"/>
      <c r="W445" s="146"/>
      <c r="X445" s="146"/>
      <c r="Z445" s="31"/>
      <c r="AA445" s="31"/>
      <c r="AB445" s="387"/>
      <c r="AC445" s="387"/>
      <c r="AD445" s="637"/>
    </row>
    <row r="447" spans="1:30">
      <c r="A447" s="31"/>
      <c r="B447" s="30"/>
      <c r="C447" s="31"/>
      <c r="D447" s="143"/>
      <c r="E447" s="31"/>
      <c r="F447" s="144"/>
      <c r="G447" s="144"/>
      <c r="H447" s="144"/>
      <c r="I447" s="145"/>
      <c r="J447" s="145"/>
      <c r="K447" s="145"/>
      <c r="L447" s="145"/>
      <c r="M447" s="145"/>
      <c r="N447" s="145"/>
      <c r="O447" s="145"/>
      <c r="P447" s="145"/>
      <c r="Q447" s="145"/>
      <c r="R447" s="145"/>
      <c r="S447" s="145"/>
      <c r="T447" s="145"/>
      <c r="U447" s="145"/>
      <c r="V447" s="31"/>
      <c r="W447" s="146"/>
      <c r="X447" s="146"/>
      <c r="Z447" s="31"/>
      <c r="AA447" s="31"/>
      <c r="AB447" s="387"/>
      <c r="AC447" s="387"/>
      <c r="AD447" s="637"/>
    </row>
    <row r="449" spans="1:30">
      <c r="A449" s="31"/>
      <c r="B449" s="30"/>
      <c r="C449" s="31"/>
      <c r="D449" s="143"/>
      <c r="E449" s="31"/>
      <c r="F449" s="144"/>
      <c r="G449" s="144"/>
      <c r="H449" s="144"/>
      <c r="I449" s="145"/>
      <c r="J449" s="145"/>
      <c r="K449" s="145"/>
      <c r="L449" s="145"/>
      <c r="M449" s="145"/>
      <c r="N449" s="145"/>
      <c r="O449" s="145"/>
      <c r="P449" s="145"/>
      <c r="Q449" s="145"/>
      <c r="R449" s="145"/>
      <c r="S449" s="145"/>
      <c r="T449" s="145"/>
      <c r="U449" s="145"/>
      <c r="V449" s="31"/>
      <c r="W449" s="146"/>
      <c r="X449" s="146"/>
      <c r="Z449" s="31"/>
      <c r="AA449" s="31"/>
      <c r="AB449" s="387"/>
      <c r="AC449" s="387"/>
      <c r="AD449" s="637"/>
    </row>
    <row r="451" spans="1:30">
      <c r="A451" s="31"/>
      <c r="B451" s="30"/>
      <c r="C451" s="31"/>
      <c r="D451" s="143"/>
      <c r="E451" s="31"/>
      <c r="F451" s="144"/>
      <c r="G451" s="144"/>
      <c r="H451" s="144"/>
      <c r="I451" s="145"/>
      <c r="J451" s="145"/>
      <c r="K451" s="145"/>
      <c r="L451" s="145"/>
      <c r="M451" s="145"/>
      <c r="N451" s="145"/>
      <c r="O451" s="145"/>
      <c r="P451" s="145"/>
      <c r="Q451" s="145"/>
      <c r="R451" s="145"/>
      <c r="S451" s="145"/>
      <c r="T451" s="145"/>
      <c r="U451" s="145"/>
      <c r="V451" s="31"/>
      <c r="W451" s="146"/>
      <c r="X451" s="146"/>
      <c r="Z451" s="31"/>
      <c r="AA451" s="31"/>
      <c r="AB451" s="387"/>
      <c r="AC451" s="387"/>
      <c r="AD451" s="637"/>
    </row>
    <row r="453" spans="1:30">
      <c r="A453" s="31"/>
      <c r="B453" s="30"/>
      <c r="C453" s="31"/>
      <c r="D453" s="143"/>
      <c r="E453" s="31"/>
      <c r="F453" s="144"/>
      <c r="G453" s="144"/>
      <c r="H453" s="144"/>
      <c r="I453" s="145"/>
      <c r="J453" s="145"/>
      <c r="K453" s="145"/>
      <c r="L453" s="145"/>
      <c r="M453" s="145"/>
      <c r="N453" s="145"/>
      <c r="O453" s="145"/>
      <c r="P453" s="145"/>
      <c r="Q453" s="145"/>
      <c r="R453" s="145"/>
      <c r="S453" s="145"/>
      <c r="T453" s="145"/>
      <c r="U453" s="145"/>
      <c r="V453" s="31"/>
      <c r="W453" s="146"/>
      <c r="X453" s="146"/>
      <c r="Z453" s="31"/>
      <c r="AA453" s="31"/>
      <c r="AB453" s="387"/>
      <c r="AC453" s="387"/>
      <c r="AD453" s="637"/>
    </row>
    <row r="455" spans="1:30">
      <c r="A455" s="31"/>
      <c r="B455" s="30"/>
      <c r="C455" s="31"/>
      <c r="D455" s="143"/>
      <c r="E455" s="31"/>
      <c r="F455" s="144"/>
      <c r="G455" s="144"/>
      <c r="H455" s="144"/>
      <c r="I455" s="145"/>
      <c r="J455" s="145"/>
      <c r="K455" s="145"/>
      <c r="L455" s="145"/>
      <c r="M455" s="145"/>
      <c r="N455" s="145"/>
      <c r="O455" s="145"/>
      <c r="P455" s="145"/>
      <c r="Q455" s="145"/>
      <c r="R455" s="145"/>
      <c r="S455" s="145"/>
      <c r="T455" s="145"/>
      <c r="U455" s="145"/>
      <c r="V455" s="31"/>
      <c r="W455" s="146"/>
      <c r="X455" s="146"/>
      <c r="Z455" s="31"/>
      <c r="AA455" s="31"/>
      <c r="AB455" s="387"/>
      <c r="AC455" s="387"/>
      <c r="AD455" s="637"/>
    </row>
    <row r="457" spans="1:30">
      <c r="A457" s="31"/>
      <c r="B457" s="30"/>
      <c r="C457" s="31"/>
      <c r="D457" s="143"/>
      <c r="E457" s="31"/>
      <c r="F457" s="144"/>
      <c r="G457" s="144"/>
      <c r="H457" s="144"/>
      <c r="I457" s="145"/>
      <c r="J457" s="145"/>
      <c r="K457" s="145"/>
      <c r="L457" s="145"/>
      <c r="M457" s="145"/>
      <c r="N457" s="145"/>
      <c r="O457" s="145"/>
      <c r="P457" s="145"/>
      <c r="Q457" s="145"/>
      <c r="R457" s="145"/>
      <c r="S457" s="145"/>
      <c r="T457" s="145"/>
      <c r="U457" s="145"/>
      <c r="V457" s="31"/>
      <c r="W457" s="146"/>
      <c r="X457" s="146"/>
      <c r="Z457" s="31"/>
      <c r="AA457" s="31"/>
      <c r="AB457" s="387"/>
      <c r="AC457" s="387"/>
      <c r="AD457" s="637"/>
    </row>
    <row r="459" spans="1:30">
      <c r="A459" s="31"/>
      <c r="B459" s="30"/>
      <c r="C459" s="31"/>
      <c r="D459" s="143"/>
      <c r="E459" s="31"/>
      <c r="F459" s="144"/>
      <c r="G459" s="144"/>
      <c r="H459" s="144"/>
      <c r="I459" s="145"/>
      <c r="J459" s="145"/>
      <c r="K459" s="145"/>
      <c r="L459" s="145"/>
      <c r="M459" s="145"/>
      <c r="N459" s="145"/>
      <c r="O459" s="145"/>
      <c r="P459" s="145"/>
      <c r="Q459" s="145"/>
      <c r="R459" s="145"/>
      <c r="S459" s="145"/>
      <c r="T459" s="145"/>
      <c r="U459" s="145"/>
      <c r="V459" s="31"/>
      <c r="W459" s="146"/>
      <c r="X459" s="146"/>
      <c r="Z459" s="31"/>
      <c r="AA459" s="31"/>
      <c r="AB459" s="387"/>
      <c r="AC459" s="387"/>
      <c r="AD459" s="637"/>
    </row>
    <row r="461" spans="1:30">
      <c r="A461" s="31"/>
      <c r="B461" s="30"/>
      <c r="C461" s="31"/>
      <c r="D461" s="143"/>
      <c r="E461" s="31"/>
      <c r="F461" s="144"/>
      <c r="G461" s="144"/>
      <c r="H461" s="144"/>
      <c r="I461" s="145"/>
      <c r="J461" s="145"/>
      <c r="K461" s="145"/>
      <c r="L461" s="145"/>
      <c r="M461" s="145"/>
      <c r="N461" s="145"/>
      <c r="O461" s="145"/>
      <c r="P461" s="145"/>
      <c r="Q461" s="145"/>
      <c r="R461" s="145"/>
      <c r="S461" s="145"/>
      <c r="T461" s="145"/>
      <c r="U461" s="145"/>
      <c r="V461" s="31"/>
      <c r="W461" s="146"/>
      <c r="X461" s="146"/>
      <c r="Z461" s="31"/>
      <c r="AA461" s="31"/>
      <c r="AB461" s="387"/>
      <c r="AC461" s="387"/>
      <c r="AD461" s="637"/>
    </row>
    <row r="463" spans="1:30">
      <c r="A463" s="31"/>
      <c r="B463" s="30"/>
      <c r="C463" s="31"/>
      <c r="D463" s="143"/>
      <c r="E463" s="31"/>
      <c r="F463" s="144"/>
      <c r="G463" s="144"/>
      <c r="H463" s="144"/>
      <c r="I463" s="145"/>
      <c r="J463" s="145"/>
      <c r="K463" s="145"/>
      <c r="L463" s="145"/>
      <c r="M463" s="145"/>
      <c r="N463" s="145"/>
      <c r="O463" s="145"/>
      <c r="P463" s="145"/>
      <c r="Q463" s="145"/>
      <c r="R463" s="145"/>
      <c r="S463" s="145"/>
      <c r="T463" s="145"/>
      <c r="U463" s="145"/>
      <c r="V463" s="31"/>
      <c r="W463" s="146"/>
      <c r="X463" s="146"/>
      <c r="Z463" s="31"/>
      <c r="AA463" s="31"/>
      <c r="AB463" s="387"/>
      <c r="AC463" s="387"/>
      <c r="AD463" s="637"/>
    </row>
    <row r="465" spans="1:30">
      <c r="A465" s="31"/>
      <c r="B465" s="30"/>
      <c r="C465" s="31"/>
      <c r="D465" s="143"/>
      <c r="E465" s="31"/>
      <c r="F465" s="144"/>
      <c r="G465" s="144"/>
      <c r="H465" s="144"/>
      <c r="I465" s="145"/>
      <c r="J465" s="145"/>
      <c r="K465" s="145"/>
      <c r="L465" s="145"/>
      <c r="M465" s="145"/>
      <c r="N465" s="145"/>
      <c r="O465" s="145"/>
      <c r="P465" s="145"/>
      <c r="Q465" s="145"/>
      <c r="R465" s="145"/>
      <c r="S465" s="145"/>
      <c r="T465" s="145"/>
      <c r="U465" s="145"/>
      <c r="V465" s="31"/>
      <c r="W465" s="146"/>
      <c r="X465" s="146"/>
      <c r="Z465" s="31"/>
      <c r="AA465" s="31"/>
      <c r="AB465" s="387"/>
      <c r="AC465" s="387"/>
      <c r="AD465" s="637"/>
    </row>
    <row r="467" spans="1:30">
      <c r="A467" s="31"/>
      <c r="B467" s="30"/>
      <c r="C467" s="31"/>
      <c r="D467" s="143"/>
      <c r="E467" s="31"/>
      <c r="F467" s="144"/>
      <c r="G467" s="144"/>
      <c r="H467" s="144"/>
      <c r="I467" s="145"/>
      <c r="J467" s="145"/>
      <c r="K467" s="145"/>
      <c r="L467" s="145"/>
      <c r="M467" s="145"/>
      <c r="N467" s="145"/>
      <c r="O467" s="145"/>
      <c r="P467" s="145"/>
      <c r="Q467" s="145"/>
      <c r="R467" s="145"/>
      <c r="S467" s="145"/>
      <c r="T467" s="145"/>
      <c r="U467" s="145"/>
      <c r="V467" s="31"/>
      <c r="W467" s="146"/>
      <c r="X467" s="146"/>
      <c r="Z467" s="31"/>
      <c r="AA467" s="31"/>
      <c r="AB467" s="387"/>
      <c r="AC467" s="387"/>
      <c r="AD467" s="637"/>
    </row>
    <row r="469" spans="1:30">
      <c r="A469" s="31"/>
      <c r="B469" s="30"/>
      <c r="C469" s="31"/>
      <c r="D469" s="143"/>
      <c r="E469" s="31"/>
      <c r="F469" s="144"/>
      <c r="G469" s="144"/>
      <c r="H469" s="144"/>
      <c r="I469" s="145"/>
      <c r="J469" s="145"/>
      <c r="K469" s="145"/>
      <c r="L469" s="145"/>
      <c r="M469" s="145"/>
      <c r="N469" s="145"/>
      <c r="O469" s="145"/>
      <c r="P469" s="145"/>
      <c r="Q469" s="145"/>
      <c r="R469" s="145"/>
      <c r="S469" s="145"/>
      <c r="T469" s="145"/>
      <c r="U469" s="145"/>
      <c r="V469" s="31"/>
      <c r="W469" s="146"/>
      <c r="X469" s="146"/>
      <c r="Z469" s="31"/>
      <c r="AA469" s="31"/>
      <c r="AB469" s="387"/>
      <c r="AC469" s="387"/>
      <c r="AD469" s="637"/>
    </row>
    <row r="471" spans="1:30">
      <c r="A471" s="31"/>
      <c r="B471" s="30"/>
      <c r="C471" s="31"/>
      <c r="D471" s="143"/>
      <c r="E471" s="31"/>
      <c r="F471" s="144"/>
      <c r="G471" s="144"/>
      <c r="H471" s="144"/>
      <c r="I471" s="145"/>
      <c r="J471" s="145"/>
      <c r="K471" s="145"/>
      <c r="L471" s="145"/>
      <c r="M471" s="145"/>
      <c r="N471" s="145"/>
      <c r="O471" s="145"/>
      <c r="P471" s="145"/>
      <c r="Q471" s="145"/>
      <c r="R471" s="145"/>
      <c r="S471" s="145"/>
      <c r="T471" s="145"/>
      <c r="U471" s="145"/>
      <c r="V471" s="31"/>
      <c r="W471" s="146"/>
      <c r="X471" s="146"/>
      <c r="Z471" s="31"/>
      <c r="AA471" s="31"/>
      <c r="AB471" s="387"/>
      <c r="AC471" s="387"/>
      <c r="AD471" s="637"/>
    </row>
    <row r="473" spans="1:30">
      <c r="A473" s="31"/>
      <c r="B473" s="30"/>
      <c r="C473" s="31"/>
      <c r="D473" s="143"/>
      <c r="E473" s="31"/>
      <c r="F473" s="144"/>
      <c r="G473" s="144"/>
      <c r="H473" s="144"/>
      <c r="I473" s="145"/>
      <c r="J473" s="145"/>
      <c r="K473" s="145"/>
      <c r="L473" s="145"/>
      <c r="M473" s="145"/>
      <c r="N473" s="145"/>
      <c r="O473" s="145"/>
      <c r="P473" s="145"/>
      <c r="Q473" s="145"/>
      <c r="R473" s="145"/>
      <c r="S473" s="145"/>
      <c r="T473" s="145"/>
      <c r="U473" s="145"/>
      <c r="V473" s="31"/>
      <c r="W473" s="146"/>
      <c r="X473" s="146"/>
      <c r="Z473" s="31"/>
      <c r="AA473" s="31"/>
      <c r="AB473" s="387"/>
      <c r="AC473" s="387"/>
      <c r="AD473" s="637"/>
    </row>
    <row r="475" spans="1:30">
      <c r="A475" s="31"/>
      <c r="B475" s="30"/>
      <c r="C475" s="31"/>
      <c r="D475" s="143"/>
      <c r="E475" s="31"/>
      <c r="F475" s="144"/>
      <c r="G475" s="144"/>
      <c r="H475" s="144"/>
      <c r="I475" s="145"/>
      <c r="J475" s="145"/>
      <c r="K475" s="145"/>
      <c r="L475" s="145"/>
      <c r="M475" s="145"/>
      <c r="N475" s="145"/>
      <c r="O475" s="145"/>
      <c r="P475" s="145"/>
      <c r="Q475" s="145"/>
      <c r="R475" s="145"/>
      <c r="S475" s="145"/>
      <c r="T475" s="145"/>
      <c r="U475" s="145"/>
      <c r="V475" s="31"/>
      <c r="W475" s="146"/>
      <c r="X475" s="146"/>
      <c r="Z475" s="31"/>
      <c r="AA475" s="31"/>
      <c r="AB475" s="387"/>
      <c r="AC475" s="387"/>
      <c r="AD475" s="637"/>
    </row>
    <row r="477" spans="1:30">
      <c r="A477" s="31"/>
      <c r="B477" s="30"/>
      <c r="C477" s="31"/>
      <c r="D477" s="143"/>
      <c r="E477" s="31"/>
      <c r="F477" s="144"/>
      <c r="G477" s="144"/>
      <c r="H477" s="144"/>
      <c r="I477" s="145"/>
      <c r="J477" s="145"/>
      <c r="K477" s="145"/>
      <c r="L477" s="145"/>
      <c r="M477" s="145"/>
      <c r="N477" s="145"/>
      <c r="O477" s="145"/>
      <c r="P477" s="145"/>
      <c r="Q477" s="145"/>
      <c r="R477" s="145"/>
      <c r="S477" s="145"/>
      <c r="T477" s="145"/>
      <c r="U477" s="145"/>
      <c r="V477" s="31"/>
      <c r="W477" s="146"/>
      <c r="X477" s="146"/>
      <c r="Z477" s="31"/>
      <c r="AA477" s="31"/>
      <c r="AB477" s="387"/>
      <c r="AC477" s="387"/>
      <c r="AD477" s="637"/>
    </row>
    <row r="479" spans="1:30">
      <c r="A479" s="31"/>
      <c r="B479" s="30"/>
      <c r="C479" s="31"/>
      <c r="D479" s="143"/>
      <c r="E479" s="31"/>
      <c r="F479" s="144"/>
      <c r="G479" s="144"/>
      <c r="H479" s="144"/>
      <c r="I479" s="145"/>
      <c r="J479" s="145"/>
      <c r="K479" s="145"/>
      <c r="L479" s="145"/>
      <c r="M479" s="145"/>
      <c r="N479" s="145"/>
      <c r="O479" s="145"/>
      <c r="P479" s="145"/>
      <c r="Q479" s="145"/>
      <c r="R479" s="145"/>
      <c r="S479" s="145"/>
      <c r="T479" s="145"/>
      <c r="U479" s="145"/>
      <c r="V479" s="31"/>
      <c r="W479" s="146"/>
      <c r="X479" s="146"/>
      <c r="Z479" s="31"/>
      <c r="AA479" s="31"/>
      <c r="AB479" s="387"/>
      <c r="AC479" s="387"/>
      <c r="AD479" s="637"/>
    </row>
    <row r="481" spans="1:30">
      <c r="A481" s="31"/>
      <c r="B481" s="30"/>
      <c r="C481" s="31"/>
      <c r="D481" s="143"/>
      <c r="E481" s="31"/>
      <c r="F481" s="144"/>
      <c r="G481" s="144"/>
      <c r="H481" s="144"/>
      <c r="I481" s="145"/>
      <c r="J481" s="145"/>
      <c r="K481" s="145"/>
      <c r="L481" s="145"/>
      <c r="M481" s="145"/>
      <c r="N481" s="145"/>
      <c r="O481" s="145"/>
      <c r="P481" s="145"/>
      <c r="Q481" s="145"/>
      <c r="R481" s="145"/>
      <c r="S481" s="145"/>
      <c r="T481" s="145"/>
      <c r="U481" s="145"/>
      <c r="V481" s="31"/>
      <c r="W481" s="146"/>
      <c r="X481" s="146"/>
      <c r="Z481" s="31"/>
      <c r="AA481" s="31"/>
      <c r="AB481" s="387"/>
      <c r="AC481" s="387"/>
      <c r="AD481" s="637"/>
    </row>
    <row r="483" spans="1:30">
      <c r="A483" s="31"/>
      <c r="B483" s="30"/>
      <c r="C483" s="31"/>
      <c r="D483" s="143"/>
      <c r="E483" s="31"/>
      <c r="F483" s="144"/>
      <c r="G483" s="144"/>
      <c r="H483" s="144"/>
      <c r="I483" s="145"/>
      <c r="J483" s="145"/>
      <c r="K483" s="145"/>
      <c r="L483" s="145"/>
      <c r="M483" s="145"/>
      <c r="N483" s="145"/>
      <c r="O483" s="145"/>
      <c r="P483" s="145"/>
      <c r="Q483" s="145"/>
      <c r="R483" s="145"/>
      <c r="S483" s="145"/>
      <c r="T483" s="145"/>
      <c r="U483" s="145"/>
      <c r="V483" s="31"/>
      <c r="W483" s="146"/>
      <c r="X483" s="146"/>
      <c r="Z483" s="31"/>
      <c r="AA483" s="31"/>
      <c r="AB483" s="387"/>
      <c r="AC483" s="387"/>
      <c r="AD483" s="637"/>
    </row>
    <row r="485" spans="1:30">
      <c r="A485" s="31"/>
      <c r="B485" s="30"/>
      <c r="C485" s="31"/>
      <c r="D485" s="143"/>
      <c r="E485" s="31"/>
      <c r="F485" s="144"/>
      <c r="G485" s="144"/>
      <c r="H485" s="144"/>
      <c r="I485" s="145"/>
      <c r="J485" s="145"/>
      <c r="K485" s="145"/>
      <c r="L485" s="145"/>
      <c r="M485" s="145"/>
      <c r="N485" s="145"/>
      <c r="O485" s="145"/>
      <c r="P485" s="145"/>
      <c r="Q485" s="145"/>
      <c r="R485" s="145"/>
      <c r="S485" s="145"/>
      <c r="T485" s="145"/>
      <c r="U485" s="145"/>
      <c r="V485" s="31"/>
      <c r="W485" s="146"/>
      <c r="X485" s="146"/>
      <c r="Z485" s="31"/>
      <c r="AA485" s="31"/>
      <c r="AB485" s="387"/>
      <c r="AC485" s="387"/>
      <c r="AD485" s="637"/>
    </row>
    <row r="487" spans="1:30">
      <c r="A487" s="31"/>
      <c r="B487" s="30"/>
      <c r="C487" s="31"/>
      <c r="D487" s="143"/>
      <c r="E487" s="31"/>
      <c r="F487" s="144"/>
      <c r="G487" s="144"/>
      <c r="H487" s="144"/>
      <c r="I487" s="145"/>
      <c r="J487" s="145"/>
      <c r="K487" s="145"/>
      <c r="L487" s="145"/>
      <c r="M487" s="145"/>
      <c r="N487" s="145"/>
      <c r="O487" s="145"/>
      <c r="P487" s="145"/>
      <c r="Q487" s="145"/>
      <c r="R487" s="145"/>
      <c r="S487" s="145"/>
      <c r="T487" s="145"/>
      <c r="U487" s="145"/>
      <c r="V487" s="31"/>
      <c r="W487" s="146"/>
      <c r="X487" s="146"/>
      <c r="Z487" s="31"/>
      <c r="AA487" s="31"/>
      <c r="AB487" s="387"/>
      <c r="AC487" s="387"/>
      <c r="AD487" s="637"/>
    </row>
    <row r="489" spans="1:30">
      <c r="A489" s="31"/>
      <c r="B489" s="30"/>
      <c r="C489" s="31"/>
      <c r="D489" s="143"/>
      <c r="E489" s="31"/>
      <c r="F489" s="144"/>
      <c r="G489" s="144"/>
      <c r="H489" s="144"/>
      <c r="I489" s="145"/>
      <c r="J489" s="145"/>
      <c r="K489" s="145"/>
      <c r="L489" s="145"/>
      <c r="M489" s="145"/>
      <c r="N489" s="145"/>
      <c r="O489" s="145"/>
      <c r="P489" s="145"/>
      <c r="Q489" s="145"/>
      <c r="R489" s="145"/>
      <c r="S489" s="145"/>
      <c r="T489" s="145"/>
      <c r="U489" s="145"/>
      <c r="V489" s="31"/>
      <c r="W489" s="146"/>
      <c r="X489" s="146"/>
      <c r="Z489" s="31"/>
      <c r="AA489" s="31"/>
      <c r="AB489" s="387"/>
      <c r="AC489" s="387"/>
      <c r="AD489" s="637"/>
    </row>
    <row r="491" spans="1:30">
      <c r="A491" s="31"/>
      <c r="B491" s="30"/>
      <c r="C491" s="31"/>
      <c r="D491" s="143"/>
      <c r="E491" s="31"/>
      <c r="F491" s="144"/>
      <c r="G491" s="144"/>
      <c r="H491" s="144"/>
      <c r="I491" s="145"/>
      <c r="J491" s="145"/>
      <c r="K491" s="145"/>
      <c r="L491" s="145"/>
      <c r="M491" s="145"/>
      <c r="N491" s="145"/>
      <c r="O491" s="145"/>
      <c r="P491" s="145"/>
      <c r="Q491" s="145"/>
      <c r="R491" s="145"/>
      <c r="S491" s="145"/>
      <c r="T491" s="145"/>
      <c r="U491" s="145"/>
      <c r="V491" s="31"/>
      <c r="W491" s="146"/>
      <c r="X491" s="146"/>
      <c r="Z491" s="31"/>
      <c r="AA491" s="31"/>
      <c r="AB491" s="387"/>
      <c r="AC491" s="387"/>
      <c r="AD491" s="637"/>
    </row>
    <row r="493" spans="1:30">
      <c r="A493" s="31"/>
      <c r="B493" s="30"/>
      <c r="C493" s="31"/>
      <c r="D493" s="143"/>
      <c r="E493" s="31"/>
      <c r="F493" s="144"/>
      <c r="G493" s="144"/>
      <c r="H493" s="144"/>
      <c r="I493" s="145"/>
      <c r="J493" s="145"/>
      <c r="K493" s="145"/>
      <c r="L493" s="145"/>
      <c r="M493" s="145"/>
      <c r="N493" s="145"/>
      <c r="O493" s="145"/>
      <c r="P493" s="145"/>
      <c r="Q493" s="145"/>
      <c r="R493" s="145"/>
      <c r="S493" s="145"/>
      <c r="T493" s="145"/>
      <c r="U493" s="145"/>
      <c r="V493" s="31"/>
      <c r="W493" s="146"/>
      <c r="X493" s="146"/>
      <c r="Z493" s="31"/>
      <c r="AA493" s="31"/>
      <c r="AB493" s="387"/>
      <c r="AC493" s="387"/>
      <c r="AD493" s="637"/>
    </row>
    <row r="495" spans="1:30">
      <c r="A495" s="31"/>
      <c r="B495" s="30"/>
      <c r="C495" s="31"/>
      <c r="D495" s="143"/>
      <c r="E495" s="31"/>
      <c r="F495" s="144"/>
      <c r="G495" s="144"/>
      <c r="H495" s="144"/>
      <c r="I495" s="145"/>
      <c r="J495" s="145"/>
      <c r="K495" s="145"/>
      <c r="L495" s="145"/>
      <c r="M495" s="145"/>
      <c r="N495" s="145"/>
      <c r="O495" s="145"/>
      <c r="P495" s="145"/>
      <c r="Q495" s="145"/>
      <c r="R495" s="145"/>
      <c r="S495" s="145"/>
      <c r="T495" s="145"/>
      <c r="U495" s="145"/>
      <c r="V495" s="31"/>
      <c r="W495" s="146"/>
      <c r="X495" s="146"/>
      <c r="Z495" s="31"/>
      <c r="AA495" s="31"/>
      <c r="AB495" s="387"/>
      <c r="AC495" s="387"/>
      <c r="AD495" s="637"/>
    </row>
    <row r="497" spans="1:30">
      <c r="A497" s="31"/>
      <c r="B497" s="30"/>
      <c r="C497" s="31"/>
      <c r="D497" s="143"/>
      <c r="E497" s="31"/>
      <c r="F497" s="144"/>
      <c r="G497" s="144"/>
      <c r="H497" s="144"/>
      <c r="I497" s="145"/>
      <c r="J497" s="145"/>
      <c r="K497" s="145"/>
      <c r="L497" s="145"/>
      <c r="M497" s="145"/>
      <c r="N497" s="145"/>
      <c r="O497" s="145"/>
      <c r="P497" s="145"/>
      <c r="Q497" s="145"/>
      <c r="R497" s="145"/>
      <c r="S497" s="145"/>
      <c r="T497" s="145"/>
      <c r="U497" s="145"/>
      <c r="V497" s="31"/>
      <c r="W497" s="146"/>
      <c r="X497" s="146"/>
      <c r="Z497" s="31"/>
      <c r="AA497" s="31"/>
      <c r="AB497" s="387"/>
      <c r="AC497" s="387"/>
      <c r="AD497" s="637"/>
    </row>
    <row r="499" spans="1:30">
      <c r="A499" s="31"/>
      <c r="B499" s="30"/>
      <c r="C499" s="31"/>
      <c r="D499" s="143"/>
      <c r="E499" s="31"/>
      <c r="F499" s="144"/>
      <c r="G499" s="144"/>
      <c r="H499" s="144"/>
      <c r="I499" s="145"/>
      <c r="J499" s="145"/>
      <c r="K499" s="145"/>
      <c r="L499" s="145"/>
      <c r="M499" s="145"/>
      <c r="N499" s="145"/>
      <c r="O499" s="145"/>
      <c r="P499" s="145"/>
      <c r="Q499" s="145"/>
      <c r="R499" s="145"/>
      <c r="S499" s="145"/>
      <c r="T499" s="145"/>
      <c r="U499" s="145"/>
      <c r="V499" s="31"/>
      <c r="W499" s="146"/>
      <c r="X499" s="146"/>
      <c r="Z499" s="31"/>
      <c r="AA499" s="31"/>
      <c r="AB499" s="387"/>
      <c r="AC499" s="387"/>
      <c r="AD499" s="637"/>
    </row>
    <row r="501" spans="1:30">
      <c r="A501" s="31"/>
      <c r="B501" s="30"/>
      <c r="C501" s="31"/>
      <c r="D501" s="143"/>
      <c r="E501" s="31"/>
      <c r="F501" s="144"/>
      <c r="G501" s="144"/>
      <c r="H501" s="144"/>
      <c r="I501" s="145"/>
      <c r="J501" s="145"/>
      <c r="K501" s="145"/>
      <c r="L501" s="145"/>
      <c r="M501" s="145"/>
      <c r="N501" s="145"/>
      <c r="O501" s="145"/>
      <c r="P501" s="145"/>
      <c r="Q501" s="145"/>
      <c r="R501" s="145"/>
      <c r="S501" s="145"/>
      <c r="T501" s="145"/>
      <c r="U501" s="145"/>
      <c r="V501" s="31"/>
      <c r="W501" s="146"/>
      <c r="X501" s="146"/>
      <c r="Z501" s="31"/>
      <c r="AA501" s="31"/>
      <c r="AB501" s="387"/>
      <c r="AC501" s="387"/>
      <c r="AD501" s="637"/>
    </row>
    <row r="503" spans="1:30">
      <c r="A503" s="31"/>
      <c r="B503" s="30"/>
      <c r="C503" s="31"/>
      <c r="D503" s="143"/>
      <c r="E503" s="31"/>
      <c r="F503" s="144"/>
      <c r="G503" s="144"/>
      <c r="H503" s="144"/>
      <c r="I503" s="145"/>
      <c r="J503" s="145"/>
      <c r="K503" s="145"/>
      <c r="L503" s="145"/>
      <c r="M503" s="145"/>
      <c r="N503" s="145"/>
      <c r="O503" s="145"/>
      <c r="P503" s="145"/>
      <c r="Q503" s="145"/>
      <c r="R503" s="145"/>
      <c r="S503" s="145"/>
      <c r="T503" s="145"/>
      <c r="U503" s="145"/>
      <c r="V503" s="31"/>
      <c r="W503" s="146"/>
      <c r="X503" s="146"/>
      <c r="Z503" s="31"/>
      <c r="AA503" s="31"/>
      <c r="AB503" s="387"/>
      <c r="AC503" s="387"/>
      <c r="AD503" s="637"/>
    </row>
    <row r="505" spans="1:30">
      <c r="A505" s="31"/>
      <c r="B505" s="30"/>
      <c r="C505" s="31"/>
      <c r="D505" s="143"/>
      <c r="E505" s="31"/>
      <c r="F505" s="144"/>
      <c r="G505" s="144"/>
      <c r="H505" s="144"/>
      <c r="I505" s="145"/>
      <c r="J505" s="145"/>
      <c r="K505" s="145"/>
      <c r="L505" s="145"/>
      <c r="M505" s="145"/>
      <c r="N505" s="145"/>
      <c r="O505" s="145"/>
      <c r="P505" s="145"/>
      <c r="Q505" s="145"/>
      <c r="R505" s="145"/>
      <c r="S505" s="145"/>
      <c r="T505" s="145"/>
      <c r="U505" s="145"/>
      <c r="V505" s="31"/>
      <c r="W505" s="146"/>
      <c r="X505" s="146"/>
      <c r="Z505" s="31"/>
      <c r="AA505" s="31"/>
      <c r="AB505" s="387"/>
      <c r="AC505" s="387"/>
      <c r="AD505" s="637"/>
    </row>
    <row r="507" spans="1:30">
      <c r="A507" s="31"/>
      <c r="B507" s="30"/>
      <c r="C507" s="31"/>
      <c r="D507" s="143"/>
      <c r="E507" s="31"/>
      <c r="F507" s="144"/>
      <c r="G507" s="144"/>
      <c r="H507" s="144"/>
      <c r="I507" s="145"/>
      <c r="J507" s="145"/>
      <c r="K507" s="145"/>
      <c r="L507" s="145"/>
      <c r="M507" s="145"/>
      <c r="N507" s="145"/>
      <c r="O507" s="145"/>
      <c r="P507" s="145"/>
      <c r="Q507" s="145"/>
      <c r="R507" s="145"/>
      <c r="S507" s="145"/>
      <c r="T507" s="145"/>
      <c r="U507" s="145"/>
      <c r="V507" s="31"/>
      <c r="W507" s="146"/>
      <c r="X507" s="146"/>
      <c r="Z507" s="31"/>
      <c r="AA507" s="31"/>
      <c r="AB507" s="387"/>
      <c r="AC507" s="387"/>
      <c r="AD507" s="637"/>
    </row>
    <row r="509" spans="1:30">
      <c r="A509" s="31"/>
      <c r="B509" s="30"/>
      <c r="C509" s="31"/>
      <c r="D509" s="143"/>
      <c r="E509" s="31"/>
      <c r="F509" s="144"/>
      <c r="G509" s="144"/>
      <c r="H509" s="144"/>
      <c r="I509" s="145"/>
      <c r="J509" s="145"/>
      <c r="K509" s="145"/>
      <c r="L509" s="145"/>
      <c r="M509" s="145"/>
      <c r="N509" s="145"/>
      <c r="O509" s="145"/>
      <c r="P509" s="145"/>
      <c r="Q509" s="145"/>
      <c r="R509" s="145"/>
      <c r="S509" s="145"/>
      <c r="T509" s="145"/>
      <c r="U509" s="145"/>
      <c r="V509" s="31"/>
      <c r="W509" s="146"/>
      <c r="X509" s="146"/>
      <c r="Z509" s="31"/>
      <c r="AA509" s="31"/>
      <c r="AB509" s="387"/>
      <c r="AC509" s="387"/>
      <c r="AD509" s="637"/>
    </row>
    <row r="511" spans="1:30">
      <c r="A511" s="31"/>
      <c r="B511" s="30"/>
      <c r="C511" s="31"/>
      <c r="D511" s="143"/>
      <c r="E511" s="31"/>
      <c r="F511" s="144"/>
      <c r="G511" s="144"/>
      <c r="H511" s="144"/>
      <c r="I511" s="145"/>
      <c r="J511" s="145"/>
      <c r="K511" s="145"/>
      <c r="L511" s="145"/>
      <c r="M511" s="145"/>
      <c r="N511" s="145"/>
      <c r="O511" s="145"/>
      <c r="P511" s="145"/>
      <c r="Q511" s="145"/>
      <c r="R511" s="145"/>
      <c r="S511" s="145"/>
      <c r="T511" s="145"/>
      <c r="U511" s="145"/>
      <c r="V511" s="31"/>
      <c r="W511" s="146"/>
      <c r="X511" s="146"/>
      <c r="Z511" s="31"/>
      <c r="AA511" s="31"/>
      <c r="AB511" s="387"/>
      <c r="AC511" s="387"/>
      <c r="AD511" s="637"/>
    </row>
    <row r="513" spans="1:30">
      <c r="A513" s="31"/>
      <c r="B513" s="30"/>
      <c r="C513" s="31"/>
      <c r="D513" s="143"/>
      <c r="E513" s="31"/>
      <c r="F513" s="144"/>
      <c r="G513" s="144"/>
      <c r="H513" s="144"/>
      <c r="I513" s="145"/>
      <c r="J513" s="145"/>
      <c r="K513" s="145"/>
      <c r="L513" s="145"/>
      <c r="M513" s="145"/>
      <c r="N513" s="145"/>
      <c r="O513" s="145"/>
      <c r="P513" s="145"/>
      <c r="Q513" s="145"/>
      <c r="R513" s="145"/>
      <c r="S513" s="145"/>
      <c r="T513" s="145"/>
      <c r="U513" s="145"/>
      <c r="V513" s="31"/>
      <c r="W513" s="146"/>
      <c r="X513" s="146"/>
      <c r="Z513" s="31"/>
      <c r="AA513" s="31"/>
      <c r="AB513" s="387"/>
      <c r="AC513" s="387"/>
      <c r="AD513" s="637"/>
    </row>
    <row r="515" spans="1:30">
      <c r="A515" s="31"/>
      <c r="B515" s="30"/>
      <c r="C515" s="31"/>
      <c r="D515" s="143"/>
      <c r="E515" s="31"/>
      <c r="F515" s="144"/>
      <c r="G515" s="144"/>
      <c r="H515" s="144"/>
      <c r="I515" s="145"/>
      <c r="J515" s="145"/>
      <c r="K515" s="145"/>
      <c r="L515" s="145"/>
      <c r="M515" s="145"/>
      <c r="N515" s="145"/>
      <c r="O515" s="145"/>
      <c r="P515" s="145"/>
      <c r="Q515" s="145"/>
      <c r="R515" s="145"/>
      <c r="S515" s="145"/>
      <c r="T515" s="145"/>
      <c r="U515" s="145"/>
      <c r="V515" s="31"/>
      <c r="W515" s="146"/>
      <c r="X515" s="146"/>
      <c r="Z515" s="31"/>
      <c r="AA515" s="31"/>
      <c r="AB515" s="387"/>
      <c r="AC515" s="387"/>
      <c r="AD515" s="637"/>
    </row>
    <row r="517" spans="1:30">
      <c r="A517" s="31"/>
      <c r="B517" s="30"/>
      <c r="C517" s="31"/>
      <c r="D517" s="143"/>
      <c r="E517" s="31"/>
      <c r="F517" s="144"/>
      <c r="G517" s="144"/>
      <c r="H517" s="144"/>
      <c r="I517" s="145"/>
      <c r="J517" s="145"/>
      <c r="K517" s="145"/>
      <c r="L517" s="145"/>
      <c r="M517" s="145"/>
      <c r="N517" s="145"/>
      <c r="O517" s="145"/>
      <c r="P517" s="145"/>
      <c r="Q517" s="145"/>
      <c r="R517" s="145"/>
      <c r="S517" s="145"/>
      <c r="T517" s="145"/>
      <c r="U517" s="145"/>
      <c r="V517" s="31"/>
      <c r="W517" s="146"/>
      <c r="X517" s="146"/>
      <c r="Z517" s="31"/>
      <c r="AA517" s="31"/>
      <c r="AB517" s="387"/>
      <c r="AC517" s="387"/>
      <c r="AD517" s="637"/>
    </row>
    <row r="519" spans="1:30">
      <c r="A519" s="31"/>
      <c r="B519" s="30"/>
      <c r="C519" s="31"/>
      <c r="D519" s="143"/>
      <c r="E519" s="31"/>
      <c r="F519" s="144"/>
      <c r="G519" s="144"/>
      <c r="H519" s="144"/>
      <c r="I519" s="145"/>
      <c r="J519" s="145"/>
      <c r="K519" s="145"/>
      <c r="L519" s="145"/>
      <c r="M519" s="145"/>
      <c r="N519" s="145"/>
      <c r="O519" s="145"/>
      <c r="P519" s="145"/>
      <c r="Q519" s="145"/>
      <c r="R519" s="145"/>
      <c r="S519" s="145"/>
      <c r="T519" s="145"/>
      <c r="U519" s="145"/>
      <c r="V519" s="31"/>
      <c r="W519" s="146"/>
      <c r="X519" s="146"/>
      <c r="Z519" s="31"/>
      <c r="AA519" s="31"/>
      <c r="AB519" s="387"/>
      <c r="AC519" s="387"/>
      <c r="AD519" s="637"/>
    </row>
    <row r="521" spans="1:30">
      <c r="A521" s="31"/>
      <c r="B521" s="30"/>
      <c r="C521" s="31"/>
      <c r="D521" s="143"/>
      <c r="E521" s="31"/>
      <c r="F521" s="144"/>
      <c r="G521" s="144"/>
      <c r="H521" s="144"/>
      <c r="I521" s="145"/>
      <c r="J521" s="145"/>
      <c r="K521" s="145"/>
      <c r="L521" s="145"/>
      <c r="M521" s="145"/>
      <c r="N521" s="145"/>
      <c r="O521" s="145"/>
      <c r="P521" s="145"/>
      <c r="Q521" s="145"/>
      <c r="R521" s="145"/>
      <c r="S521" s="145"/>
      <c r="T521" s="145"/>
      <c r="U521" s="145"/>
      <c r="V521" s="31"/>
      <c r="W521" s="146"/>
      <c r="X521" s="146"/>
      <c r="Z521" s="31"/>
      <c r="AA521" s="31"/>
      <c r="AB521" s="387"/>
      <c r="AC521" s="387"/>
      <c r="AD521" s="637"/>
    </row>
    <row r="523" spans="1:30">
      <c r="A523" s="31"/>
      <c r="B523" s="30"/>
      <c r="C523" s="31"/>
      <c r="D523" s="143"/>
      <c r="E523" s="31"/>
      <c r="F523" s="144"/>
      <c r="G523" s="144"/>
      <c r="H523" s="144"/>
      <c r="I523" s="145"/>
      <c r="J523" s="145"/>
      <c r="K523" s="145"/>
      <c r="L523" s="145"/>
      <c r="M523" s="145"/>
      <c r="N523" s="145"/>
      <c r="O523" s="145"/>
      <c r="P523" s="145"/>
      <c r="Q523" s="145"/>
      <c r="R523" s="145"/>
      <c r="S523" s="145"/>
      <c r="T523" s="145"/>
      <c r="U523" s="145"/>
      <c r="V523" s="31"/>
      <c r="W523" s="146"/>
      <c r="X523" s="146"/>
      <c r="Z523" s="31"/>
      <c r="AA523" s="31"/>
      <c r="AB523" s="387"/>
      <c r="AC523" s="387"/>
      <c r="AD523" s="637"/>
    </row>
    <row r="525" spans="1:30">
      <c r="A525" s="31"/>
      <c r="B525" s="30"/>
      <c r="C525" s="31"/>
      <c r="D525" s="143"/>
      <c r="E525" s="31"/>
      <c r="F525" s="144"/>
      <c r="G525" s="144"/>
      <c r="H525" s="144"/>
      <c r="I525" s="145"/>
      <c r="J525" s="145"/>
      <c r="K525" s="145"/>
      <c r="L525" s="145"/>
      <c r="M525" s="145"/>
      <c r="N525" s="145"/>
      <c r="O525" s="145"/>
      <c r="P525" s="145"/>
      <c r="Q525" s="145"/>
      <c r="R525" s="145"/>
      <c r="S525" s="145"/>
      <c r="T525" s="145"/>
      <c r="U525" s="145"/>
      <c r="V525" s="31"/>
      <c r="W525" s="146"/>
      <c r="X525" s="146"/>
      <c r="Z525" s="31"/>
      <c r="AA525" s="31"/>
      <c r="AB525" s="387"/>
      <c r="AC525" s="387"/>
      <c r="AD525" s="637"/>
    </row>
    <row r="527" spans="1:30">
      <c r="A527" s="31"/>
      <c r="B527" s="30"/>
      <c r="C527" s="31"/>
      <c r="D527" s="143"/>
      <c r="E527" s="31"/>
      <c r="F527" s="144"/>
      <c r="G527" s="144"/>
      <c r="H527" s="144"/>
      <c r="I527" s="145"/>
      <c r="J527" s="145"/>
      <c r="K527" s="145"/>
      <c r="L527" s="145"/>
      <c r="M527" s="145"/>
      <c r="N527" s="145"/>
      <c r="O527" s="145"/>
      <c r="P527" s="145"/>
      <c r="Q527" s="145"/>
      <c r="R527" s="145"/>
      <c r="S527" s="145"/>
      <c r="T527" s="145"/>
      <c r="U527" s="145"/>
      <c r="V527" s="31"/>
      <c r="W527" s="146"/>
      <c r="X527" s="146"/>
      <c r="Z527" s="31"/>
      <c r="AA527" s="31"/>
      <c r="AB527" s="387"/>
      <c r="AC527" s="387"/>
      <c r="AD527" s="637"/>
    </row>
    <row r="529" spans="1:30">
      <c r="A529" s="31"/>
      <c r="B529" s="30"/>
      <c r="C529" s="31"/>
      <c r="D529" s="143"/>
      <c r="E529" s="31"/>
      <c r="F529" s="144"/>
      <c r="G529" s="144"/>
      <c r="H529" s="144"/>
      <c r="I529" s="145"/>
      <c r="J529" s="145"/>
      <c r="K529" s="145"/>
      <c r="L529" s="145"/>
      <c r="M529" s="145"/>
      <c r="N529" s="145"/>
      <c r="O529" s="145"/>
      <c r="P529" s="145"/>
      <c r="Q529" s="145"/>
      <c r="R529" s="145"/>
      <c r="S529" s="145"/>
      <c r="T529" s="145"/>
      <c r="U529" s="145"/>
      <c r="V529" s="31"/>
      <c r="W529" s="146"/>
      <c r="X529" s="146"/>
      <c r="Z529" s="31"/>
      <c r="AA529" s="31"/>
      <c r="AB529" s="387"/>
      <c r="AC529" s="387"/>
      <c r="AD529" s="637"/>
    </row>
    <row r="531" spans="1:30">
      <c r="A531" s="31"/>
      <c r="B531" s="30"/>
      <c r="C531" s="31"/>
      <c r="D531" s="143"/>
      <c r="E531" s="31"/>
      <c r="F531" s="144"/>
      <c r="G531" s="144"/>
      <c r="H531" s="144"/>
      <c r="I531" s="145"/>
      <c r="J531" s="145"/>
      <c r="K531" s="145"/>
      <c r="L531" s="145"/>
      <c r="M531" s="145"/>
      <c r="N531" s="145"/>
      <c r="O531" s="145"/>
      <c r="P531" s="145"/>
      <c r="Q531" s="145"/>
      <c r="R531" s="145"/>
      <c r="S531" s="145"/>
      <c r="T531" s="145"/>
      <c r="U531" s="145"/>
      <c r="V531" s="31"/>
      <c r="W531" s="146"/>
      <c r="X531" s="146"/>
      <c r="Z531" s="31"/>
      <c r="AA531" s="31"/>
      <c r="AB531" s="387"/>
      <c r="AC531" s="387"/>
      <c r="AD531" s="637"/>
    </row>
    <row r="533" spans="1:30">
      <c r="A533" s="31"/>
      <c r="B533" s="30"/>
      <c r="C533" s="31"/>
      <c r="D533" s="143"/>
      <c r="E533" s="31"/>
      <c r="F533" s="144"/>
      <c r="G533" s="144"/>
      <c r="H533" s="144"/>
      <c r="I533" s="145"/>
      <c r="J533" s="145"/>
      <c r="K533" s="145"/>
      <c r="L533" s="145"/>
      <c r="M533" s="145"/>
      <c r="N533" s="145"/>
      <c r="O533" s="145"/>
      <c r="P533" s="145"/>
      <c r="Q533" s="145"/>
      <c r="R533" s="145"/>
      <c r="S533" s="145"/>
      <c r="T533" s="145"/>
      <c r="U533" s="145"/>
      <c r="V533" s="31"/>
      <c r="W533" s="146"/>
      <c r="X533" s="146"/>
      <c r="Z533" s="31"/>
      <c r="AA533" s="31"/>
      <c r="AB533" s="387"/>
      <c r="AC533" s="387"/>
      <c r="AD533" s="637"/>
    </row>
    <row r="535" spans="1:30">
      <c r="A535" s="31"/>
      <c r="B535" s="30"/>
      <c r="C535" s="31"/>
      <c r="D535" s="143"/>
      <c r="E535" s="31"/>
      <c r="F535" s="144"/>
      <c r="G535" s="144"/>
      <c r="H535" s="144"/>
      <c r="I535" s="145"/>
      <c r="J535" s="145"/>
      <c r="K535" s="145"/>
      <c r="L535" s="145"/>
      <c r="M535" s="145"/>
      <c r="N535" s="145"/>
      <c r="O535" s="145"/>
      <c r="P535" s="145"/>
      <c r="Q535" s="145"/>
      <c r="R535" s="145"/>
      <c r="S535" s="145"/>
      <c r="T535" s="145"/>
      <c r="U535" s="145"/>
      <c r="V535" s="31"/>
      <c r="W535" s="146"/>
      <c r="X535" s="146"/>
      <c r="Z535" s="31"/>
      <c r="AA535" s="31"/>
      <c r="AB535" s="387"/>
      <c r="AC535" s="387"/>
      <c r="AD535" s="637"/>
    </row>
    <row r="537" spans="1:30">
      <c r="A537" s="31"/>
      <c r="B537" s="30"/>
      <c r="C537" s="31"/>
      <c r="D537" s="143"/>
      <c r="E537" s="31"/>
      <c r="F537" s="144"/>
      <c r="G537" s="144"/>
      <c r="H537" s="144"/>
      <c r="I537" s="145"/>
      <c r="J537" s="145"/>
      <c r="K537" s="145"/>
      <c r="L537" s="145"/>
      <c r="M537" s="145"/>
      <c r="N537" s="145"/>
      <c r="O537" s="145"/>
      <c r="P537" s="145"/>
      <c r="Q537" s="145"/>
      <c r="R537" s="145"/>
      <c r="S537" s="145"/>
      <c r="T537" s="145"/>
      <c r="U537" s="145"/>
      <c r="V537" s="31"/>
      <c r="W537" s="146"/>
      <c r="X537" s="146"/>
      <c r="Z537" s="31"/>
      <c r="AA537" s="31"/>
      <c r="AB537" s="387"/>
      <c r="AC537" s="387"/>
      <c r="AD537" s="637"/>
    </row>
    <row r="539" spans="1:30">
      <c r="A539" s="31"/>
      <c r="B539" s="30"/>
      <c r="C539" s="31"/>
      <c r="D539" s="143"/>
      <c r="E539" s="31"/>
      <c r="F539" s="144"/>
      <c r="G539" s="144"/>
      <c r="H539" s="144"/>
      <c r="I539" s="145"/>
      <c r="J539" s="145"/>
      <c r="K539" s="145"/>
      <c r="L539" s="145"/>
      <c r="M539" s="145"/>
      <c r="N539" s="145"/>
      <c r="O539" s="145"/>
      <c r="P539" s="145"/>
      <c r="Q539" s="145"/>
      <c r="R539" s="145"/>
      <c r="S539" s="145"/>
      <c r="T539" s="145"/>
      <c r="U539" s="145"/>
      <c r="V539" s="31"/>
      <c r="W539" s="146"/>
      <c r="X539" s="146"/>
      <c r="Z539" s="31"/>
      <c r="AA539" s="31"/>
      <c r="AB539" s="387"/>
      <c r="AC539" s="387"/>
      <c r="AD539" s="637"/>
    </row>
    <row r="541" spans="1:30">
      <c r="A541" s="31"/>
      <c r="B541" s="30"/>
      <c r="C541" s="31"/>
      <c r="D541" s="143"/>
      <c r="E541" s="31"/>
      <c r="F541" s="144"/>
      <c r="G541" s="144"/>
      <c r="H541" s="144"/>
      <c r="I541" s="145"/>
      <c r="J541" s="145"/>
      <c r="K541" s="145"/>
      <c r="L541" s="145"/>
      <c r="M541" s="145"/>
      <c r="N541" s="145"/>
      <c r="O541" s="145"/>
      <c r="P541" s="145"/>
      <c r="Q541" s="145"/>
      <c r="R541" s="145"/>
      <c r="S541" s="145"/>
      <c r="T541" s="145"/>
      <c r="U541" s="145"/>
      <c r="V541" s="31"/>
      <c r="W541" s="146"/>
      <c r="X541" s="146"/>
      <c r="Z541" s="31"/>
      <c r="AA541" s="31"/>
      <c r="AB541" s="387"/>
      <c r="AC541" s="387"/>
      <c r="AD541" s="637"/>
    </row>
    <row r="543" spans="1:30">
      <c r="A543" s="31"/>
      <c r="B543" s="30"/>
      <c r="C543" s="31"/>
      <c r="D543" s="143"/>
      <c r="E543" s="31"/>
      <c r="F543" s="144"/>
      <c r="G543" s="144"/>
      <c r="H543" s="144"/>
      <c r="I543" s="145"/>
      <c r="J543" s="145"/>
      <c r="K543" s="145"/>
      <c r="L543" s="145"/>
      <c r="M543" s="145"/>
      <c r="N543" s="145"/>
      <c r="O543" s="145"/>
      <c r="P543" s="145"/>
      <c r="Q543" s="145"/>
      <c r="R543" s="145"/>
      <c r="S543" s="145"/>
      <c r="T543" s="145"/>
      <c r="U543" s="145"/>
      <c r="V543" s="31"/>
      <c r="W543" s="146"/>
      <c r="X543" s="146"/>
      <c r="Z543" s="31"/>
      <c r="AA543" s="31"/>
      <c r="AB543" s="387"/>
      <c r="AC543" s="387"/>
      <c r="AD543" s="637"/>
    </row>
    <row r="545" spans="1:30">
      <c r="A545" s="31"/>
      <c r="B545" s="30"/>
      <c r="C545" s="31"/>
      <c r="D545" s="143"/>
      <c r="E545" s="31"/>
      <c r="F545" s="144"/>
      <c r="G545" s="144"/>
      <c r="H545" s="144"/>
      <c r="I545" s="145"/>
      <c r="J545" s="145"/>
      <c r="K545" s="145"/>
      <c r="L545" s="145"/>
      <c r="M545" s="145"/>
      <c r="N545" s="145"/>
      <c r="O545" s="145"/>
      <c r="P545" s="145"/>
      <c r="Q545" s="145"/>
      <c r="R545" s="145"/>
      <c r="S545" s="145"/>
      <c r="T545" s="145"/>
      <c r="U545" s="145"/>
      <c r="V545" s="31"/>
      <c r="W545" s="146"/>
      <c r="X545" s="146"/>
      <c r="Z545" s="31"/>
      <c r="AA545" s="31"/>
      <c r="AB545" s="387"/>
      <c r="AC545" s="387"/>
      <c r="AD545" s="637"/>
    </row>
    <row r="547" spans="1:30">
      <c r="A547" s="31"/>
      <c r="B547" s="30"/>
      <c r="C547" s="31"/>
      <c r="D547" s="143"/>
      <c r="E547" s="31"/>
      <c r="F547" s="144"/>
      <c r="G547" s="144"/>
      <c r="H547" s="144"/>
      <c r="I547" s="145"/>
      <c r="J547" s="145"/>
      <c r="K547" s="145"/>
      <c r="L547" s="145"/>
      <c r="M547" s="145"/>
      <c r="N547" s="145"/>
      <c r="O547" s="145"/>
      <c r="P547" s="145"/>
      <c r="Q547" s="145"/>
      <c r="R547" s="145"/>
      <c r="S547" s="145"/>
      <c r="T547" s="145"/>
      <c r="U547" s="145"/>
      <c r="V547" s="31"/>
      <c r="W547" s="146"/>
      <c r="X547" s="146"/>
      <c r="Z547" s="31"/>
      <c r="AA547" s="31"/>
      <c r="AB547" s="387"/>
      <c r="AC547" s="387"/>
      <c r="AD547" s="637"/>
    </row>
    <row r="549" spans="1:30">
      <c r="A549" s="31"/>
      <c r="B549" s="30"/>
      <c r="C549" s="31"/>
      <c r="D549" s="143"/>
      <c r="E549" s="31"/>
      <c r="F549" s="144"/>
      <c r="G549" s="144"/>
      <c r="H549" s="144"/>
      <c r="I549" s="145"/>
      <c r="J549" s="145"/>
      <c r="K549" s="145"/>
      <c r="L549" s="145"/>
      <c r="M549" s="145"/>
      <c r="N549" s="145"/>
      <c r="O549" s="145"/>
      <c r="P549" s="145"/>
      <c r="Q549" s="145"/>
      <c r="R549" s="145"/>
      <c r="S549" s="145"/>
      <c r="T549" s="145"/>
      <c r="U549" s="145"/>
      <c r="V549" s="31"/>
      <c r="W549" s="146"/>
      <c r="X549" s="146"/>
      <c r="Z549" s="31"/>
      <c r="AA549" s="31"/>
      <c r="AB549" s="387"/>
      <c r="AC549" s="387"/>
      <c r="AD549" s="637"/>
    </row>
    <row r="551" spans="1:30">
      <c r="A551" s="31"/>
      <c r="B551" s="30"/>
      <c r="C551" s="31"/>
      <c r="D551" s="143"/>
      <c r="E551" s="31"/>
      <c r="F551" s="144"/>
      <c r="G551" s="144"/>
      <c r="H551" s="144"/>
      <c r="I551" s="145"/>
      <c r="J551" s="145"/>
      <c r="K551" s="145"/>
      <c r="L551" s="145"/>
      <c r="M551" s="145"/>
      <c r="N551" s="145"/>
      <c r="O551" s="145"/>
      <c r="P551" s="145"/>
      <c r="Q551" s="145"/>
      <c r="R551" s="145"/>
      <c r="S551" s="145"/>
      <c r="T551" s="145"/>
      <c r="U551" s="145"/>
      <c r="V551" s="31"/>
      <c r="W551" s="146"/>
      <c r="X551" s="146"/>
      <c r="Z551" s="31"/>
      <c r="AA551" s="31"/>
      <c r="AB551" s="387"/>
      <c r="AC551" s="387"/>
      <c r="AD551" s="637"/>
    </row>
    <row r="553" spans="1:30">
      <c r="A553" s="31"/>
      <c r="B553" s="30"/>
      <c r="C553" s="31"/>
      <c r="D553" s="143"/>
      <c r="E553" s="31"/>
      <c r="F553" s="144"/>
      <c r="G553" s="144"/>
      <c r="H553" s="144"/>
      <c r="I553" s="145"/>
      <c r="J553" s="145"/>
      <c r="K553" s="145"/>
      <c r="L553" s="145"/>
      <c r="M553" s="145"/>
      <c r="N553" s="145"/>
      <c r="O553" s="145"/>
      <c r="P553" s="145"/>
      <c r="Q553" s="145"/>
      <c r="R553" s="145"/>
      <c r="S553" s="145"/>
      <c r="T553" s="145"/>
      <c r="U553" s="145"/>
      <c r="V553" s="31"/>
      <c r="W553" s="146"/>
      <c r="X553" s="146"/>
      <c r="Z553" s="31"/>
      <c r="AA553" s="31"/>
      <c r="AB553" s="387"/>
      <c r="AC553" s="387"/>
      <c r="AD553" s="637"/>
    </row>
    <row r="555" spans="1:30">
      <c r="A555" s="31"/>
      <c r="B555" s="30"/>
      <c r="C555" s="31"/>
      <c r="D555" s="143"/>
      <c r="E555" s="31"/>
      <c r="F555" s="144"/>
      <c r="G555" s="144"/>
      <c r="H555" s="144"/>
      <c r="I555" s="145"/>
      <c r="J555" s="145"/>
      <c r="K555" s="145"/>
      <c r="L555" s="145"/>
      <c r="M555" s="145"/>
      <c r="N555" s="145"/>
      <c r="O555" s="145"/>
      <c r="P555" s="145"/>
      <c r="Q555" s="145"/>
      <c r="R555" s="145"/>
      <c r="S555" s="145"/>
      <c r="T555" s="145"/>
      <c r="U555" s="145"/>
      <c r="V555" s="31"/>
      <c r="W555" s="146"/>
      <c r="X555" s="146"/>
      <c r="Z555" s="31"/>
      <c r="AA555" s="31"/>
      <c r="AB555" s="387"/>
      <c r="AC555" s="387"/>
      <c r="AD555" s="637"/>
    </row>
    <row r="557" spans="1:30">
      <c r="A557" s="31"/>
      <c r="B557" s="30"/>
      <c r="C557" s="31"/>
      <c r="D557" s="143"/>
      <c r="E557" s="31"/>
      <c r="F557" s="144"/>
      <c r="G557" s="144"/>
      <c r="H557" s="144"/>
      <c r="I557" s="145"/>
      <c r="J557" s="145"/>
      <c r="K557" s="145"/>
      <c r="L557" s="145"/>
      <c r="M557" s="145"/>
      <c r="N557" s="145"/>
      <c r="O557" s="145"/>
      <c r="P557" s="145"/>
      <c r="Q557" s="145"/>
      <c r="R557" s="145"/>
      <c r="S557" s="145"/>
      <c r="T557" s="145"/>
      <c r="U557" s="145"/>
      <c r="V557" s="31"/>
      <c r="W557" s="146"/>
      <c r="X557" s="146"/>
      <c r="Z557" s="31"/>
      <c r="AA557" s="31"/>
      <c r="AB557" s="387"/>
      <c r="AC557" s="387"/>
      <c r="AD557" s="637"/>
    </row>
    <row r="559" spans="1:30">
      <c r="A559" s="31"/>
      <c r="B559" s="30"/>
      <c r="C559" s="31"/>
      <c r="D559" s="143"/>
      <c r="E559" s="31"/>
      <c r="F559" s="144"/>
      <c r="G559" s="144"/>
      <c r="H559" s="144"/>
      <c r="I559" s="145"/>
      <c r="J559" s="145"/>
      <c r="K559" s="145"/>
      <c r="L559" s="145"/>
      <c r="M559" s="145"/>
      <c r="N559" s="145"/>
      <c r="O559" s="145"/>
      <c r="P559" s="145"/>
      <c r="Q559" s="145"/>
      <c r="R559" s="145"/>
      <c r="S559" s="145"/>
      <c r="T559" s="145"/>
      <c r="U559" s="145"/>
      <c r="V559" s="31"/>
      <c r="W559" s="146"/>
      <c r="X559" s="146"/>
      <c r="Z559" s="31"/>
      <c r="AA559" s="31"/>
      <c r="AB559" s="387"/>
      <c r="AC559" s="387"/>
      <c r="AD559" s="637"/>
    </row>
    <row r="561" spans="1:30">
      <c r="A561" s="31"/>
      <c r="B561" s="30"/>
      <c r="C561" s="31"/>
      <c r="D561" s="143"/>
      <c r="E561" s="31"/>
      <c r="F561" s="144"/>
      <c r="G561" s="144"/>
      <c r="H561" s="144"/>
      <c r="I561" s="145"/>
      <c r="J561" s="145"/>
      <c r="K561" s="145"/>
      <c r="L561" s="145"/>
      <c r="M561" s="145"/>
      <c r="N561" s="145"/>
      <c r="O561" s="145"/>
      <c r="P561" s="145"/>
      <c r="Q561" s="145"/>
      <c r="R561" s="145"/>
      <c r="S561" s="145"/>
      <c r="T561" s="145"/>
      <c r="U561" s="145"/>
      <c r="V561" s="31"/>
      <c r="W561" s="146"/>
      <c r="X561" s="146"/>
      <c r="Z561" s="31"/>
      <c r="AA561" s="31"/>
      <c r="AB561" s="387"/>
      <c r="AC561" s="387"/>
      <c r="AD561" s="637"/>
    </row>
    <row r="563" spans="1:30">
      <c r="A563" s="31"/>
      <c r="B563" s="30"/>
      <c r="C563" s="31"/>
      <c r="D563" s="143"/>
      <c r="E563" s="31"/>
      <c r="F563" s="144"/>
      <c r="G563" s="144"/>
      <c r="H563" s="144"/>
      <c r="I563" s="145"/>
      <c r="J563" s="145"/>
      <c r="K563" s="145"/>
      <c r="L563" s="145"/>
      <c r="M563" s="145"/>
      <c r="N563" s="145"/>
      <c r="O563" s="145"/>
      <c r="P563" s="145"/>
      <c r="Q563" s="145"/>
      <c r="R563" s="145"/>
      <c r="S563" s="145"/>
      <c r="T563" s="145"/>
      <c r="U563" s="145"/>
      <c r="V563" s="31"/>
      <c r="W563" s="146"/>
      <c r="X563" s="146"/>
      <c r="Z563" s="31"/>
      <c r="AA563" s="31"/>
      <c r="AB563" s="387"/>
      <c r="AC563" s="387"/>
      <c r="AD563" s="637"/>
    </row>
    <row r="565" spans="1:30">
      <c r="A565" s="31"/>
      <c r="B565" s="30"/>
      <c r="C565" s="31"/>
      <c r="D565" s="143"/>
      <c r="E565" s="31"/>
      <c r="F565" s="144"/>
      <c r="G565" s="144"/>
      <c r="H565" s="144"/>
      <c r="I565" s="145"/>
      <c r="J565" s="145"/>
      <c r="K565" s="145"/>
      <c r="L565" s="145"/>
      <c r="M565" s="145"/>
      <c r="N565" s="145"/>
      <c r="O565" s="145"/>
      <c r="P565" s="145"/>
      <c r="Q565" s="145"/>
      <c r="R565" s="145"/>
      <c r="S565" s="145"/>
      <c r="T565" s="145"/>
      <c r="U565" s="145"/>
      <c r="V565" s="31"/>
      <c r="W565" s="146"/>
      <c r="X565" s="146"/>
      <c r="Z565" s="31"/>
      <c r="AA565" s="31"/>
      <c r="AB565" s="387"/>
      <c r="AC565" s="387"/>
      <c r="AD565" s="637"/>
    </row>
    <row r="567" spans="1:30">
      <c r="A567" s="31"/>
      <c r="B567" s="30"/>
      <c r="C567" s="31"/>
      <c r="D567" s="143"/>
      <c r="E567" s="31"/>
      <c r="F567" s="144"/>
      <c r="G567" s="144"/>
      <c r="H567" s="144"/>
      <c r="I567" s="145"/>
      <c r="J567" s="145"/>
      <c r="K567" s="145"/>
      <c r="L567" s="145"/>
      <c r="M567" s="145"/>
      <c r="N567" s="145"/>
      <c r="O567" s="145"/>
      <c r="P567" s="145"/>
      <c r="Q567" s="145"/>
      <c r="R567" s="145"/>
      <c r="S567" s="145"/>
      <c r="T567" s="145"/>
      <c r="U567" s="145"/>
      <c r="V567" s="31"/>
      <c r="W567" s="146"/>
      <c r="X567" s="146"/>
      <c r="Z567" s="31"/>
      <c r="AA567" s="31"/>
      <c r="AB567" s="387"/>
      <c r="AC567" s="387"/>
      <c r="AD567" s="637"/>
    </row>
    <row r="569" spans="1:30">
      <c r="A569" s="31"/>
      <c r="B569" s="30"/>
      <c r="C569" s="31"/>
      <c r="D569" s="143"/>
      <c r="E569" s="31"/>
      <c r="F569" s="144"/>
      <c r="G569" s="144"/>
      <c r="H569" s="144"/>
      <c r="I569" s="145"/>
      <c r="J569" s="145"/>
      <c r="K569" s="145"/>
      <c r="L569" s="145"/>
      <c r="M569" s="145"/>
      <c r="N569" s="145"/>
      <c r="O569" s="145"/>
      <c r="P569" s="145"/>
      <c r="Q569" s="145"/>
      <c r="R569" s="145"/>
      <c r="S569" s="145"/>
      <c r="T569" s="145"/>
      <c r="U569" s="145"/>
      <c r="V569" s="31"/>
      <c r="W569" s="146"/>
      <c r="X569" s="146"/>
      <c r="Z569" s="31"/>
      <c r="AA569" s="31"/>
      <c r="AB569" s="387"/>
      <c r="AC569" s="387"/>
      <c r="AD569" s="637"/>
    </row>
    <row r="571" spans="1:30">
      <c r="A571" s="31"/>
      <c r="B571" s="30"/>
      <c r="C571" s="31"/>
      <c r="D571" s="143"/>
      <c r="E571" s="31"/>
      <c r="F571" s="144"/>
      <c r="G571" s="144"/>
      <c r="H571" s="144"/>
      <c r="I571" s="145"/>
      <c r="J571" s="145"/>
      <c r="K571" s="145"/>
      <c r="L571" s="145"/>
      <c r="M571" s="145"/>
      <c r="N571" s="145"/>
      <c r="O571" s="145"/>
      <c r="P571" s="145"/>
      <c r="Q571" s="145"/>
      <c r="R571" s="145"/>
      <c r="S571" s="145"/>
      <c r="T571" s="145"/>
      <c r="U571" s="145"/>
      <c r="V571" s="31"/>
      <c r="W571" s="146"/>
      <c r="X571" s="146"/>
      <c r="Z571" s="31"/>
      <c r="AA571" s="31"/>
      <c r="AB571" s="387"/>
      <c r="AC571" s="387"/>
      <c r="AD571" s="637"/>
    </row>
    <row r="573" spans="1:30">
      <c r="A573" s="31"/>
      <c r="B573" s="30"/>
      <c r="C573" s="31"/>
      <c r="D573" s="143"/>
      <c r="E573" s="31"/>
      <c r="F573" s="144"/>
      <c r="G573" s="144"/>
      <c r="H573" s="144"/>
      <c r="I573" s="145"/>
      <c r="J573" s="145"/>
      <c r="K573" s="145"/>
      <c r="L573" s="145"/>
      <c r="M573" s="145"/>
      <c r="N573" s="145"/>
      <c r="O573" s="145"/>
      <c r="P573" s="145"/>
      <c r="Q573" s="145"/>
      <c r="R573" s="145"/>
      <c r="S573" s="145"/>
      <c r="T573" s="145"/>
      <c r="U573" s="145"/>
      <c r="V573" s="31"/>
      <c r="W573" s="146"/>
      <c r="X573" s="146"/>
      <c r="Z573" s="31"/>
      <c r="AA573" s="31"/>
      <c r="AB573" s="387"/>
      <c r="AC573" s="387"/>
      <c r="AD573" s="637"/>
    </row>
    <row r="575" spans="1:30">
      <c r="A575" s="31"/>
      <c r="B575" s="30"/>
      <c r="C575" s="31"/>
      <c r="D575" s="143"/>
      <c r="E575" s="31"/>
      <c r="F575" s="144"/>
      <c r="G575" s="144"/>
      <c r="H575" s="144"/>
      <c r="I575" s="145"/>
      <c r="J575" s="145"/>
      <c r="K575" s="145"/>
      <c r="L575" s="145"/>
      <c r="M575" s="145"/>
      <c r="N575" s="145"/>
      <c r="O575" s="145"/>
      <c r="P575" s="145"/>
      <c r="Q575" s="145"/>
      <c r="R575" s="145"/>
      <c r="S575" s="145"/>
      <c r="T575" s="145"/>
      <c r="U575" s="145"/>
      <c r="V575" s="31"/>
      <c r="W575" s="146"/>
      <c r="X575" s="146"/>
      <c r="Z575" s="31"/>
      <c r="AA575" s="31"/>
      <c r="AB575" s="387"/>
      <c r="AC575" s="387"/>
      <c r="AD575" s="637"/>
    </row>
    <row r="577" spans="1:30">
      <c r="A577" s="31"/>
      <c r="B577" s="30"/>
      <c r="C577" s="31"/>
      <c r="D577" s="143"/>
      <c r="E577" s="31"/>
      <c r="F577" s="144"/>
      <c r="G577" s="144"/>
      <c r="H577" s="144"/>
      <c r="I577" s="145"/>
      <c r="J577" s="145"/>
      <c r="K577" s="145"/>
      <c r="L577" s="145"/>
      <c r="M577" s="145"/>
      <c r="N577" s="145"/>
      <c r="O577" s="145"/>
      <c r="P577" s="145"/>
      <c r="Q577" s="145"/>
      <c r="R577" s="145"/>
      <c r="S577" s="145"/>
      <c r="T577" s="145"/>
      <c r="U577" s="145"/>
      <c r="V577" s="31"/>
      <c r="W577" s="146"/>
      <c r="X577" s="146"/>
      <c r="Z577" s="31"/>
      <c r="AA577" s="31"/>
      <c r="AB577" s="387"/>
      <c r="AC577" s="387"/>
      <c r="AD577" s="637"/>
    </row>
    <row r="579" spans="1:30">
      <c r="A579" s="31"/>
      <c r="B579" s="30"/>
      <c r="C579" s="31"/>
      <c r="D579" s="143"/>
      <c r="E579" s="31"/>
      <c r="F579" s="144"/>
      <c r="G579" s="144"/>
      <c r="H579" s="144"/>
      <c r="I579" s="145"/>
      <c r="J579" s="145"/>
      <c r="K579" s="145"/>
      <c r="L579" s="145"/>
      <c r="M579" s="145"/>
      <c r="N579" s="145"/>
      <c r="O579" s="145"/>
      <c r="P579" s="145"/>
      <c r="Q579" s="145"/>
      <c r="R579" s="145"/>
      <c r="S579" s="145"/>
      <c r="T579" s="145"/>
      <c r="U579" s="145"/>
      <c r="V579" s="31"/>
      <c r="W579" s="146"/>
      <c r="X579" s="146"/>
      <c r="Z579" s="31"/>
      <c r="AA579" s="31"/>
      <c r="AB579" s="387"/>
      <c r="AC579" s="387"/>
      <c r="AD579" s="637"/>
    </row>
    <row r="581" spans="1:30">
      <c r="A581" s="31"/>
      <c r="B581" s="30"/>
      <c r="C581" s="31"/>
      <c r="D581" s="143"/>
      <c r="E581" s="31"/>
      <c r="F581" s="144"/>
      <c r="G581" s="144"/>
      <c r="H581" s="144"/>
      <c r="I581" s="145"/>
      <c r="J581" s="145"/>
      <c r="K581" s="145"/>
      <c r="L581" s="145"/>
      <c r="M581" s="145"/>
      <c r="N581" s="145"/>
      <c r="O581" s="145"/>
      <c r="P581" s="145"/>
      <c r="Q581" s="145"/>
      <c r="R581" s="145"/>
      <c r="S581" s="145"/>
      <c r="T581" s="145"/>
      <c r="U581" s="145"/>
      <c r="V581" s="31"/>
      <c r="W581" s="146"/>
      <c r="X581" s="146"/>
      <c r="Z581" s="31"/>
      <c r="AA581" s="31"/>
      <c r="AB581" s="387"/>
      <c r="AC581" s="387"/>
      <c r="AD581" s="637"/>
    </row>
    <row r="583" spans="1:30">
      <c r="A583" s="31"/>
      <c r="B583" s="30"/>
      <c r="C583" s="31"/>
      <c r="D583" s="143"/>
      <c r="E583" s="31"/>
      <c r="F583" s="144"/>
      <c r="G583" s="144"/>
      <c r="H583" s="144"/>
      <c r="I583" s="145"/>
      <c r="J583" s="145"/>
      <c r="K583" s="145"/>
      <c r="L583" s="145"/>
      <c r="M583" s="145"/>
      <c r="N583" s="145"/>
      <c r="O583" s="145"/>
      <c r="P583" s="145"/>
      <c r="Q583" s="145"/>
      <c r="R583" s="145"/>
      <c r="S583" s="145"/>
      <c r="T583" s="145"/>
      <c r="U583" s="145"/>
      <c r="V583" s="31"/>
      <c r="W583" s="146"/>
      <c r="X583" s="146"/>
      <c r="Z583" s="31"/>
      <c r="AA583" s="31"/>
      <c r="AB583" s="387"/>
      <c r="AC583" s="387"/>
      <c r="AD583" s="637"/>
    </row>
    <row r="585" spans="1:30">
      <c r="A585" s="31"/>
      <c r="B585" s="30"/>
      <c r="C585" s="31"/>
      <c r="D585" s="143"/>
      <c r="E585" s="31"/>
      <c r="F585" s="144"/>
      <c r="G585" s="144"/>
      <c r="H585" s="144"/>
      <c r="I585" s="145"/>
      <c r="J585" s="145"/>
      <c r="K585" s="145"/>
      <c r="L585" s="145"/>
      <c r="M585" s="145"/>
      <c r="N585" s="145"/>
      <c r="O585" s="145"/>
      <c r="P585" s="145"/>
      <c r="Q585" s="145"/>
      <c r="R585" s="145"/>
      <c r="S585" s="145"/>
      <c r="T585" s="145"/>
      <c r="U585" s="145"/>
      <c r="V585" s="31"/>
      <c r="W585" s="146"/>
      <c r="X585" s="146"/>
      <c r="Z585" s="31"/>
      <c r="AA585" s="31"/>
      <c r="AB585" s="387"/>
      <c r="AC585" s="387"/>
      <c r="AD585" s="637"/>
    </row>
    <row r="587" spans="1:30">
      <c r="A587" s="31"/>
      <c r="B587" s="30"/>
      <c r="C587" s="31"/>
      <c r="D587" s="143"/>
      <c r="E587" s="31"/>
      <c r="F587" s="144"/>
      <c r="G587" s="144"/>
      <c r="H587" s="144"/>
      <c r="I587" s="145"/>
      <c r="J587" s="145"/>
      <c r="K587" s="145"/>
      <c r="L587" s="145"/>
      <c r="M587" s="145"/>
      <c r="N587" s="145"/>
      <c r="O587" s="145"/>
      <c r="P587" s="145"/>
      <c r="Q587" s="145"/>
      <c r="R587" s="145"/>
      <c r="S587" s="145"/>
      <c r="T587" s="145"/>
      <c r="U587" s="145"/>
      <c r="V587" s="31"/>
      <c r="W587" s="146"/>
      <c r="X587" s="146"/>
      <c r="Z587" s="31"/>
      <c r="AA587" s="31"/>
      <c r="AB587" s="387"/>
      <c r="AC587" s="387"/>
      <c r="AD587" s="637"/>
    </row>
    <row r="589" spans="1:30">
      <c r="A589" s="31"/>
      <c r="B589" s="30"/>
      <c r="C589" s="31"/>
      <c r="D589" s="143"/>
      <c r="E589" s="31"/>
      <c r="F589" s="144"/>
      <c r="G589" s="144"/>
      <c r="H589" s="144"/>
      <c r="I589" s="145"/>
      <c r="J589" s="145"/>
      <c r="K589" s="145"/>
      <c r="L589" s="145"/>
      <c r="M589" s="145"/>
      <c r="N589" s="145"/>
      <c r="O589" s="145"/>
      <c r="P589" s="145"/>
      <c r="Q589" s="145"/>
      <c r="R589" s="145"/>
      <c r="S589" s="145"/>
      <c r="T589" s="145"/>
      <c r="U589" s="145"/>
      <c r="V589" s="31"/>
      <c r="W589" s="146"/>
      <c r="X589" s="146"/>
      <c r="Z589" s="31"/>
      <c r="AA589" s="31"/>
      <c r="AB589" s="387"/>
      <c r="AC589" s="387"/>
      <c r="AD589" s="637"/>
    </row>
    <row r="591" spans="1:30">
      <c r="A591" s="31"/>
      <c r="B591" s="30"/>
      <c r="C591" s="31"/>
      <c r="D591" s="143"/>
      <c r="E591" s="31"/>
      <c r="F591" s="144"/>
      <c r="G591" s="144"/>
      <c r="H591" s="144"/>
      <c r="I591" s="145"/>
      <c r="J591" s="145"/>
      <c r="K591" s="145"/>
      <c r="L591" s="145"/>
      <c r="M591" s="145"/>
      <c r="N591" s="145"/>
      <c r="O591" s="145"/>
      <c r="P591" s="145"/>
      <c r="Q591" s="145"/>
      <c r="R591" s="145"/>
      <c r="S591" s="145"/>
      <c r="T591" s="145"/>
      <c r="U591" s="145"/>
      <c r="V591" s="31"/>
      <c r="W591" s="146"/>
      <c r="X591" s="146"/>
      <c r="Z591" s="31"/>
      <c r="AA591" s="31"/>
      <c r="AB591" s="387"/>
      <c r="AC591" s="387"/>
      <c r="AD591" s="637"/>
    </row>
    <row r="593" spans="1:30">
      <c r="A593" s="31"/>
      <c r="B593" s="30"/>
      <c r="C593" s="31"/>
      <c r="D593" s="143"/>
      <c r="E593" s="31"/>
      <c r="F593" s="144"/>
      <c r="G593" s="144"/>
      <c r="H593" s="144"/>
      <c r="I593" s="145"/>
      <c r="J593" s="145"/>
      <c r="K593" s="145"/>
      <c r="L593" s="145"/>
      <c r="M593" s="145"/>
      <c r="N593" s="145"/>
      <c r="O593" s="145"/>
      <c r="P593" s="145"/>
      <c r="Q593" s="145"/>
      <c r="R593" s="145"/>
      <c r="S593" s="145"/>
      <c r="T593" s="145"/>
      <c r="U593" s="145"/>
      <c r="V593" s="31"/>
      <c r="W593" s="146"/>
      <c r="X593" s="146"/>
      <c r="Z593" s="31"/>
      <c r="AA593" s="31"/>
      <c r="AB593" s="387"/>
      <c r="AC593" s="387"/>
      <c r="AD593" s="637"/>
    </row>
    <row r="595" spans="1:30">
      <c r="A595" s="31"/>
      <c r="B595" s="30"/>
      <c r="C595" s="31"/>
      <c r="D595" s="143"/>
      <c r="E595" s="31"/>
      <c r="F595" s="144"/>
      <c r="G595" s="144"/>
      <c r="H595" s="144"/>
      <c r="I595" s="145"/>
      <c r="J595" s="145"/>
      <c r="K595" s="145"/>
      <c r="L595" s="145"/>
      <c r="M595" s="145"/>
      <c r="N595" s="145"/>
      <c r="O595" s="145"/>
      <c r="P595" s="145"/>
      <c r="Q595" s="145"/>
      <c r="R595" s="145"/>
      <c r="S595" s="145"/>
      <c r="T595" s="145"/>
      <c r="U595" s="145"/>
      <c r="V595" s="31"/>
      <c r="W595" s="146"/>
      <c r="X595" s="146"/>
      <c r="Z595" s="31"/>
      <c r="AA595" s="31"/>
      <c r="AB595" s="387"/>
      <c r="AC595" s="387"/>
      <c r="AD595" s="637"/>
    </row>
    <row r="597" spans="1:30">
      <c r="A597" s="31"/>
      <c r="B597" s="30"/>
      <c r="C597" s="31"/>
      <c r="D597" s="143"/>
      <c r="E597" s="31"/>
      <c r="F597" s="144"/>
      <c r="G597" s="144"/>
      <c r="H597" s="144"/>
      <c r="I597" s="145"/>
      <c r="J597" s="145"/>
      <c r="K597" s="145"/>
      <c r="L597" s="145"/>
      <c r="M597" s="145"/>
      <c r="N597" s="145"/>
      <c r="O597" s="145"/>
      <c r="P597" s="145"/>
      <c r="Q597" s="145"/>
      <c r="R597" s="145"/>
      <c r="S597" s="145"/>
      <c r="T597" s="145"/>
      <c r="U597" s="145"/>
      <c r="V597" s="31"/>
      <c r="W597" s="146"/>
      <c r="X597" s="146"/>
      <c r="Z597" s="31"/>
      <c r="AA597" s="31"/>
      <c r="AB597" s="387"/>
      <c r="AC597" s="387"/>
      <c r="AD597" s="637"/>
    </row>
    <row r="599" spans="1:30">
      <c r="A599" s="31"/>
      <c r="B599" s="30"/>
      <c r="C599" s="31"/>
      <c r="D599" s="143"/>
      <c r="E599" s="31"/>
      <c r="F599" s="144"/>
      <c r="G599" s="144"/>
      <c r="H599" s="144"/>
      <c r="I599" s="145"/>
      <c r="J599" s="145"/>
      <c r="K599" s="145"/>
      <c r="L599" s="145"/>
      <c r="M599" s="145"/>
      <c r="N599" s="145"/>
      <c r="O599" s="145"/>
      <c r="P599" s="145"/>
      <c r="Q599" s="145"/>
      <c r="R599" s="145"/>
      <c r="S599" s="145"/>
      <c r="T599" s="145"/>
      <c r="U599" s="145"/>
      <c r="V599" s="31"/>
      <c r="W599" s="146"/>
      <c r="X599" s="146"/>
      <c r="Z599" s="31"/>
      <c r="AA599" s="31"/>
      <c r="AB599" s="387"/>
      <c r="AC599" s="387"/>
      <c r="AD599" s="637"/>
    </row>
    <row r="601" spans="1:30">
      <c r="A601" s="31"/>
      <c r="B601" s="30"/>
      <c r="C601" s="31"/>
      <c r="D601" s="143"/>
      <c r="E601" s="31"/>
      <c r="F601" s="144"/>
      <c r="G601" s="144"/>
      <c r="H601" s="144"/>
      <c r="I601" s="145"/>
      <c r="J601" s="145"/>
      <c r="K601" s="145"/>
      <c r="L601" s="145"/>
      <c r="M601" s="145"/>
      <c r="N601" s="145"/>
      <c r="O601" s="145"/>
      <c r="P601" s="145"/>
      <c r="Q601" s="145"/>
      <c r="R601" s="145"/>
      <c r="S601" s="145"/>
      <c r="T601" s="145"/>
      <c r="U601" s="145"/>
      <c r="V601" s="31"/>
      <c r="W601" s="146"/>
      <c r="X601" s="146"/>
      <c r="Z601" s="31"/>
      <c r="AA601" s="31"/>
      <c r="AB601" s="387"/>
      <c r="AC601" s="387"/>
      <c r="AD601" s="637"/>
    </row>
    <row r="603" spans="1:30">
      <c r="A603" s="31"/>
      <c r="B603" s="30"/>
      <c r="C603" s="31"/>
      <c r="D603" s="143"/>
      <c r="E603" s="31"/>
      <c r="F603" s="144"/>
      <c r="G603" s="144"/>
      <c r="H603" s="144"/>
      <c r="I603" s="145"/>
      <c r="J603" s="145"/>
      <c r="K603" s="145"/>
      <c r="L603" s="145"/>
      <c r="M603" s="145"/>
      <c r="N603" s="145"/>
      <c r="O603" s="145"/>
      <c r="P603" s="145"/>
      <c r="Q603" s="145"/>
      <c r="R603" s="145"/>
      <c r="S603" s="145"/>
      <c r="T603" s="145"/>
      <c r="U603" s="145"/>
      <c r="V603" s="31"/>
      <c r="W603" s="146"/>
      <c r="X603" s="146"/>
      <c r="Z603" s="31"/>
      <c r="AA603" s="31"/>
      <c r="AB603" s="387"/>
      <c r="AC603" s="387"/>
      <c r="AD603" s="637"/>
    </row>
    <row r="605" spans="1:30">
      <c r="A605" s="31"/>
      <c r="B605" s="30"/>
      <c r="C605" s="31"/>
      <c r="D605" s="143"/>
      <c r="E605" s="31"/>
      <c r="F605" s="144"/>
      <c r="G605" s="144"/>
      <c r="H605" s="144"/>
      <c r="I605" s="145"/>
      <c r="J605" s="145"/>
      <c r="K605" s="145"/>
      <c r="L605" s="145"/>
      <c r="M605" s="145"/>
      <c r="N605" s="145"/>
      <c r="O605" s="145"/>
      <c r="P605" s="145"/>
      <c r="Q605" s="145"/>
      <c r="R605" s="145"/>
      <c r="S605" s="145"/>
      <c r="T605" s="145"/>
      <c r="U605" s="145"/>
      <c r="V605" s="31"/>
      <c r="W605" s="146"/>
      <c r="X605" s="146"/>
      <c r="Z605" s="31"/>
      <c r="AA605" s="31"/>
      <c r="AB605" s="387"/>
      <c r="AC605" s="387"/>
      <c r="AD605" s="637"/>
    </row>
    <row r="607" spans="1:30">
      <c r="A607" s="31"/>
      <c r="B607" s="30"/>
      <c r="C607" s="31"/>
      <c r="D607" s="143"/>
      <c r="E607" s="31"/>
      <c r="F607" s="144"/>
      <c r="G607" s="144"/>
      <c r="H607" s="144"/>
      <c r="I607" s="145"/>
      <c r="J607" s="145"/>
      <c r="K607" s="145"/>
      <c r="L607" s="145"/>
      <c r="M607" s="145"/>
      <c r="N607" s="145"/>
      <c r="O607" s="145"/>
      <c r="P607" s="145"/>
      <c r="Q607" s="145"/>
      <c r="R607" s="145"/>
      <c r="S607" s="145"/>
      <c r="T607" s="145"/>
      <c r="U607" s="145"/>
      <c r="V607" s="31"/>
      <c r="W607" s="146"/>
      <c r="X607" s="146"/>
      <c r="Z607" s="31"/>
      <c r="AA607" s="31"/>
      <c r="AB607" s="387"/>
      <c r="AC607" s="387"/>
      <c r="AD607" s="637"/>
    </row>
    <row r="609" spans="1:30">
      <c r="A609" s="31"/>
      <c r="B609" s="30"/>
      <c r="C609" s="31"/>
      <c r="D609" s="143"/>
      <c r="E609" s="31"/>
      <c r="F609" s="144"/>
      <c r="G609" s="144"/>
      <c r="H609" s="144"/>
      <c r="I609" s="145"/>
      <c r="J609" s="145"/>
      <c r="K609" s="145"/>
      <c r="L609" s="145"/>
      <c r="M609" s="145"/>
      <c r="N609" s="145"/>
      <c r="O609" s="145"/>
      <c r="P609" s="145"/>
      <c r="Q609" s="145"/>
      <c r="R609" s="145"/>
      <c r="S609" s="145"/>
      <c r="T609" s="145"/>
      <c r="U609" s="145"/>
      <c r="V609" s="31"/>
      <c r="W609" s="146"/>
      <c r="X609" s="146"/>
      <c r="Z609" s="31"/>
      <c r="AA609" s="31"/>
      <c r="AB609" s="387"/>
      <c r="AC609" s="387"/>
      <c r="AD609" s="637"/>
    </row>
    <row r="611" spans="1:30">
      <c r="A611" s="31"/>
      <c r="B611" s="30"/>
      <c r="C611" s="31"/>
      <c r="D611" s="143"/>
      <c r="E611" s="31"/>
      <c r="F611" s="144"/>
      <c r="G611" s="144"/>
      <c r="H611" s="144"/>
      <c r="I611" s="145"/>
      <c r="J611" s="145"/>
      <c r="K611" s="145"/>
      <c r="L611" s="145"/>
      <c r="M611" s="145"/>
      <c r="N611" s="145"/>
      <c r="O611" s="145"/>
      <c r="P611" s="145"/>
      <c r="Q611" s="145"/>
      <c r="R611" s="145"/>
      <c r="S611" s="145"/>
      <c r="T611" s="145"/>
      <c r="U611" s="145"/>
      <c r="V611" s="31"/>
      <c r="W611" s="146"/>
      <c r="X611" s="146"/>
      <c r="Z611" s="31"/>
      <c r="AA611" s="31"/>
      <c r="AB611" s="387"/>
      <c r="AC611" s="387"/>
      <c r="AD611" s="637"/>
    </row>
    <row r="613" spans="1:30">
      <c r="A613" s="31"/>
      <c r="B613" s="30"/>
      <c r="C613" s="31"/>
      <c r="D613" s="143"/>
      <c r="E613" s="31"/>
      <c r="F613" s="144"/>
      <c r="G613" s="144"/>
      <c r="H613" s="144"/>
      <c r="I613" s="145"/>
      <c r="J613" s="145"/>
      <c r="K613" s="145"/>
      <c r="L613" s="145"/>
      <c r="M613" s="145"/>
      <c r="N613" s="145"/>
      <c r="O613" s="145"/>
      <c r="P613" s="145"/>
      <c r="Q613" s="145"/>
      <c r="R613" s="145"/>
      <c r="S613" s="145"/>
      <c r="T613" s="145"/>
      <c r="U613" s="145"/>
      <c r="V613" s="31"/>
      <c r="W613" s="146"/>
      <c r="X613" s="146"/>
      <c r="Z613" s="31"/>
      <c r="AA613" s="31"/>
      <c r="AB613" s="387"/>
      <c r="AC613" s="387"/>
      <c r="AD613" s="637"/>
    </row>
    <row r="615" spans="1:30">
      <c r="A615" s="31"/>
      <c r="B615" s="30"/>
      <c r="C615" s="31"/>
      <c r="D615" s="143"/>
      <c r="E615" s="31"/>
      <c r="F615" s="144"/>
      <c r="G615" s="144"/>
      <c r="H615" s="144"/>
      <c r="I615" s="145"/>
      <c r="J615" s="145"/>
      <c r="K615" s="145"/>
      <c r="L615" s="145"/>
      <c r="M615" s="145"/>
      <c r="N615" s="145"/>
      <c r="O615" s="145"/>
      <c r="P615" s="145"/>
      <c r="Q615" s="145"/>
      <c r="R615" s="145"/>
      <c r="S615" s="145"/>
      <c r="T615" s="145"/>
      <c r="U615" s="145"/>
      <c r="V615" s="31"/>
      <c r="W615" s="146"/>
      <c r="X615" s="146"/>
      <c r="Z615" s="31"/>
      <c r="AA615" s="31"/>
      <c r="AB615" s="387"/>
      <c r="AC615" s="387"/>
      <c r="AD615" s="637"/>
    </row>
    <row r="617" spans="1:30">
      <c r="A617" s="31"/>
      <c r="B617" s="30"/>
      <c r="C617" s="31"/>
      <c r="D617" s="143"/>
      <c r="E617" s="31"/>
      <c r="F617" s="144"/>
      <c r="G617" s="144"/>
      <c r="H617" s="144"/>
      <c r="I617" s="145"/>
      <c r="J617" s="145"/>
      <c r="K617" s="145"/>
      <c r="L617" s="145"/>
      <c r="M617" s="145"/>
      <c r="N617" s="145"/>
      <c r="O617" s="145"/>
      <c r="P617" s="145"/>
      <c r="Q617" s="145"/>
      <c r="R617" s="145"/>
      <c r="S617" s="145"/>
      <c r="T617" s="145"/>
      <c r="U617" s="145"/>
      <c r="V617" s="31"/>
      <c r="W617" s="146"/>
      <c r="X617" s="146"/>
      <c r="Z617" s="31"/>
      <c r="AA617" s="31"/>
      <c r="AB617" s="387"/>
      <c r="AC617" s="387"/>
      <c r="AD617" s="637"/>
    </row>
    <row r="619" spans="1:30">
      <c r="A619" s="31"/>
      <c r="B619" s="30"/>
      <c r="C619" s="31"/>
      <c r="D619" s="143"/>
      <c r="E619" s="31"/>
      <c r="F619" s="144"/>
      <c r="G619" s="144"/>
      <c r="H619" s="144"/>
      <c r="I619" s="145"/>
      <c r="J619" s="145"/>
      <c r="K619" s="145"/>
      <c r="L619" s="145"/>
      <c r="M619" s="145"/>
      <c r="N619" s="145"/>
      <c r="O619" s="145"/>
      <c r="P619" s="145"/>
      <c r="Q619" s="145"/>
      <c r="R619" s="145"/>
      <c r="S619" s="145"/>
      <c r="T619" s="145"/>
      <c r="U619" s="145"/>
      <c r="V619" s="31"/>
      <c r="W619" s="146"/>
      <c r="X619" s="146"/>
      <c r="Z619" s="31"/>
      <c r="AA619" s="31"/>
      <c r="AB619" s="387"/>
      <c r="AC619" s="387"/>
      <c r="AD619" s="637"/>
    </row>
    <row r="621" spans="1:30">
      <c r="A621" s="31"/>
      <c r="B621" s="30"/>
      <c r="C621" s="31"/>
      <c r="D621" s="143"/>
      <c r="E621" s="31"/>
      <c r="F621" s="144"/>
      <c r="G621" s="144"/>
      <c r="H621" s="144"/>
      <c r="I621" s="145"/>
      <c r="J621" s="145"/>
      <c r="K621" s="145"/>
      <c r="L621" s="145"/>
      <c r="M621" s="145"/>
      <c r="N621" s="145"/>
      <c r="O621" s="145"/>
      <c r="P621" s="145"/>
      <c r="Q621" s="145"/>
      <c r="R621" s="145"/>
      <c r="S621" s="145"/>
      <c r="T621" s="145"/>
      <c r="U621" s="145"/>
      <c r="V621" s="31"/>
      <c r="W621" s="146"/>
      <c r="X621" s="146"/>
      <c r="Z621" s="31"/>
      <c r="AA621" s="31"/>
      <c r="AB621" s="387"/>
      <c r="AC621" s="387"/>
      <c r="AD621" s="637"/>
    </row>
    <row r="623" spans="1:30">
      <c r="A623" s="31"/>
      <c r="B623" s="30"/>
      <c r="C623" s="31"/>
      <c r="D623" s="143"/>
      <c r="E623" s="31"/>
      <c r="F623" s="144"/>
      <c r="G623" s="144"/>
      <c r="H623" s="144"/>
      <c r="I623" s="145"/>
      <c r="J623" s="145"/>
      <c r="K623" s="145"/>
      <c r="L623" s="145"/>
      <c r="M623" s="145"/>
      <c r="N623" s="145"/>
      <c r="O623" s="145"/>
      <c r="P623" s="145"/>
      <c r="Q623" s="145"/>
      <c r="R623" s="145"/>
      <c r="S623" s="145"/>
      <c r="T623" s="145"/>
      <c r="U623" s="145"/>
      <c r="V623" s="31"/>
      <c r="W623" s="146"/>
      <c r="X623" s="146"/>
      <c r="Z623" s="31"/>
      <c r="AA623" s="31"/>
      <c r="AB623" s="387"/>
      <c r="AC623" s="387"/>
      <c r="AD623" s="637"/>
    </row>
    <row r="625" spans="1:30">
      <c r="A625" s="31"/>
      <c r="B625" s="30"/>
      <c r="C625" s="31"/>
      <c r="D625" s="143"/>
      <c r="E625" s="31"/>
      <c r="F625" s="144"/>
      <c r="G625" s="144"/>
      <c r="H625" s="144"/>
      <c r="I625" s="145"/>
      <c r="J625" s="145"/>
      <c r="K625" s="145"/>
      <c r="L625" s="145"/>
      <c r="M625" s="145"/>
      <c r="N625" s="145"/>
      <c r="O625" s="145"/>
      <c r="P625" s="145"/>
      <c r="Q625" s="145"/>
      <c r="R625" s="145"/>
      <c r="S625" s="145"/>
      <c r="T625" s="145"/>
      <c r="U625" s="145"/>
      <c r="V625" s="31"/>
      <c r="W625" s="146"/>
      <c r="X625" s="146"/>
      <c r="Z625" s="31"/>
      <c r="AA625" s="31"/>
      <c r="AB625" s="387"/>
      <c r="AC625" s="387"/>
      <c r="AD625" s="637"/>
    </row>
    <row r="627" spans="1:30">
      <c r="A627" s="31"/>
      <c r="B627" s="30"/>
      <c r="C627" s="31"/>
      <c r="D627" s="143"/>
      <c r="E627" s="31"/>
      <c r="F627" s="144"/>
      <c r="G627" s="144"/>
      <c r="H627" s="144"/>
      <c r="I627" s="145"/>
      <c r="J627" s="145"/>
      <c r="K627" s="145"/>
      <c r="L627" s="145"/>
      <c r="M627" s="145"/>
      <c r="N627" s="145"/>
      <c r="O627" s="145"/>
      <c r="P627" s="145"/>
      <c r="Q627" s="145"/>
      <c r="R627" s="145"/>
      <c r="S627" s="145"/>
      <c r="T627" s="145"/>
      <c r="U627" s="145"/>
      <c r="V627" s="31"/>
      <c r="W627" s="146"/>
      <c r="X627" s="146"/>
      <c r="Z627" s="31"/>
      <c r="AA627" s="31"/>
      <c r="AB627" s="387"/>
      <c r="AC627" s="387"/>
      <c r="AD627" s="637"/>
    </row>
    <row r="629" spans="1:30">
      <c r="A629" s="31"/>
      <c r="B629" s="30"/>
      <c r="C629" s="31"/>
      <c r="D629" s="143"/>
      <c r="E629" s="31"/>
      <c r="F629" s="144"/>
      <c r="G629" s="144"/>
      <c r="H629" s="144"/>
      <c r="I629" s="145"/>
      <c r="J629" s="145"/>
      <c r="K629" s="145"/>
      <c r="L629" s="145"/>
      <c r="M629" s="145"/>
      <c r="N629" s="145"/>
      <c r="O629" s="145"/>
      <c r="P629" s="145"/>
      <c r="Q629" s="145"/>
      <c r="R629" s="145"/>
      <c r="S629" s="145"/>
      <c r="T629" s="145"/>
      <c r="U629" s="145"/>
      <c r="V629" s="31"/>
      <c r="W629" s="146"/>
      <c r="X629" s="146"/>
      <c r="Z629" s="31"/>
      <c r="AA629" s="31"/>
      <c r="AB629" s="387"/>
      <c r="AC629" s="387"/>
      <c r="AD629" s="637"/>
    </row>
    <row r="631" spans="1:30">
      <c r="A631" s="31"/>
      <c r="B631" s="30"/>
      <c r="C631" s="31"/>
      <c r="D631" s="143"/>
      <c r="E631" s="31"/>
      <c r="F631" s="144"/>
      <c r="G631" s="144"/>
      <c r="H631" s="144"/>
      <c r="I631" s="145"/>
      <c r="J631" s="145"/>
      <c r="K631" s="145"/>
      <c r="L631" s="145"/>
      <c r="M631" s="145"/>
      <c r="N631" s="145"/>
      <c r="O631" s="145"/>
      <c r="P631" s="145"/>
      <c r="Q631" s="145"/>
      <c r="R631" s="145"/>
      <c r="S631" s="145"/>
      <c r="T631" s="145"/>
      <c r="U631" s="145"/>
      <c r="V631" s="31"/>
      <c r="W631" s="146"/>
      <c r="X631" s="146"/>
      <c r="Z631" s="31"/>
      <c r="AA631" s="31"/>
      <c r="AB631" s="387"/>
      <c r="AC631" s="387"/>
      <c r="AD631" s="637"/>
    </row>
    <row r="633" spans="1:30">
      <c r="A633" s="31"/>
      <c r="B633" s="30"/>
      <c r="C633" s="31"/>
      <c r="D633" s="143"/>
      <c r="E633" s="31"/>
      <c r="F633" s="144"/>
      <c r="G633" s="144"/>
      <c r="H633" s="144"/>
      <c r="I633" s="145"/>
      <c r="J633" s="145"/>
      <c r="K633" s="145"/>
      <c r="L633" s="145"/>
      <c r="M633" s="145"/>
      <c r="N633" s="145"/>
      <c r="O633" s="145"/>
      <c r="P633" s="145"/>
      <c r="Q633" s="145"/>
      <c r="R633" s="145"/>
      <c r="S633" s="145"/>
      <c r="T633" s="145"/>
      <c r="U633" s="145"/>
      <c r="V633" s="31"/>
      <c r="W633" s="146"/>
      <c r="X633" s="146"/>
      <c r="Z633" s="31"/>
      <c r="AA633" s="31"/>
      <c r="AB633" s="387"/>
      <c r="AC633" s="387"/>
      <c r="AD633" s="637"/>
    </row>
    <row r="635" spans="1:30">
      <c r="A635" s="31"/>
      <c r="B635" s="30"/>
      <c r="C635" s="31"/>
      <c r="D635" s="143"/>
      <c r="E635" s="31"/>
      <c r="F635" s="144"/>
      <c r="G635" s="144"/>
      <c r="H635" s="144"/>
      <c r="I635" s="145"/>
      <c r="J635" s="145"/>
      <c r="K635" s="145"/>
      <c r="L635" s="145"/>
      <c r="M635" s="145"/>
      <c r="N635" s="145"/>
      <c r="O635" s="145"/>
      <c r="P635" s="145"/>
      <c r="Q635" s="145"/>
      <c r="R635" s="145"/>
      <c r="S635" s="145"/>
      <c r="T635" s="145"/>
      <c r="U635" s="145"/>
      <c r="V635" s="31"/>
      <c r="W635" s="146"/>
      <c r="X635" s="146"/>
      <c r="Z635" s="31"/>
      <c r="AA635" s="31"/>
      <c r="AB635" s="387"/>
      <c r="AC635" s="387"/>
      <c r="AD635" s="637"/>
    </row>
    <row r="637" spans="1:30">
      <c r="A637" s="31"/>
      <c r="B637" s="30"/>
      <c r="C637" s="31"/>
      <c r="D637" s="143"/>
      <c r="E637" s="31"/>
      <c r="F637" s="144"/>
      <c r="G637" s="144"/>
      <c r="H637" s="144"/>
      <c r="I637" s="145"/>
      <c r="J637" s="145"/>
      <c r="K637" s="145"/>
      <c r="L637" s="145"/>
      <c r="M637" s="145"/>
      <c r="N637" s="145"/>
      <c r="O637" s="145"/>
      <c r="P637" s="145"/>
      <c r="Q637" s="145"/>
      <c r="R637" s="145"/>
      <c r="S637" s="145"/>
      <c r="T637" s="145"/>
      <c r="U637" s="145"/>
      <c r="V637" s="31"/>
      <c r="W637" s="146"/>
      <c r="X637" s="146"/>
      <c r="Z637" s="31"/>
      <c r="AA637" s="31"/>
      <c r="AB637" s="387"/>
      <c r="AC637" s="387"/>
      <c r="AD637" s="637"/>
    </row>
    <row r="639" spans="1:30">
      <c r="A639" s="31"/>
      <c r="B639" s="30"/>
      <c r="C639" s="31"/>
      <c r="D639" s="143"/>
      <c r="E639" s="31"/>
      <c r="F639" s="144"/>
      <c r="G639" s="144"/>
      <c r="H639" s="144"/>
      <c r="I639" s="145"/>
      <c r="J639" s="145"/>
      <c r="K639" s="145"/>
      <c r="L639" s="145"/>
      <c r="M639" s="145"/>
      <c r="N639" s="145"/>
      <c r="O639" s="145"/>
      <c r="P639" s="145"/>
      <c r="Q639" s="145"/>
      <c r="R639" s="145"/>
      <c r="S639" s="145"/>
      <c r="T639" s="145"/>
      <c r="U639" s="145"/>
      <c r="V639" s="31"/>
      <c r="W639" s="146"/>
      <c r="X639" s="146"/>
      <c r="Z639" s="31"/>
      <c r="AA639" s="31"/>
      <c r="AB639" s="387"/>
      <c r="AC639" s="387"/>
      <c r="AD639" s="637"/>
    </row>
    <row r="641" spans="1:30">
      <c r="A641" s="31"/>
      <c r="B641" s="30"/>
      <c r="C641" s="31"/>
      <c r="D641" s="143"/>
      <c r="E641" s="31"/>
      <c r="F641" s="144"/>
      <c r="G641" s="144"/>
      <c r="H641" s="144"/>
      <c r="I641" s="145"/>
      <c r="J641" s="145"/>
      <c r="K641" s="145"/>
      <c r="L641" s="145"/>
      <c r="M641" s="145"/>
      <c r="N641" s="145"/>
      <c r="O641" s="145"/>
      <c r="P641" s="145"/>
      <c r="Q641" s="145"/>
      <c r="R641" s="145"/>
      <c r="S641" s="145"/>
      <c r="T641" s="145"/>
      <c r="U641" s="145"/>
      <c r="V641" s="31"/>
      <c r="W641" s="146"/>
      <c r="X641" s="146"/>
      <c r="Z641" s="31"/>
      <c r="AA641" s="31"/>
      <c r="AB641" s="387"/>
      <c r="AC641" s="387"/>
      <c r="AD641" s="637"/>
    </row>
    <row r="643" spans="1:30">
      <c r="A643" s="31"/>
      <c r="B643" s="30"/>
      <c r="C643" s="31"/>
      <c r="D643" s="143"/>
      <c r="E643" s="31"/>
      <c r="F643" s="144"/>
      <c r="G643" s="144"/>
      <c r="H643" s="144"/>
      <c r="I643" s="145"/>
      <c r="J643" s="145"/>
      <c r="K643" s="145"/>
      <c r="L643" s="145"/>
      <c r="M643" s="145"/>
      <c r="N643" s="145"/>
      <c r="O643" s="145"/>
      <c r="P643" s="145"/>
      <c r="Q643" s="145"/>
      <c r="R643" s="145"/>
      <c r="S643" s="145"/>
      <c r="T643" s="145"/>
      <c r="U643" s="145"/>
      <c r="V643" s="31"/>
      <c r="W643" s="146"/>
      <c r="X643" s="146"/>
      <c r="Z643" s="31"/>
      <c r="AA643" s="31"/>
      <c r="AB643" s="387"/>
      <c r="AC643" s="387"/>
      <c r="AD643" s="637"/>
    </row>
    <row r="645" spans="1:30">
      <c r="A645" s="31"/>
      <c r="B645" s="30"/>
      <c r="C645" s="31"/>
      <c r="D645" s="143"/>
      <c r="E645" s="31"/>
      <c r="F645" s="144"/>
      <c r="G645" s="144"/>
      <c r="H645" s="144"/>
      <c r="I645" s="145"/>
      <c r="J645" s="145"/>
      <c r="K645" s="145"/>
      <c r="L645" s="145"/>
      <c r="M645" s="145"/>
      <c r="N645" s="145"/>
      <c r="O645" s="145"/>
      <c r="P645" s="145"/>
      <c r="Q645" s="145"/>
      <c r="R645" s="145"/>
      <c r="S645" s="145"/>
      <c r="T645" s="145"/>
      <c r="U645" s="145"/>
      <c r="V645" s="31"/>
      <c r="W645" s="146"/>
      <c r="X645" s="146"/>
      <c r="Z645" s="31"/>
      <c r="AA645" s="31"/>
      <c r="AB645" s="387"/>
      <c r="AC645" s="387"/>
      <c r="AD645" s="637"/>
    </row>
    <row r="647" spans="1:30">
      <c r="A647" s="31"/>
      <c r="B647" s="30"/>
      <c r="C647" s="31"/>
      <c r="D647" s="143"/>
      <c r="E647" s="31"/>
      <c r="F647" s="144"/>
      <c r="G647" s="144"/>
      <c r="H647" s="144"/>
      <c r="I647" s="145"/>
      <c r="J647" s="145"/>
      <c r="K647" s="145"/>
      <c r="L647" s="145"/>
      <c r="M647" s="145"/>
      <c r="N647" s="145"/>
      <c r="O647" s="145"/>
      <c r="P647" s="145"/>
      <c r="Q647" s="145"/>
      <c r="R647" s="145"/>
      <c r="S647" s="145"/>
      <c r="T647" s="145"/>
      <c r="U647" s="145"/>
      <c r="V647" s="31"/>
      <c r="W647" s="146"/>
      <c r="X647" s="146"/>
      <c r="Z647" s="31"/>
      <c r="AA647" s="31"/>
      <c r="AB647" s="387"/>
      <c r="AC647" s="387"/>
      <c r="AD647" s="637"/>
    </row>
    <row r="649" spans="1:30">
      <c r="A649" s="31"/>
      <c r="B649" s="30"/>
      <c r="C649" s="31"/>
      <c r="D649" s="143"/>
      <c r="E649" s="31"/>
      <c r="F649" s="144"/>
      <c r="G649" s="144"/>
      <c r="H649" s="144"/>
      <c r="I649" s="145"/>
      <c r="J649" s="145"/>
      <c r="K649" s="145"/>
      <c r="L649" s="145"/>
      <c r="M649" s="145"/>
      <c r="N649" s="145"/>
      <c r="O649" s="145"/>
      <c r="P649" s="145"/>
      <c r="Q649" s="145"/>
      <c r="R649" s="145"/>
      <c r="S649" s="145"/>
      <c r="T649" s="145"/>
      <c r="U649" s="145"/>
      <c r="V649" s="31"/>
      <c r="W649" s="146"/>
      <c r="X649" s="146"/>
      <c r="Z649" s="31"/>
      <c r="AA649" s="31"/>
      <c r="AB649" s="387"/>
      <c r="AC649" s="387"/>
      <c r="AD649" s="637"/>
    </row>
    <row r="651" spans="1:30">
      <c r="A651" s="31"/>
      <c r="B651" s="30"/>
      <c r="C651" s="31"/>
      <c r="D651" s="143"/>
      <c r="E651" s="31"/>
      <c r="F651" s="144"/>
      <c r="G651" s="144"/>
      <c r="H651" s="144"/>
      <c r="I651" s="145"/>
      <c r="J651" s="145"/>
      <c r="K651" s="145"/>
      <c r="L651" s="145"/>
      <c r="M651" s="145"/>
      <c r="N651" s="145"/>
      <c r="O651" s="145"/>
      <c r="P651" s="145"/>
      <c r="Q651" s="145"/>
      <c r="R651" s="145"/>
      <c r="S651" s="145"/>
      <c r="T651" s="145"/>
      <c r="U651" s="145"/>
      <c r="V651" s="31"/>
      <c r="W651" s="146"/>
      <c r="X651" s="146"/>
      <c r="Z651" s="31"/>
      <c r="AA651" s="31"/>
      <c r="AB651" s="387"/>
      <c r="AC651" s="387"/>
      <c r="AD651" s="637"/>
    </row>
    <row r="653" spans="1:30">
      <c r="A653" s="31"/>
      <c r="B653" s="30"/>
      <c r="C653" s="31"/>
      <c r="D653" s="143"/>
      <c r="E653" s="31"/>
      <c r="F653" s="144"/>
      <c r="G653" s="144"/>
      <c r="H653" s="144"/>
      <c r="I653" s="145"/>
      <c r="J653" s="145"/>
      <c r="K653" s="145"/>
      <c r="L653" s="145"/>
      <c r="M653" s="145"/>
      <c r="N653" s="145"/>
      <c r="O653" s="145"/>
      <c r="P653" s="145"/>
      <c r="Q653" s="145"/>
      <c r="R653" s="145"/>
      <c r="S653" s="145"/>
      <c r="T653" s="145"/>
      <c r="U653" s="145"/>
      <c r="V653" s="31"/>
      <c r="W653" s="146"/>
      <c r="X653" s="146"/>
      <c r="Z653" s="31"/>
      <c r="AA653" s="31"/>
      <c r="AB653" s="387"/>
      <c r="AC653" s="387"/>
      <c r="AD653" s="637"/>
    </row>
    <row r="655" spans="1:30">
      <c r="A655" s="31"/>
      <c r="B655" s="30"/>
      <c r="C655" s="31"/>
      <c r="D655" s="143"/>
      <c r="E655" s="31"/>
      <c r="F655" s="144"/>
      <c r="G655" s="144"/>
      <c r="H655" s="144"/>
      <c r="I655" s="145"/>
      <c r="J655" s="145"/>
      <c r="K655" s="145"/>
      <c r="L655" s="145"/>
      <c r="M655" s="145"/>
      <c r="N655" s="145"/>
      <c r="O655" s="145"/>
      <c r="P655" s="145"/>
      <c r="Q655" s="145"/>
      <c r="R655" s="145"/>
      <c r="S655" s="145"/>
      <c r="T655" s="145"/>
      <c r="U655" s="145"/>
      <c r="V655" s="31"/>
      <c r="W655" s="146"/>
      <c r="X655" s="146"/>
      <c r="Z655" s="31"/>
      <c r="AA655" s="31"/>
      <c r="AB655" s="387"/>
      <c r="AC655" s="387"/>
      <c r="AD655" s="637"/>
    </row>
    <row r="657" spans="1:30">
      <c r="A657" s="31"/>
      <c r="B657" s="30"/>
      <c r="C657" s="31"/>
      <c r="D657" s="143"/>
      <c r="E657" s="31"/>
      <c r="F657" s="144"/>
      <c r="G657" s="144"/>
      <c r="H657" s="144"/>
      <c r="I657" s="145"/>
      <c r="J657" s="145"/>
      <c r="K657" s="145"/>
      <c r="L657" s="145"/>
      <c r="M657" s="145"/>
      <c r="N657" s="145"/>
      <c r="O657" s="145"/>
      <c r="P657" s="145"/>
      <c r="Q657" s="145"/>
      <c r="R657" s="145"/>
      <c r="S657" s="145"/>
      <c r="T657" s="145"/>
      <c r="U657" s="145"/>
      <c r="V657" s="31"/>
      <c r="W657" s="146"/>
      <c r="X657" s="146"/>
      <c r="Z657" s="31"/>
      <c r="AA657" s="31"/>
      <c r="AB657" s="387"/>
      <c r="AC657" s="387"/>
      <c r="AD657" s="637"/>
    </row>
    <row r="659" spans="1:30">
      <c r="A659" s="31"/>
      <c r="B659" s="30"/>
      <c r="C659" s="31"/>
      <c r="D659" s="143"/>
      <c r="E659" s="31"/>
      <c r="F659" s="144"/>
      <c r="G659" s="144"/>
      <c r="H659" s="144"/>
      <c r="I659" s="145"/>
      <c r="J659" s="145"/>
      <c r="K659" s="145"/>
      <c r="L659" s="145"/>
      <c r="M659" s="145"/>
      <c r="N659" s="145"/>
      <c r="O659" s="145"/>
      <c r="P659" s="145"/>
      <c r="Q659" s="145"/>
      <c r="R659" s="145"/>
      <c r="S659" s="145"/>
      <c r="T659" s="145"/>
      <c r="U659" s="145"/>
      <c r="V659" s="31"/>
      <c r="W659" s="146"/>
      <c r="X659" s="146"/>
      <c r="Z659" s="31"/>
      <c r="AA659" s="31"/>
      <c r="AB659" s="387"/>
      <c r="AC659" s="387"/>
      <c r="AD659" s="637"/>
    </row>
    <row r="661" spans="1:30">
      <c r="A661" s="31"/>
      <c r="B661" s="30"/>
      <c r="C661" s="31"/>
      <c r="D661" s="143"/>
      <c r="E661" s="31"/>
      <c r="F661" s="144"/>
      <c r="G661" s="144"/>
      <c r="H661" s="144"/>
      <c r="I661" s="145"/>
      <c r="J661" s="145"/>
      <c r="K661" s="145"/>
      <c r="L661" s="145"/>
      <c r="M661" s="145"/>
      <c r="N661" s="145"/>
      <c r="O661" s="145"/>
      <c r="P661" s="145"/>
      <c r="Q661" s="145"/>
      <c r="R661" s="145"/>
      <c r="S661" s="145"/>
      <c r="T661" s="145"/>
      <c r="U661" s="145"/>
      <c r="V661" s="31"/>
      <c r="W661" s="146"/>
      <c r="X661" s="146"/>
      <c r="Z661" s="31"/>
      <c r="AA661" s="31"/>
      <c r="AB661" s="387"/>
      <c r="AC661" s="387"/>
      <c r="AD661" s="637"/>
    </row>
    <row r="663" spans="1:30">
      <c r="A663" s="31"/>
      <c r="B663" s="30"/>
      <c r="C663" s="31"/>
      <c r="D663" s="143"/>
      <c r="E663" s="31"/>
      <c r="F663" s="144"/>
      <c r="G663" s="144"/>
      <c r="H663" s="144"/>
      <c r="I663" s="145"/>
      <c r="J663" s="145"/>
      <c r="K663" s="145"/>
      <c r="L663" s="145"/>
      <c r="M663" s="145"/>
      <c r="N663" s="145"/>
      <c r="O663" s="145"/>
      <c r="P663" s="145"/>
      <c r="Q663" s="145"/>
      <c r="R663" s="145"/>
      <c r="S663" s="145"/>
      <c r="T663" s="145"/>
      <c r="U663" s="145"/>
      <c r="V663" s="31"/>
      <c r="W663" s="146"/>
      <c r="X663" s="146"/>
      <c r="Z663" s="31"/>
      <c r="AA663" s="31"/>
      <c r="AB663" s="387"/>
      <c r="AC663" s="387"/>
      <c r="AD663" s="637"/>
    </row>
    <row r="665" spans="1:30">
      <c r="A665" s="31"/>
      <c r="B665" s="30"/>
      <c r="C665" s="31"/>
      <c r="D665" s="143"/>
      <c r="E665" s="31"/>
      <c r="F665" s="144"/>
      <c r="G665" s="144"/>
      <c r="H665" s="144"/>
      <c r="I665" s="145"/>
      <c r="J665" s="145"/>
      <c r="K665" s="145"/>
      <c r="L665" s="145"/>
      <c r="M665" s="145"/>
      <c r="N665" s="145"/>
      <c r="O665" s="145"/>
      <c r="P665" s="145"/>
      <c r="Q665" s="145"/>
      <c r="R665" s="145"/>
      <c r="S665" s="145"/>
      <c r="T665" s="145"/>
      <c r="U665" s="145"/>
      <c r="V665" s="31"/>
      <c r="W665" s="146"/>
      <c r="X665" s="146"/>
      <c r="Z665" s="31"/>
      <c r="AA665" s="31"/>
      <c r="AB665" s="387"/>
      <c r="AC665" s="387"/>
      <c r="AD665" s="637"/>
    </row>
    <row r="667" spans="1:30">
      <c r="A667" s="31"/>
      <c r="B667" s="30"/>
      <c r="C667" s="31"/>
      <c r="D667" s="143"/>
      <c r="E667" s="31"/>
      <c r="F667" s="144"/>
      <c r="G667" s="144"/>
      <c r="H667" s="144"/>
      <c r="I667" s="145"/>
      <c r="J667" s="145"/>
      <c r="K667" s="145"/>
      <c r="L667" s="145"/>
      <c r="M667" s="145"/>
      <c r="N667" s="145"/>
      <c r="O667" s="145"/>
      <c r="P667" s="145"/>
      <c r="Q667" s="145"/>
      <c r="R667" s="145"/>
      <c r="S667" s="145"/>
      <c r="T667" s="145"/>
      <c r="U667" s="145"/>
      <c r="V667" s="31"/>
      <c r="W667" s="146"/>
      <c r="X667" s="146"/>
      <c r="Z667" s="31"/>
      <c r="AA667" s="31"/>
      <c r="AB667" s="387"/>
      <c r="AC667" s="387"/>
      <c r="AD667" s="637"/>
    </row>
    <row r="669" spans="1:30">
      <c r="A669" s="31"/>
      <c r="B669" s="30"/>
      <c r="C669" s="31"/>
      <c r="D669" s="143"/>
      <c r="E669" s="31"/>
      <c r="F669" s="144"/>
      <c r="G669" s="144"/>
      <c r="H669" s="144"/>
      <c r="I669" s="145"/>
      <c r="J669" s="145"/>
      <c r="K669" s="145"/>
      <c r="L669" s="145"/>
      <c r="M669" s="145"/>
      <c r="N669" s="145"/>
      <c r="O669" s="145"/>
      <c r="P669" s="145"/>
      <c r="Q669" s="145"/>
      <c r="R669" s="145"/>
      <c r="S669" s="145"/>
      <c r="T669" s="145"/>
      <c r="U669" s="145"/>
      <c r="V669" s="31"/>
      <c r="W669" s="146"/>
      <c r="X669" s="146"/>
      <c r="Z669" s="31"/>
      <c r="AA669" s="31"/>
      <c r="AB669" s="387"/>
      <c r="AC669" s="387"/>
      <c r="AD669" s="637"/>
    </row>
    <row r="671" spans="1:30">
      <c r="A671" s="31"/>
      <c r="B671" s="30"/>
      <c r="C671" s="31"/>
      <c r="D671" s="143"/>
      <c r="E671" s="31"/>
      <c r="F671" s="144"/>
      <c r="G671" s="144"/>
      <c r="H671" s="144"/>
      <c r="I671" s="145"/>
      <c r="J671" s="145"/>
      <c r="K671" s="145"/>
      <c r="L671" s="145"/>
      <c r="M671" s="145"/>
      <c r="N671" s="145"/>
      <c r="O671" s="145"/>
      <c r="P671" s="145"/>
      <c r="Q671" s="145"/>
      <c r="R671" s="145"/>
      <c r="S671" s="145"/>
      <c r="T671" s="145"/>
      <c r="U671" s="145"/>
      <c r="V671" s="31"/>
      <c r="W671" s="146"/>
      <c r="X671" s="146"/>
      <c r="Z671" s="31"/>
      <c r="AA671" s="31"/>
      <c r="AB671" s="387"/>
      <c r="AC671" s="387"/>
      <c r="AD671" s="637"/>
    </row>
    <row r="673" spans="1:30">
      <c r="A673" s="31"/>
      <c r="B673" s="30"/>
      <c r="C673" s="31"/>
      <c r="D673" s="143"/>
      <c r="E673" s="31"/>
      <c r="F673" s="144"/>
      <c r="G673" s="144"/>
      <c r="H673" s="144"/>
      <c r="I673" s="145"/>
      <c r="J673" s="145"/>
      <c r="K673" s="145"/>
      <c r="L673" s="145"/>
      <c r="M673" s="145"/>
      <c r="N673" s="145"/>
      <c r="O673" s="145"/>
      <c r="P673" s="145"/>
      <c r="Q673" s="145"/>
      <c r="R673" s="145"/>
      <c r="S673" s="145"/>
      <c r="T673" s="145"/>
      <c r="U673" s="145"/>
      <c r="V673" s="31"/>
      <c r="W673" s="146"/>
      <c r="X673" s="146"/>
      <c r="Z673" s="31"/>
      <c r="AA673" s="31"/>
      <c r="AB673" s="387"/>
      <c r="AC673" s="387"/>
      <c r="AD673" s="637"/>
    </row>
    <row r="675" spans="1:30">
      <c r="A675" s="31"/>
      <c r="B675" s="30"/>
      <c r="C675" s="31"/>
      <c r="D675" s="143"/>
      <c r="E675" s="31"/>
      <c r="F675" s="144"/>
      <c r="G675" s="144"/>
      <c r="H675" s="144"/>
      <c r="I675" s="145"/>
      <c r="J675" s="145"/>
      <c r="K675" s="145"/>
      <c r="L675" s="145"/>
      <c r="M675" s="145"/>
      <c r="N675" s="145"/>
      <c r="O675" s="145"/>
      <c r="P675" s="145"/>
      <c r="Q675" s="145"/>
      <c r="R675" s="145"/>
      <c r="S675" s="145"/>
      <c r="T675" s="145"/>
      <c r="U675" s="145"/>
      <c r="V675" s="31"/>
      <c r="W675" s="146"/>
      <c r="X675" s="146"/>
      <c r="Z675" s="31"/>
      <c r="AA675" s="31"/>
      <c r="AB675" s="387"/>
      <c r="AC675" s="387"/>
      <c r="AD675" s="637"/>
    </row>
    <row r="677" spans="1:30">
      <c r="A677" s="31"/>
      <c r="B677" s="30"/>
      <c r="C677" s="31"/>
      <c r="D677" s="143"/>
      <c r="E677" s="31"/>
      <c r="F677" s="144"/>
      <c r="G677" s="144"/>
      <c r="H677" s="144"/>
      <c r="I677" s="145"/>
      <c r="J677" s="145"/>
      <c r="K677" s="145"/>
      <c r="L677" s="145"/>
      <c r="M677" s="145"/>
      <c r="N677" s="145"/>
      <c r="O677" s="145"/>
      <c r="P677" s="145"/>
      <c r="Q677" s="145"/>
      <c r="R677" s="145"/>
      <c r="S677" s="145"/>
      <c r="T677" s="145"/>
      <c r="U677" s="145"/>
      <c r="V677" s="31"/>
      <c r="W677" s="146"/>
      <c r="X677" s="146"/>
      <c r="Z677" s="31"/>
      <c r="AA677" s="31"/>
      <c r="AB677" s="387"/>
      <c r="AC677" s="387"/>
      <c r="AD677" s="637"/>
    </row>
    <row r="679" spans="1:30">
      <c r="A679" s="31"/>
      <c r="B679" s="30"/>
      <c r="C679" s="31"/>
      <c r="D679" s="143"/>
      <c r="E679" s="31"/>
      <c r="F679" s="144"/>
      <c r="G679" s="144"/>
      <c r="H679" s="144"/>
      <c r="I679" s="145"/>
      <c r="J679" s="145"/>
      <c r="K679" s="145"/>
      <c r="L679" s="145"/>
      <c r="M679" s="145"/>
      <c r="N679" s="145"/>
      <c r="O679" s="145"/>
      <c r="P679" s="145"/>
      <c r="Q679" s="145"/>
      <c r="R679" s="145"/>
      <c r="S679" s="145"/>
      <c r="T679" s="145"/>
      <c r="U679" s="145"/>
      <c r="V679" s="31"/>
      <c r="W679" s="146"/>
      <c r="X679" s="146"/>
      <c r="Z679" s="31"/>
      <c r="AA679" s="31"/>
      <c r="AB679" s="387"/>
      <c r="AC679" s="387"/>
      <c r="AD679" s="637"/>
    </row>
    <row r="681" spans="1:30">
      <c r="A681" s="31"/>
      <c r="B681" s="30"/>
      <c r="C681" s="31"/>
      <c r="D681" s="143"/>
      <c r="E681" s="31"/>
      <c r="F681" s="144"/>
      <c r="G681" s="144"/>
      <c r="H681" s="144"/>
      <c r="I681" s="145"/>
      <c r="J681" s="145"/>
      <c r="K681" s="145"/>
      <c r="L681" s="145"/>
      <c r="M681" s="145"/>
      <c r="N681" s="145"/>
      <c r="O681" s="145"/>
      <c r="P681" s="145"/>
      <c r="Q681" s="145"/>
      <c r="R681" s="145"/>
      <c r="S681" s="145"/>
      <c r="T681" s="145"/>
      <c r="U681" s="145"/>
      <c r="V681" s="31"/>
      <c r="W681" s="146"/>
      <c r="X681" s="146"/>
      <c r="Z681" s="31"/>
      <c r="AA681" s="31"/>
      <c r="AB681" s="387"/>
      <c r="AC681" s="387"/>
      <c r="AD681" s="637"/>
    </row>
    <row r="683" spans="1:30">
      <c r="A683" s="31"/>
      <c r="B683" s="30"/>
      <c r="C683" s="31"/>
      <c r="D683" s="143"/>
      <c r="E683" s="31"/>
      <c r="F683" s="144"/>
      <c r="G683" s="144"/>
      <c r="H683" s="144"/>
      <c r="I683" s="145"/>
      <c r="J683" s="145"/>
      <c r="K683" s="145"/>
      <c r="L683" s="145"/>
      <c r="M683" s="145"/>
      <c r="N683" s="145"/>
      <c r="O683" s="145"/>
      <c r="P683" s="145"/>
      <c r="Q683" s="145"/>
      <c r="R683" s="145"/>
      <c r="S683" s="145"/>
      <c r="T683" s="145"/>
      <c r="U683" s="145"/>
      <c r="V683" s="31"/>
      <c r="W683" s="146"/>
      <c r="X683" s="146"/>
      <c r="Z683" s="31"/>
      <c r="AA683" s="31"/>
      <c r="AB683" s="387"/>
      <c r="AC683" s="387"/>
      <c r="AD683" s="637"/>
    </row>
    <row r="685" spans="1:30">
      <c r="A685" s="31"/>
      <c r="B685" s="30"/>
      <c r="C685" s="31"/>
      <c r="D685" s="143"/>
      <c r="E685" s="31"/>
      <c r="F685" s="144"/>
      <c r="G685" s="144"/>
      <c r="H685" s="144"/>
      <c r="I685" s="145"/>
      <c r="J685" s="145"/>
      <c r="K685" s="145"/>
      <c r="L685" s="145"/>
      <c r="M685" s="145"/>
      <c r="N685" s="145"/>
      <c r="O685" s="145"/>
      <c r="P685" s="145"/>
      <c r="Q685" s="145"/>
      <c r="R685" s="145"/>
      <c r="S685" s="145"/>
      <c r="T685" s="145"/>
      <c r="U685" s="145"/>
      <c r="V685" s="31"/>
      <c r="W685" s="146"/>
      <c r="X685" s="146"/>
      <c r="Z685" s="31"/>
      <c r="AA685" s="31"/>
      <c r="AB685" s="387"/>
      <c r="AC685" s="387"/>
      <c r="AD685" s="637"/>
    </row>
    <row r="687" spans="1:30">
      <c r="A687" s="31"/>
      <c r="B687" s="30"/>
      <c r="C687" s="31"/>
      <c r="D687" s="143"/>
      <c r="E687" s="31"/>
      <c r="F687" s="144"/>
      <c r="G687" s="144"/>
      <c r="H687" s="144"/>
      <c r="I687" s="145"/>
      <c r="J687" s="145"/>
      <c r="K687" s="145"/>
      <c r="L687" s="145"/>
      <c r="M687" s="145"/>
      <c r="N687" s="145"/>
      <c r="O687" s="145"/>
      <c r="P687" s="145"/>
      <c r="Q687" s="145"/>
      <c r="R687" s="145"/>
      <c r="S687" s="145"/>
      <c r="T687" s="145"/>
      <c r="U687" s="145"/>
      <c r="V687" s="31"/>
      <c r="W687" s="146"/>
      <c r="X687" s="146"/>
      <c r="Z687" s="31"/>
      <c r="AA687" s="31"/>
      <c r="AB687" s="387"/>
      <c r="AC687" s="387"/>
      <c r="AD687" s="637"/>
    </row>
    <row r="689" spans="1:30">
      <c r="A689" s="31"/>
      <c r="B689" s="30"/>
      <c r="C689" s="31"/>
      <c r="D689" s="143"/>
      <c r="E689" s="31"/>
      <c r="F689" s="144"/>
      <c r="G689" s="144"/>
      <c r="H689" s="144"/>
      <c r="I689" s="145"/>
      <c r="J689" s="145"/>
      <c r="K689" s="145"/>
      <c r="L689" s="145"/>
      <c r="M689" s="145"/>
      <c r="N689" s="145"/>
      <c r="O689" s="145"/>
      <c r="P689" s="145"/>
      <c r="Q689" s="145"/>
      <c r="R689" s="145"/>
      <c r="S689" s="145"/>
      <c r="T689" s="145"/>
      <c r="U689" s="145"/>
      <c r="V689" s="31"/>
      <c r="W689" s="146"/>
      <c r="X689" s="146"/>
      <c r="Z689" s="31"/>
      <c r="AA689" s="31"/>
      <c r="AB689" s="387"/>
      <c r="AC689" s="387"/>
      <c r="AD689" s="637"/>
    </row>
    <row r="691" spans="1:30">
      <c r="A691" s="31"/>
      <c r="B691" s="30"/>
      <c r="C691" s="31"/>
      <c r="D691" s="143"/>
      <c r="E691" s="31"/>
      <c r="F691" s="144"/>
      <c r="G691" s="144"/>
      <c r="H691" s="144"/>
      <c r="I691" s="145"/>
      <c r="J691" s="145"/>
      <c r="K691" s="145"/>
      <c r="L691" s="145"/>
      <c r="M691" s="145"/>
      <c r="N691" s="145"/>
      <c r="O691" s="145"/>
      <c r="P691" s="145"/>
      <c r="Q691" s="145"/>
      <c r="R691" s="145"/>
      <c r="S691" s="145"/>
      <c r="T691" s="145"/>
      <c r="U691" s="145"/>
      <c r="V691" s="31"/>
      <c r="W691" s="146"/>
      <c r="X691" s="146"/>
      <c r="Z691" s="31"/>
      <c r="AA691" s="31"/>
      <c r="AB691" s="387"/>
      <c r="AC691" s="387"/>
      <c r="AD691" s="637"/>
    </row>
    <row r="693" spans="1:30">
      <c r="A693" s="31"/>
      <c r="B693" s="30"/>
      <c r="C693" s="31"/>
      <c r="D693" s="143"/>
      <c r="E693" s="31"/>
      <c r="F693" s="144"/>
      <c r="G693" s="144"/>
      <c r="H693" s="144"/>
      <c r="I693" s="145"/>
      <c r="J693" s="145"/>
      <c r="K693" s="145"/>
      <c r="L693" s="145"/>
      <c r="M693" s="145"/>
      <c r="N693" s="145"/>
      <c r="O693" s="145"/>
      <c r="P693" s="145"/>
      <c r="Q693" s="145"/>
      <c r="R693" s="145"/>
      <c r="S693" s="145"/>
      <c r="T693" s="145"/>
      <c r="U693" s="145"/>
      <c r="V693" s="31"/>
      <c r="W693" s="146"/>
      <c r="X693" s="146"/>
      <c r="Z693" s="31"/>
      <c r="AA693" s="31"/>
      <c r="AB693" s="387"/>
      <c r="AC693" s="387"/>
      <c r="AD693" s="637"/>
    </row>
    <row r="695" spans="1:30">
      <c r="A695" s="31"/>
      <c r="B695" s="30"/>
      <c r="C695" s="31"/>
      <c r="D695" s="143"/>
      <c r="E695" s="31"/>
      <c r="F695" s="144"/>
      <c r="G695" s="144"/>
      <c r="H695" s="144"/>
      <c r="I695" s="145"/>
      <c r="J695" s="145"/>
      <c r="K695" s="145"/>
      <c r="L695" s="145"/>
      <c r="M695" s="145"/>
      <c r="N695" s="145"/>
      <c r="O695" s="145"/>
      <c r="P695" s="145"/>
      <c r="Q695" s="145"/>
      <c r="R695" s="145"/>
      <c r="S695" s="145"/>
      <c r="T695" s="145"/>
      <c r="U695" s="145"/>
      <c r="V695" s="31"/>
      <c r="W695" s="146"/>
      <c r="X695" s="146"/>
      <c r="Z695" s="31"/>
      <c r="AA695" s="31"/>
      <c r="AB695" s="387"/>
      <c r="AC695" s="387"/>
      <c r="AD695" s="637"/>
    </row>
    <row r="697" spans="1:30">
      <c r="A697" s="31"/>
      <c r="B697" s="30"/>
      <c r="C697" s="31"/>
      <c r="D697" s="143"/>
      <c r="E697" s="31"/>
      <c r="F697" s="144"/>
      <c r="G697" s="144"/>
      <c r="H697" s="144"/>
      <c r="I697" s="145"/>
      <c r="J697" s="145"/>
      <c r="K697" s="145"/>
      <c r="L697" s="145"/>
      <c r="M697" s="145"/>
      <c r="N697" s="145"/>
      <c r="O697" s="145"/>
      <c r="P697" s="145"/>
      <c r="Q697" s="145"/>
      <c r="R697" s="145"/>
      <c r="S697" s="145"/>
      <c r="T697" s="145"/>
      <c r="U697" s="145"/>
      <c r="V697" s="31"/>
      <c r="W697" s="146"/>
      <c r="X697" s="146"/>
      <c r="Z697" s="31"/>
      <c r="AA697" s="31"/>
      <c r="AB697" s="387"/>
      <c r="AC697" s="387"/>
      <c r="AD697" s="637"/>
    </row>
    <row r="699" spans="1:30">
      <c r="A699" s="31"/>
      <c r="B699" s="30"/>
      <c r="C699" s="31"/>
      <c r="D699" s="143"/>
      <c r="E699" s="31"/>
      <c r="F699" s="144"/>
      <c r="G699" s="144"/>
      <c r="H699" s="144"/>
      <c r="I699" s="145"/>
      <c r="J699" s="145"/>
      <c r="K699" s="145"/>
      <c r="L699" s="145"/>
      <c r="M699" s="145"/>
      <c r="N699" s="145"/>
      <c r="O699" s="145"/>
      <c r="P699" s="145"/>
      <c r="Q699" s="145"/>
      <c r="R699" s="145"/>
      <c r="S699" s="145"/>
      <c r="T699" s="145"/>
      <c r="U699" s="145"/>
      <c r="V699" s="31"/>
      <c r="W699" s="146"/>
      <c r="X699" s="146"/>
      <c r="Z699" s="31"/>
      <c r="AA699" s="31"/>
      <c r="AB699" s="387"/>
      <c r="AC699" s="387"/>
      <c r="AD699" s="637"/>
    </row>
    <row r="701" spans="1:30">
      <c r="A701" s="31"/>
      <c r="B701" s="30"/>
      <c r="C701" s="31"/>
      <c r="D701" s="143"/>
      <c r="E701" s="31"/>
      <c r="F701" s="144"/>
      <c r="G701" s="144"/>
      <c r="H701" s="144"/>
      <c r="I701" s="145"/>
      <c r="J701" s="145"/>
      <c r="K701" s="145"/>
      <c r="L701" s="145"/>
      <c r="M701" s="145"/>
      <c r="N701" s="145"/>
      <c r="O701" s="145"/>
      <c r="P701" s="145"/>
      <c r="Q701" s="145"/>
      <c r="R701" s="145"/>
      <c r="S701" s="145"/>
      <c r="T701" s="145"/>
      <c r="U701" s="145"/>
      <c r="V701" s="31"/>
      <c r="W701" s="146"/>
      <c r="X701" s="146"/>
      <c r="Z701" s="31"/>
      <c r="AA701" s="31"/>
      <c r="AB701" s="387"/>
      <c r="AC701" s="387"/>
      <c r="AD701" s="637"/>
    </row>
    <row r="703" spans="1:30">
      <c r="A703" s="31"/>
      <c r="B703" s="30"/>
      <c r="C703" s="31"/>
      <c r="D703" s="143"/>
      <c r="E703" s="31"/>
      <c r="F703" s="144"/>
      <c r="G703" s="144"/>
      <c r="H703" s="144"/>
      <c r="I703" s="145"/>
      <c r="J703" s="145"/>
      <c r="K703" s="145"/>
      <c r="L703" s="145"/>
      <c r="M703" s="145"/>
      <c r="N703" s="145"/>
      <c r="O703" s="145"/>
      <c r="P703" s="145"/>
      <c r="Q703" s="145"/>
      <c r="R703" s="145"/>
      <c r="S703" s="145"/>
      <c r="T703" s="145"/>
      <c r="U703" s="145"/>
      <c r="V703" s="31"/>
      <c r="W703" s="146"/>
      <c r="X703" s="146"/>
      <c r="Z703" s="31"/>
      <c r="AA703" s="31"/>
      <c r="AB703" s="387"/>
      <c r="AC703" s="387"/>
      <c r="AD703" s="637"/>
    </row>
    <row r="705" spans="1:30">
      <c r="A705" s="31"/>
      <c r="B705" s="30"/>
      <c r="C705" s="31"/>
      <c r="D705" s="143"/>
      <c r="E705" s="31"/>
      <c r="F705" s="144"/>
      <c r="G705" s="144"/>
      <c r="H705" s="144"/>
      <c r="I705" s="145"/>
      <c r="J705" s="145"/>
      <c r="K705" s="145"/>
      <c r="L705" s="145"/>
      <c r="M705" s="145"/>
      <c r="N705" s="145"/>
      <c r="O705" s="145"/>
      <c r="P705" s="145"/>
      <c r="Q705" s="145"/>
      <c r="R705" s="145"/>
      <c r="S705" s="145"/>
      <c r="T705" s="145"/>
      <c r="U705" s="145"/>
      <c r="V705" s="31"/>
      <c r="W705" s="146"/>
      <c r="X705" s="146"/>
      <c r="Z705" s="31"/>
      <c r="AA705" s="31"/>
      <c r="AB705" s="387"/>
      <c r="AC705" s="387"/>
      <c r="AD705" s="637"/>
    </row>
    <row r="707" spans="1:30">
      <c r="A707" s="31"/>
      <c r="B707" s="30"/>
      <c r="C707" s="31"/>
      <c r="D707" s="143"/>
      <c r="E707" s="31"/>
      <c r="F707" s="144"/>
      <c r="G707" s="144"/>
      <c r="H707" s="144"/>
      <c r="I707" s="145"/>
      <c r="J707" s="145"/>
      <c r="K707" s="145"/>
      <c r="L707" s="145"/>
      <c r="M707" s="145"/>
      <c r="N707" s="145"/>
      <c r="O707" s="145"/>
      <c r="P707" s="145"/>
      <c r="Q707" s="145"/>
      <c r="R707" s="145"/>
      <c r="S707" s="145"/>
      <c r="T707" s="145"/>
      <c r="U707" s="145"/>
      <c r="V707" s="31"/>
      <c r="W707" s="146"/>
      <c r="X707" s="146"/>
      <c r="Z707" s="31"/>
      <c r="AA707" s="31"/>
      <c r="AB707" s="387"/>
      <c r="AC707" s="387"/>
      <c r="AD707" s="637"/>
    </row>
    <row r="709" spans="1:30">
      <c r="A709" s="31"/>
      <c r="B709" s="30"/>
      <c r="C709" s="31"/>
      <c r="D709" s="143"/>
      <c r="E709" s="31"/>
      <c r="F709" s="144"/>
      <c r="G709" s="144"/>
      <c r="H709" s="144"/>
      <c r="I709" s="145"/>
      <c r="J709" s="145"/>
      <c r="K709" s="145"/>
      <c r="L709" s="145"/>
      <c r="M709" s="145"/>
      <c r="N709" s="145"/>
      <c r="O709" s="145"/>
      <c r="P709" s="145"/>
      <c r="Q709" s="145"/>
      <c r="R709" s="145"/>
      <c r="S709" s="145"/>
      <c r="T709" s="145"/>
      <c r="U709" s="145"/>
      <c r="V709" s="31"/>
      <c r="W709" s="146"/>
      <c r="X709" s="146"/>
      <c r="Z709" s="31"/>
      <c r="AA709" s="31"/>
      <c r="AB709" s="387"/>
      <c r="AC709" s="387"/>
      <c r="AD709" s="637"/>
    </row>
    <row r="711" spans="1:30">
      <c r="A711" s="31"/>
      <c r="B711" s="30"/>
      <c r="C711" s="31"/>
      <c r="D711" s="143"/>
      <c r="E711" s="31"/>
      <c r="F711" s="144"/>
      <c r="G711" s="144"/>
      <c r="H711" s="144"/>
      <c r="I711" s="145"/>
      <c r="J711" s="145"/>
      <c r="K711" s="145"/>
      <c r="L711" s="145"/>
      <c r="M711" s="145"/>
      <c r="N711" s="145"/>
      <c r="O711" s="145"/>
      <c r="P711" s="145"/>
      <c r="Q711" s="145"/>
      <c r="R711" s="145"/>
      <c r="S711" s="145"/>
      <c r="T711" s="145"/>
      <c r="U711" s="145"/>
      <c r="V711" s="31"/>
      <c r="W711" s="146"/>
      <c r="X711" s="146"/>
      <c r="Z711" s="31"/>
      <c r="AA711" s="31"/>
      <c r="AB711" s="387"/>
      <c r="AC711" s="387"/>
      <c r="AD711" s="637"/>
    </row>
    <row r="713" spans="1:30">
      <c r="A713" s="31"/>
      <c r="B713" s="30"/>
      <c r="C713" s="31"/>
      <c r="D713" s="143"/>
      <c r="E713" s="31"/>
      <c r="F713" s="144"/>
      <c r="G713" s="144"/>
      <c r="H713" s="144"/>
      <c r="I713" s="145"/>
      <c r="J713" s="145"/>
      <c r="K713" s="145"/>
      <c r="L713" s="145"/>
      <c r="M713" s="145"/>
      <c r="N713" s="145"/>
      <c r="O713" s="145"/>
      <c r="P713" s="145"/>
      <c r="Q713" s="145"/>
      <c r="R713" s="145"/>
      <c r="S713" s="145"/>
      <c r="T713" s="145"/>
      <c r="U713" s="145"/>
      <c r="V713" s="31"/>
      <c r="W713" s="146"/>
      <c r="X713" s="146"/>
      <c r="Z713" s="31"/>
      <c r="AA713" s="31"/>
      <c r="AB713" s="387"/>
      <c r="AC713" s="387"/>
      <c r="AD713" s="637"/>
    </row>
    <row r="715" spans="1:30">
      <c r="A715" s="31"/>
      <c r="B715" s="30"/>
      <c r="C715" s="31"/>
      <c r="D715" s="143"/>
      <c r="E715" s="31"/>
      <c r="F715" s="144"/>
      <c r="G715" s="144"/>
      <c r="H715" s="144"/>
      <c r="I715" s="145"/>
      <c r="J715" s="145"/>
      <c r="K715" s="145"/>
      <c r="L715" s="145"/>
      <c r="M715" s="145"/>
      <c r="N715" s="145"/>
      <c r="O715" s="145"/>
      <c r="P715" s="145"/>
      <c r="Q715" s="145"/>
      <c r="R715" s="145"/>
      <c r="S715" s="145"/>
      <c r="T715" s="145"/>
      <c r="U715" s="145"/>
      <c r="V715" s="31"/>
      <c r="W715" s="146"/>
      <c r="X715" s="146"/>
      <c r="Z715" s="31"/>
      <c r="AA715" s="31"/>
      <c r="AB715" s="387"/>
      <c r="AC715" s="387"/>
      <c r="AD715" s="637"/>
    </row>
    <row r="717" spans="1:30">
      <c r="A717" s="31"/>
      <c r="B717" s="30"/>
      <c r="C717" s="31"/>
      <c r="D717" s="143"/>
      <c r="E717" s="31"/>
      <c r="F717" s="144"/>
      <c r="G717" s="144"/>
      <c r="H717" s="144"/>
      <c r="I717" s="145"/>
      <c r="J717" s="145"/>
      <c r="K717" s="145"/>
      <c r="L717" s="145"/>
      <c r="M717" s="145"/>
      <c r="N717" s="145"/>
      <c r="O717" s="145"/>
      <c r="P717" s="145"/>
      <c r="Q717" s="145"/>
      <c r="R717" s="145"/>
      <c r="S717" s="145"/>
      <c r="T717" s="145"/>
      <c r="U717" s="145"/>
      <c r="V717" s="31"/>
      <c r="W717" s="146"/>
      <c r="X717" s="146"/>
      <c r="Z717" s="31"/>
      <c r="AA717" s="31"/>
      <c r="AB717" s="387"/>
      <c r="AC717" s="387"/>
      <c r="AD717" s="637"/>
    </row>
    <row r="719" spans="1:30">
      <c r="A719" s="31"/>
      <c r="B719" s="30"/>
      <c r="C719" s="31"/>
      <c r="D719" s="143"/>
      <c r="E719" s="31"/>
      <c r="F719" s="144"/>
      <c r="G719" s="144"/>
      <c r="H719" s="144"/>
      <c r="I719" s="145"/>
      <c r="J719" s="145"/>
      <c r="K719" s="145"/>
      <c r="L719" s="145"/>
      <c r="M719" s="145"/>
      <c r="N719" s="145"/>
      <c r="O719" s="145"/>
      <c r="P719" s="145"/>
      <c r="Q719" s="145"/>
      <c r="R719" s="145"/>
      <c r="S719" s="145"/>
      <c r="T719" s="145"/>
      <c r="U719" s="145"/>
      <c r="V719" s="31"/>
      <c r="W719" s="146"/>
      <c r="X719" s="146"/>
      <c r="Z719" s="31"/>
      <c r="AA719" s="31"/>
      <c r="AB719" s="387"/>
      <c r="AC719" s="387"/>
      <c r="AD719" s="637"/>
    </row>
    <row r="721" spans="1:30">
      <c r="A721" s="31"/>
      <c r="B721" s="30"/>
      <c r="C721" s="31"/>
      <c r="D721" s="143"/>
      <c r="E721" s="31"/>
      <c r="F721" s="144"/>
      <c r="G721" s="144"/>
      <c r="H721" s="144"/>
      <c r="I721" s="145"/>
      <c r="J721" s="145"/>
      <c r="K721" s="145"/>
      <c r="L721" s="145"/>
      <c r="M721" s="145"/>
      <c r="N721" s="145"/>
      <c r="O721" s="145"/>
      <c r="P721" s="145"/>
      <c r="Q721" s="145"/>
      <c r="R721" s="145"/>
      <c r="S721" s="145"/>
      <c r="T721" s="145"/>
      <c r="U721" s="145"/>
      <c r="V721" s="31"/>
      <c r="W721" s="146"/>
      <c r="X721" s="146"/>
      <c r="Z721" s="31"/>
      <c r="AA721" s="31"/>
      <c r="AB721" s="387"/>
      <c r="AC721" s="387"/>
      <c r="AD721" s="637"/>
    </row>
    <row r="723" spans="1:30">
      <c r="A723" s="31"/>
      <c r="B723" s="30"/>
      <c r="C723" s="31"/>
      <c r="D723" s="143"/>
      <c r="E723" s="31"/>
      <c r="F723" s="144"/>
      <c r="G723" s="144"/>
      <c r="H723" s="144"/>
      <c r="I723" s="145"/>
      <c r="J723" s="145"/>
      <c r="K723" s="145"/>
      <c r="L723" s="145"/>
      <c r="M723" s="145"/>
      <c r="N723" s="145"/>
      <c r="O723" s="145"/>
      <c r="P723" s="145"/>
      <c r="Q723" s="145"/>
      <c r="R723" s="145"/>
      <c r="S723" s="145"/>
      <c r="T723" s="145"/>
      <c r="U723" s="145"/>
      <c r="V723" s="31"/>
      <c r="W723" s="146"/>
      <c r="X723" s="146"/>
      <c r="Z723" s="31"/>
      <c r="AA723" s="31"/>
      <c r="AB723" s="387"/>
      <c r="AC723" s="387"/>
      <c r="AD723" s="637"/>
    </row>
    <row r="725" spans="1:30">
      <c r="A725" s="31"/>
      <c r="B725" s="30"/>
      <c r="C725" s="31"/>
      <c r="D725" s="143"/>
      <c r="E725" s="31"/>
      <c r="F725" s="144"/>
      <c r="G725" s="144"/>
      <c r="H725" s="144"/>
      <c r="I725" s="145"/>
      <c r="J725" s="145"/>
      <c r="K725" s="145"/>
      <c r="L725" s="145"/>
      <c r="M725" s="145"/>
      <c r="N725" s="145"/>
      <c r="O725" s="145"/>
      <c r="P725" s="145"/>
      <c r="Q725" s="145"/>
      <c r="R725" s="145"/>
      <c r="S725" s="145"/>
      <c r="T725" s="145"/>
      <c r="U725" s="145"/>
      <c r="V725" s="31"/>
      <c r="W725" s="146"/>
      <c r="X725" s="146"/>
      <c r="Z725" s="31"/>
      <c r="AA725" s="31"/>
      <c r="AB725" s="387"/>
      <c r="AC725" s="387"/>
      <c r="AD725" s="637"/>
    </row>
    <row r="727" spans="1:30">
      <c r="A727" s="31"/>
      <c r="B727" s="30"/>
      <c r="C727" s="31"/>
      <c r="D727" s="143"/>
      <c r="E727" s="31"/>
      <c r="F727" s="144"/>
      <c r="G727" s="144"/>
      <c r="H727" s="144"/>
      <c r="I727" s="145"/>
      <c r="J727" s="145"/>
      <c r="K727" s="145"/>
      <c r="L727" s="145"/>
      <c r="M727" s="145"/>
      <c r="N727" s="145"/>
      <c r="O727" s="145"/>
      <c r="P727" s="145"/>
      <c r="Q727" s="145"/>
      <c r="R727" s="145"/>
      <c r="S727" s="145"/>
      <c r="T727" s="145"/>
      <c r="U727" s="145"/>
      <c r="V727" s="31"/>
      <c r="W727" s="146"/>
      <c r="X727" s="146"/>
      <c r="Z727" s="31"/>
      <c r="AA727" s="31"/>
      <c r="AB727" s="387"/>
      <c r="AC727" s="387"/>
      <c r="AD727" s="637"/>
    </row>
    <row r="729" spans="1:30">
      <c r="A729" s="31"/>
      <c r="B729" s="30"/>
      <c r="C729" s="31"/>
      <c r="D729" s="143"/>
      <c r="E729" s="31"/>
      <c r="F729" s="144"/>
      <c r="G729" s="144"/>
      <c r="H729" s="144"/>
      <c r="I729" s="145"/>
      <c r="J729" s="145"/>
      <c r="K729" s="145"/>
      <c r="L729" s="145"/>
      <c r="M729" s="145"/>
      <c r="N729" s="145"/>
      <c r="O729" s="145"/>
      <c r="P729" s="145"/>
      <c r="Q729" s="145"/>
      <c r="R729" s="145"/>
      <c r="S729" s="145"/>
      <c r="T729" s="145"/>
      <c r="U729" s="145"/>
      <c r="V729" s="31"/>
      <c r="W729" s="146"/>
      <c r="X729" s="146"/>
      <c r="Z729" s="31"/>
      <c r="AA729" s="31"/>
      <c r="AB729" s="387"/>
      <c r="AC729" s="387"/>
      <c r="AD729" s="637"/>
    </row>
    <row r="731" spans="1:30">
      <c r="A731" s="31"/>
      <c r="B731" s="30"/>
      <c r="C731" s="31"/>
      <c r="D731" s="143"/>
      <c r="E731" s="31"/>
      <c r="F731" s="144"/>
      <c r="G731" s="144"/>
      <c r="H731" s="144"/>
      <c r="I731" s="145"/>
      <c r="J731" s="145"/>
      <c r="K731" s="145"/>
      <c r="L731" s="145"/>
      <c r="M731" s="145"/>
      <c r="N731" s="145"/>
      <c r="O731" s="145"/>
      <c r="P731" s="145"/>
      <c r="Q731" s="145"/>
      <c r="R731" s="145"/>
      <c r="S731" s="145"/>
      <c r="T731" s="145"/>
      <c r="U731" s="145"/>
      <c r="V731" s="31"/>
      <c r="W731" s="146"/>
      <c r="X731" s="146"/>
      <c r="Z731" s="31"/>
      <c r="AA731" s="31"/>
      <c r="AB731" s="387"/>
      <c r="AC731" s="387"/>
      <c r="AD731" s="637"/>
    </row>
    <row r="733" spans="1:30">
      <c r="A733" s="31"/>
      <c r="B733" s="30"/>
      <c r="C733" s="31"/>
      <c r="D733" s="143"/>
      <c r="E733" s="31"/>
      <c r="F733" s="144"/>
      <c r="G733" s="144"/>
      <c r="H733" s="144"/>
      <c r="I733" s="145"/>
      <c r="J733" s="145"/>
      <c r="K733" s="145"/>
      <c r="L733" s="145"/>
      <c r="M733" s="145"/>
      <c r="N733" s="145"/>
      <c r="O733" s="145"/>
      <c r="P733" s="145"/>
      <c r="Q733" s="145"/>
      <c r="R733" s="145"/>
      <c r="S733" s="145"/>
      <c r="T733" s="145"/>
      <c r="U733" s="145"/>
      <c r="V733" s="31"/>
      <c r="W733" s="146"/>
      <c r="X733" s="146"/>
      <c r="Z733" s="31"/>
      <c r="AA733" s="31"/>
      <c r="AB733" s="387"/>
      <c r="AC733" s="387"/>
      <c r="AD733" s="637"/>
    </row>
    <row r="735" spans="1:30">
      <c r="A735" s="31"/>
      <c r="B735" s="30"/>
      <c r="C735" s="31"/>
      <c r="D735" s="143"/>
      <c r="E735" s="31"/>
      <c r="F735" s="144"/>
      <c r="G735" s="144"/>
      <c r="H735" s="144"/>
      <c r="I735" s="145"/>
      <c r="J735" s="145"/>
      <c r="K735" s="145"/>
      <c r="L735" s="145"/>
      <c r="M735" s="145"/>
      <c r="N735" s="145"/>
      <c r="O735" s="145"/>
      <c r="P735" s="145"/>
      <c r="Q735" s="145"/>
      <c r="R735" s="145"/>
      <c r="S735" s="145"/>
      <c r="T735" s="145"/>
      <c r="U735" s="145"/>
      <c r="V735" s="31"/>
      <c r="W735" s="146"/>
      <c r="X735" s="146"/>
      <c r="Z735" s="31"/>
      <c r="AA735" s="31"/>
      <c r="AB735" s="387"/>
      <c r="AC735" s="387"/>
      <c r="AD735" s="637"/>
    </row>
    <row r="737" spans="1:30">
      <c r="A737" s="31"/>
      <c r="B737" s="30"/>
      <c r="C737" s="31"/>
      <c r="D737" s="143"/>
      <c r="E737" s="31"/>
      <c r="F737" s="144"/>
      <c r="G737" s="144"/>
      <c r="H737" s="144"/>
      <c r="I737" s="145"/>
      <c r="J737" s="145"/>
      <c r="K737" s="145"/>
      <c r="L737" s="145"/>
      <c r="M737" s="145"/>
      <c r="N737" s="145"/>
      <c r="O737" s="145"/>
      <c r="P737" s="145"/>
      <c r="Q737" s="145"/>
      <c r="R737" s="145"/>
      <c r="S737" s="145"/>
      <c r="T737" s="145"/>
      <c r="U737" s="145"/>
      <c r="V737" s="31"/>
      <c r="W737" s="146"/>
      <c r="X737" s="146"/>
      <c r="Z737" s="31"/>
      <c r="AA737" s="31"/>
      <c r="AB737" s="387"/>
      <c r="AC737" s="387"/>
      <c r="AD737" s="637"/>
    </row>
    <row r="739" spans="1:30">
      <c r="A739" s="31"/>
      <c r="B739" s="30"/>
      <c r="C739" s="31"/>
      <c r="D739" s="143"/>
      <c r="E739" s="31"/>
      <c r="F739" s="144"/>
      <c r="G739" s="144"/>
      <c r="H739" s="144"/>
      <c r="I739" s="145"/>
      <c r="J739" s="145"/>
      <c r="K739" s="145"/>
      <c r="L739" s="145"/>
      <c r="M739" s="145"/>
      <c r="N739" s="145"/>
      <c r="O739" s="145"/>
      <c r="P739" s="145"/>
      <c r="Q739" s="145"/>
      <c r="R739" s="145"/>
      <c r="S739" s="145"/>
      <c r="T739" s="145"/>
      <c r="U739" s="145"/>
      <c r="V739" s="31"/>
      <c r="W739" s="146"/>
      <c r="X739" s="146"/>
      <c r="Z739" s="31"/>
      <c r="AA739" s="31"/>
      <c r="AB739" s="387"/>
      <c r="AC739" s="387"/>
      <c r="AD739" s="637"/>
    </row>
    <row r="741" spans="1:30">
      <c r="A741" s="31"/>
      <c r="B741" s="30"/>
      <c r="C741" s="31"/>
      <c r="D741" s="143"/>
      <c r="E741" s="31"/>
      <c r="F741" s="144"/>
      <c r="G741" s="144"/>
      <c r="H741" s="144"/>
      <c r="I741" s="145"/>
      <c r="J741" s="145"/>
      <c r="K741" s="145"/>
      <c r="L741" s="145"/>
      <c r="M741" s="145"/>
      <c r="N741" s="145"/>
      <c r="O741" s="145"/>
      <c r="P741" s="145"/>
      <c r="Q741" s="145"/>
      <c r="R741" s="145"/>
      <c r="S741" s="145"/>
      <c r="T741" s="145"/>
      <c r="U741" s="145"/>
      <c r="V741" s="31"/>
      <c r="W741" s="146"/>
      <c r="X741" s="146"/>
      <c r="Z741" s="31"/>
      <c r="AA741" s="31"/>
      <c r="AB741" s="387"/>
      <c r="AC741" s="387"/>
      <c r="AD741" s="637"/>
    </row>
    <row r="743" spans="1:30">
      <c r="A743" s="31"/>
      <c r="B743" s="30"/>
      <c r="C743" s="31"/>
      <c r="D743" s="143"/>
      <c r="E743" s="31"/>
      <c r="F743" s="144"/>
      <c r="G743" s="144"/>
      <c r="H743" s="144"/>
      <c r="I743" s="145"/>
      <c r="J743" s="145"/>
      <c r="K743" s="145"/>
      <c r="L743" s="145"/>
      <c r="M743" s="145"/>
      <c r="N743" s="145"/>
      <c r="O743" s="145"/>
      <c r="P743" s="145"/>
      <c r="Q743" s="145"/>
      <c r="R743" s="145"/>
      <c r="S743" s="145"/>
      <c r="T743" s="145"/>
      <c r="U743" s="145"/>
      <c r="V743" s="31"/>
      <c r="W743" s="146"/>
      <c r="X743" s="146"/>
      <c r="Z743" s="31"/>
      <c r="AA743" s="31"/>
      <c r="AB743" s="387"/>
      <c r="AC743" s="387"/>
      <c r="AD743" s="637"/>
    </row>
    <row r="745" spans="1:30">
      <c r="A745" s="31"/>
      <c r="B745" s="30"/>
      <c r="C745" s="31"/>
      <c r="D745" s="143"/>
      <c r="E745" s="31"/>
      <c r="F745" s="144"/>
      <c r="G745" s="144"/>
      <c r="H745" s="144"/>
      <c r="I745" s="145"/>
      <c r="J745" s="145"/>
      <c r="K745" s="145"/>
      <c r="L745" s="145"/>
      <c r="M745" s="145"/>
      <c r="N745" s="145"/>
      <c r="O745" s="145"/>
      <c r="P745" s="145"/>
      <c r="Q745" s="145"/>
      <c r="R745" s="145"/>
      <c r="S745" s="145"/>
      <c r="T745" s="145"/>
      <c r="U745" s="145"/>
      <c r="V745" s="31"/>
      <c r="W745" s="146"/>
      <c r="X745" s="146"/>
      <c r="Z745" s="31"/>
      <c r="AA745" s="31"/>
      <c r="AB745" s="387"/>
      <c r="AC745" s="387"/>
      <c r="AD745" s="637"/>
    </row>
    <row r="747" spans="1:30">
      <c r="A747" s="31"/>
      <c r="B747" s="30"/>
      <c r="C747" s="31"/>
      <c r="D747" s="143"/>
      <c r="E747" s="31"/>
      <c r="F747" s="144"/>
      <c r="G747" s="144"/>
      <c r="H747" s="144"/>
      <c r="I747" s="145"/>
      <c r="J747" s="145"/>
      <c r="K747" s="145"/>
      <c r="L747" s="145"/>
      <c r="M747" s="145"/>
      <c r="N747" s="145"/>
      <c r="O747" s="145"/>
      <c r="P747" s="145"/>
      <c r="Q747" s="145"/>
      <c r="R747" s="145"/>
      <c r="S747" s="145"/>
      <c r="T747" s="145"/>
      <c r="U747" s="145"/>
      <c r="V747" s="31"/>
      <c r="W747" s="146"/>
      <c r="X747" s="146"/>
      <c r="Z747" s="31"/>
      <c r="AA747" s="31"/>
      <c r="AB747" s="387"/>
      <c r="AC747" s="387"/>
      <c r="AD747" s="637"/>
    </row>
    <row r="749" spans="1:30">
      <c r="A749" s="31"/>
      <c r="B749" s="30"/>
      <c r="C749" s="31"/>
      <c r="D749" s="143"/>
      <c r="E749" s="31"/>
      <c r="F749" s="144"/>
      <c r="G749" s="144"/>
      <c r="H749" s="144"/>
      <c r="I749" s="145"/>
      <c r="J749" s="145"/>
      <c r="K749" s="145"/>
      <c r="L749" s="145"/>
      <c r="M749" s="145"/>
      <c r="N749" s="145"/>
      <c r="O749" s="145"/>
      <c r="P749" s="145"/>
      <c r="Q749" s="145"/>
      <c r="R749" s="145"/>
      <c r="S749" s="145"/>
      <c r="T749" s="145"/>
      <c r="U749" s="145"/>
      <c r="V749" s="31"/>
      <c r="W749" s="146"/>
      <c r="X749" s="146"/>
      <c r="Z749" s="31"/>
      <c r="AA749" s="31"/>
      <c r="AB749" s="387"/>
      <c r="AC749" s="387"/>
      <c r="AD749" s="637"/>
    </row>
    <row r="751" spans="1:30">
      <c r="A751" s="31"/>
      <c r="B751" s="30"/>
      <c r="C751" s="31"/>
      <c r="D751" s="143"/>
      <c r="E751" s="31"/>
      <c r="F751" s="144"/>
      <c r="G751" s="144"/>
      <c r="H751" s="144"/>
      <c r="I751" s="145"/>
      <c r="J751" s="145"/>
      <c r="K751" s="145"/>
      <c r="L751" s="145"/>
      <c r="M751" s="145"/>
      <c r="N751" s="145"/>
      <c r="O751" s="145"/>
      <c r="P751" s="145"/>
      <c r="Q751" s="145"/>
      <c r="R751" s="145"/>
      <c r="S751" s="145"/>
      <c r="T751" s="145"/>
      <c r="U751" s="145"/>
      <c r="V751" s="31"/>
      <c r="W751" s="146"/>
      <c r="X751" s="146"/>
      <c r="Z751" s="31"/>
      <c r="AA751" s="31"/>
      <c r="AB751" s="387"/>
      <c r="AC751" s="387"/>
      <c r="AD751" s="637"/>
    </row>
    <row r="753" spans="1:30">
      <c r="A753" s="31"/>
      <c r="B753" s="30"/>
      <c r="C753" s="31"/>
      <c r="D753" s="143"/>
      <c r="E753" s="31"/>
      <c r="F753" s="144"/>
      <c r="G753" s="144"/>
      <c r="H753" s="144"/>
      <c r="I753" s="145"/>
      <c r="J753" s="145"/>
      <c r="K753" s="145"/>
      <c r="L753" s="145"/>
      <c r="M753" s="145"/>
      <c r="N753" s="145"/>
      <c r="O753" s="145"/>
      <c r="P753" s="145"/>
      <c r="Q753" s="145"/>
      <c r="R753" s="145"/>
      <c r="S753" s="145"/>
      <c r="T753" s="145"/>
      <c r="U753" s="145"/>
      <c r="V753" s="31"/>
      <c r="W753" s="146"/>
      <c r="X753" s="146"/>
      <c r="Z753" s="31"/>
      <c r="AA753" s="31"/>
      <c r="AB753" s="387"/>
      <c r="AC753" s="387"/>
      <c r="AD753" s="637"/>
    </row>
    <row r="755" spans="1:30">
      <c r="A755" s="31"/>
      <c r="B755" s="30"/>
      <c r="C755" s="31"/>
      <c r="D755" s="143"/>
      <c r="E755" s="31"/>
      <c r="F755" s="144"/>
      <c r="G755" s="144"/>
      <c r="H755" s="144"/>
      <c r="I755" s="145"/>
      <c r="J755" s="145"/>
      <c r="K755" s="145"/>
      <c r="L755" s="145"/>
      <c r="M755" s="145"/>
      <c r="N755" s="145"/>
      <c r="O755" s="145"/>
      <c r="P755" s="145"/>
      <c r="Q755" s="145"/>
      <c r="R755" s="145"/>
      <c r="S755" s="145"/>
      <c r="T755" s="145"/>
      <c r="U755" s="145"/>
      <c r="V755" s="31"/>
      <c r="W755" s="146"/>
      <c r="X755" s="146"/>
      <c r="Z755" s="31"/>
      <c r="AA755" s="31"/>
      <c r="AB755" s="387"/>
      <c r="AC755" s="387"/>
      <c r="AD755" s="637"/>
    </row>
    <row r="757" spans="1:30">
      <c r="A757" s="31"/>
      <c r="B757" s="30"/>
      <c r="C757" s="31"/>
      <c r="D757" s="143"/>
      <c r="E757" s="31"/>
      <c r="F757" s="144"/>
      <c r="G757" s="144"/>
      <c r="H757" s="144"/>
      <c r="I757" s="145"/>
      <c r="J757" s="145"/>
      <c r="K757" s="145"/>
      <c r="L757" s="145"/>
      <c r="M757" s="145"/>
      <c r="N757" s="145"/>
      <c r="O757" s="145"/>
      <c r="P757" s="145"/>
      <c r="Q757" s="145"/>
      <c r="R757" s="145"/>
      <c r="S757" s="145"/>
      <c r="T757" s="145"/>
      <c r="U757" s="145"/>
      <c r="V757" s="31"/>
      <c r="W757" s="146"/>
      <c r="X757" s="146"/>
      <c r="Z757" s="31"/>
      <c r="AA757" s="31"/>
      <c r="AB757" s="387"/>
      <c r="AC757" s="387"/>
      <c r="AD757" s="637"/>
    </row>
    <row r="759" spans="1:30">
      <c r="A759" s="31"/>
      <c r="B759" s="30"/>
      <c r="C759" s="31"/>
      <c r="D759" s="143"/>
      <c r="E759" s="31"/>
      <c r="F759" s="144"/>
      <c r="G759" s="144"/>
      <c r="H759" s="144"/>
      <c r="I759" s="145"/>
      <c r="J759" s="145"/>
      <c r="K759" s="145"/>
      <c r="L759" s="145"/>
      <c r="M759" s="145"/>
      <c r="N759" s="145"/>
      <c r="O759" s="145"/>
      <c r="P759" s="145"/>
      <c r="Q759" s="145"/>
      <c r="R759" s="145"/>
      <c r="S759" s="145"/>
      <c r="T759" s="145"/>
      <c r="U759" s="145"/>
      <c r="V759" s="31"/>
      <c r="W759" s="146"/>
      <c r="X759" s="146"/>
      <c r="Z759" s="31"/>
      <c r="AA759" s="31"/>
      <c r="AB759" s="387"/>
      <c r="AC759" s="387"/>
      <c r="AD759" s="637"/>
    </row>
    <row r="761" spans="1:30">
      <c r="A761" s="31"/>
      <c r="B761" s="30"/>
      <c r="C761" s="31"/>
      <c r="D761" s="143"/>
      <c r="E761" s="31"/>
      <c r="F761" s="144"/>
      <c r="G761" s="144"/>
      <c r="H761" s="144"/>
      <c r="I761" s="145"/>
      <c r="J761" s="145"/>
      <c r="K761" s="145"/>
      <c r="L761" s="145"/>
      <c r="M761" s="145"/>
      <c r="N761" s="145"/>
      <c r="O761" s="145"/>
      <c r="P761" s="145"/>
      <c r="Q761" s="145"/>
      <c r="R761" s="145"/>
      <c r="S761" s="145"/>
      <c r="T761" s="145"/>
      <c r="U761" s="145"/>
      <c r="V761" s="31"/>
      <c r="W761" s="146"/>
      <c r="X761" s="146"/>
      <c r="Z761" s="31"/>
      <c r="AA761" s="31"/>
      <c r="AB761" s="387"/>
      <c r="AC761" s="387"/>
      <c r="AD761" s="637"/>
    </row>
    <row r="763" spans="1:30">
      <c r="A763" s="31"/>
      <c r="B763" s="30"/>
      <c r="C763" s="31"/>
      <c r="D763" s="143"/>
      <c r="E763" s="31"/>
      <c r="F763" s="144"/>
      <c r="G763" s="144"/>
      <c r="H763" s="144"/>
      <c r="I763" s="145"/>
      <c r="J763" s="145"/>
      <c r="K763" s="145"/>
      <c r="L763" s="145"/>
      <c r="M763" s="145"/>
      <c r="N763" s="145"/>
      <c r="O763" s="145"/>
      <c r="P763" s="145"/>
      <c r="Q763" s="145"/>
      <c r="R763" s="145"/>
      <c r="S763" s="145"/>
      <c r="T763" s="145"/>
      <c r="U763" s="145"/>
      <c r="V763" s="31"/>
      <c r="W763" s="146"/>
      <c r="X763" s="146"/>
      <c r="Z763" s="31"/>
      <c r="AA763" s="31"/>
      <c r="AB763" s="387"/>
      <c r="AC763" s="387"/>
      <c r="AD763" s="637"/>
    </row>
    <row r="765" spans="1:30">
      <c r="A765" s="31"/>
      <c r="B765" s="30"/>
      <c r="C765" s="31"/>
      <c r="D765" s="143"/>
      <c r="E765" s="31"/>
      <c r="F765" s="144"/>
      <c r="G765" s="144"/>
      <c r="H765" s="144"/>
      <c r="I765" s="145"/>
      <c r="J765" s="145"/>
      <c r="K765" s="145"/>
      <c r="L765" s="145"/>
      <c r="M765" s="145"/>
      <c r="N765" s="145"/>
      <c r="O765" s="145"/>
      <c r="P765" s="145"/>
      <c r="Q765" s="145"/>
      <c r="R765" s="145"/>
      <c r="S765" s="145"/>
      <c r="T765" s="145"/>
      <c r="U765" s="145"/>
      <c r="V765" s="31"/>
      <c r="W765" s="146"/>
      <c r="X765" s="146"/>
      <c r="Z765" s="31"/>
      <c r="AA765" s="31"/>
      <c r="AB765" s="387"/>
      <c r="AC765" s="387"/>
      <c r="AD765" s="637"/>
    </row>
    <row r="767" spans="1:30">
      <c r="A767" s="31"/>
      <c r="B767" s="30"/>
      <c r="C767" s="31"/>
      <c r="D767" s="143"/>
      <c r="E767" s="31"/>
      <c r="F767" s="144"/>
      <c r="G767" s="144"/>
      <c r="H767" s="144"/>
      <c r="I767" s="145"/>
      <c r="J767" s="145"/>
      <c r="K767" s="145"/>
      <c r="L767" s="145"/>
      <c r="M767" s="145"/>
      <c r="N767" s="145"/>
      <c r="O767" s="145"/>
      <c r="P767" s="145"/>
      <c r="Q767" s="145"/>
      <c r="R767" s="145"/>
      <c r="S767" s="145"/>
      <c r="T767" s="145"/>
      <c r="U767" s="145"/>
      <c r="V767" s="31"/>
      <c r="W767" s="146"/>
      <c r="X767" s="146"/>
      <c r="Z767" s="31"/>
      <c r="AA767" s="31"/>
      <c r="AB767" s="387"/>
      <c r="AC767" s="387"/>
      <c r="AD767" s="637"/>
    </row>
    <row r="769" spans="1:30">
      <c r="A769" s="31"/>
      <c r="B769" s="30"/>
      <c r="C769" s="31"/>
      <c r="D769" s="143"/>
      <c r="E769" s="31"/>
      <c r="F769" s="144"/>
      <c r="G769" s="144"/>
      <c r="H769" s="144"/>
      <c r="I769" s="145"/>
      <c r="J769" s="145"/>
      <c r="K769" s="145"/>
      <c r="L769" s="145"/>
      <c r="M769" s="145"/>
      <c r="N769" s="145"/>
      <c r="O769" s="145"/>
      <c r="P769" s="145"/>
      <c r="Q769" s="145"/>
      <c r="R769" s="145"/>
      <c r="S769" s="145"/>
      <c r="T769" s="145"/>
      <c r="U769" s="145"/>
      <c r="V769" s="31"/>
      <c r="W769" s="146"/>
      <c r="X769" s="146"/>
      <c r="Z769" s="31"/>
      <c r="AA769" s="31"/>
      <c r="AB769" s="387"/>
      <c r="AC769" s="387"/>
      <c r="AD769" s="637"/>
    </row>
    <row r="771" spans="1:30">
      <c r="A771" s="31"/>
      <c r="B771" s="30"/>
      <c r="C771" s="31"/>
      <c r="D771" s="143"/>
      <c r="E771" s="31"/>
      <c r="F771" s="144"/>
      <c r="G771" s="144"/>
      <c r="H771" s="144"/>
      <c r="I771" s="145"/>
      <c r="J771" s="145"/>
      <c r="K771" s="145"/>
      <c r="L771" s="145"/>
      <c r="M771" s="145"/>
      <c r="N771" s="145"/>
      <c r="O771" s="145"/>
      <c r="P771" s="145"/>
      <c r="Q771" s="145"/>
      <c r="R771" s="145"/>
      <c r="S771" s="145"/>
      <c r="T771" s="145"/>
      <c r="U771" s="145"/>
      <c r="V771" s="31"/>
      <c r="W771" s="146"/>
      <c r="X771" s="146"/>
      <c r="Z771" s="31"/>
      <c r="AA771" s="31"/>
      <c r="AB771" s="387"/>
      <c r="AC771" s="387"/>
      <c r="AD771" s="637"/>
    </row>
    <row r="773" spans="1:30">
      <c r="A773" s="31"/>
      <c r="B773" s="30"/>
      <c r="C773" s="31"/>
      <c r="D773" s="143"/>
      <c r="E773" s="31"/>
      <c r="F773" s="144"/>
      <c r="G773" s="144"/>
      <c r="H773" s="144"/>
      <c r="I773" s="145"/>
      <c r="J773" s="145"/>
      <c r="K773" s="145"/>
      <c r="L773" s="145"/>
      <c r="M773" s="145"/>
      <c r="N773" s="145"/>
      <c r="O773" s="145"/>
      <c r="P773" s="145"/>
      <c r="Q773" s="145"/>
      <c r="R773" s="145"/>
      <c r="S773" s="145"/>
      <c r="T773" s="145"/>
      <c r="U773" s="145"/>
      <c r="V773" s="31"/>
      <c r="W773" s="146"/>
      <c r="X773" s="146"/>
      <c r="Z773" s="31"/>
      <c r="AA773" s="31"/>
      <c r="AB773" s="387"/>
      <c r="AC773" s="387"/>
      <c r="AD773" s="637"/>
    </row>
    <row r="775" spans="1:30">
      <c r="A775" s="31"/>
      <c r="B775" s="30"/>
      <c r="C775" s="31"/>
      <c r="D775" s="143"/>
      <c r="E775" s="31"/>
      <c r="F775" s="144"/>
      <c r="G775" s="144"/>
      <c r="H775" s="144"/>
      <c r="I775" s="145"/>
      <c r="J775" s="145"/>
      <c r="K775" s="145"/>
      <c r="L775" s="145"/>
      <c r="M775" s="145"/>
      <c r="N775" s="145"/>
      <c r="O775" s="145"/>
      <c r="P775" s="145"/>
      <c r="Q775" s="145"/>
      <c r="R775" s="145"/>
      <c r="S775" s="145"/>
      <c r="T775" s="145"/>
      <c r="U775" s="145"/>
      <c r="V775" s="31"/>
      <c r="W775" s="146"/>
      <c r="X775" s="146"/>
      <c r="Z775" s="31"/>
      <c r="AA775" s="31"/>
      <c r="AB775" s="387"/>
      <c r="AC775" s="387"/>
      <c r="AD775" s="637"/>
    </row>
    <row r="777" spans="1:30">
      <c r="A777" s="31"/>
      <c r="B777" s="30"/>
      <c r="C777" s="31"/>
      <c r="D777" s="143"/>
      <c r="E777" s="31"/>
      <c r="F777" s="144"/>
      <c r="G777" s="144"/>
      <c r="H777" s="144"/>
      <c r="I777" s="145"/>
      <c r="J777" s="145"/>
      <c r="K777" s="145"/>
      <c r="L777" s="145"/>
      <c r="M777" s="145"/>
      <c r="N777" s="145"/>
      <c r="O777" s="145"/>
      <c r="P777" s="145"/>
      <c r="Q777" s="145"/>
      <c r="R777" s="145"/>
      <c r="S777" s="145"/>
      <c r="T777" s="145"/>
      <c r="U777" s="145"/>
      <c r="V777" s="31"/>
      <c r="W777" s="146"/>
      <c r="X777" s="146"/>
      <c r="Z777" s="31"/>
      <c r="AA777" s="31"/>
      <c r="AB777" s="387"/>
      <c r="AC777" s="387"/>
      <c r="AD777" s="637"/>
    </row>
    <row r="779" spans="1:30">
      <c r="A779" s="31"/>
      <c r="B779" s="30"/>
      <c r="C779" s="31"/>
      <c r="D779" s="143"/>
      <c r="E779" s="31"/>
      <c r="F779" s="144"/>
      <c r="G779" s="144"/>
      <c r="H779" s="144"/>
      <c r="I779" s="145"/>
      <c r="J779" s="145"/>
      <c r="K779" s="145"/>
      <c r="L779" s="145"/>
      <c r="M779" s="145"/>
      <c r="N779" s="145"/>
      <c r="O779" s="145"/>
      <c r="P779" s="145"/>
      <c r="Q779" s="145"/>
      <c r="R779" s="145"/>
      <c r="S779" s="145"/>
      <c r="T779" s="145"/>
      <c r="U779" s="145"/>
      <c r="V779" s="31"/>
      <c r="W779" s="146"/>
      <c r="X779" s="146"/>
      <c r="Z779" s="31"/>
      <c r="AA779" s="31"/>
      <c r="AB779" s="387"/>
      <c r="AC779" s="387"/>
      <c r="AD779" s="637"/>
    </row>
    <row r="781" spans="1:30">
      <c r="A781" s="31"/>
      <c r="B781" s="30"/>
      <c r="C781" s="31"/>
      <c r="D781" s="143"/>
      <c r="E781" s="31"/>
      <c r="F781" s="144"/>
      <c r="G781" s="144"/>
      <c r="H781" s="144"/>
      <c r="I781" s="145"/>
      <c r="J781" s="145"/>
      <c r="K781" s="145"/>
      <c r="L781" s="145"/>
      <c r="M781" s="145"/>
      <c r="N781" s="145"/>
      <c r="O781" s="145"/>
      <c r="P781" s="145"/>
      <c r="Q781" s="145"/>
      <c r="R781" s="145"/>
      <c r="S781" s="145"/>
      <c r="T781" s="145"/>
      <c r="U781" s="145"/>
      <c r="V781" s="31"/>
      <c r="W781" s="146"/>
      <c r="X781" s="146"/>
      <c r="Z781" s="31"/>
      <c r="AA781" s="31"/>
      <c r="AB781" s="387"/>
      <c r="AC781" s="387"/>
      <c r="AD781" s="637"/>
    </row>
    <row r="783" spans="1:30">
      <c r="A783" s="31"/>
      <c r="B783" s="30"/>
      <c r="C783" s="31"/>
      <c r="D783" s="143"/>
      <c r="E783" s="31"/>
      <c r="F783" s="144"/>
      <c r="G783" s="144"/>
      <c r="H783" s="144"/>
      <c r="I783" s="145"/>
      <c r="J783" s="145"/>
      <c r="K783" s="145"/>
      <c r="L783" s="145"/>
      <c r="M783" s="145"/>
      <c r="N783" s="145"/>
      <c r="O783" s="145"/>
      <c r="P783" s="145"/>
      <c r="Q783" s="145"/>
      <c r="R783" s="145"/>
      <c r="S783" s="145"/>
      <c r="T783" s="145"/>
      <c r="U783" s="145"/>
      <c r="V783" s="31"/>
      <c r="W783" s="146"/>
      <c r="X783" s="146"/>
      <c r="Z783" s="31"/>
      <c r="AA783" s="31"/>
      <c r="AB783" s="387"/>
      <c r="AC783" s="387"/>
      <c r="AD783" s="637"/>
    </row>
    <row r="785" spans="1:30">
      <c r="A785" s="31"/>
      <c r="B785" s="30"/>
      <c r="C785" s="31"/>
      <c r="D785" s="143"/>
      <c r="E785" s="31"/>
      <c r="F785" s="144"/>
      <c r="G785" s="144"/>
      <c r="H785" s="144"/>
      <c r="I785" s="145"/>
      <c r="J785" s="145"/>
      <c r="K785" s="145"/>
      <c r="L785" s="145"/>
      <c r="M785" s="145"/>
      <c r="N785" s="145"/>
      <c r="O785" s="145"/>
      <c r="P785" s="145"/>
      <c r="Q785" s="145"/>
      <c r="R785" s="145"/>
      <c r="S785" s="145"/>
      <c r="T785" s="145"/>
      <c r="U785" s="145"/>
      <c r="V785" s="31"/>
      <c r="W785" s="146"/>
      <c r="X785" s="146"/>
      <c r="Z785" s="31"/>
      <c r="AA785" s="31"/>
      <c r="AB785" s="387"/>
      <c r="AC785" s="387"/>
      <c r="AD785" s="637"/>
    </row>
    <row r="787" spans="1:30">
      <c r="A787" s="31"/>
      <c r="B787" s="30"/>
      <c r="C787" s="31"/>
      <c r="D787" s="143"/>
      <c r="E787" s="31"/>
      <c r="F787" s="144"/>
      <c r="G787" s="144"/>
      <c r="H787" s="144"/>
      <c r="I787" s="145"/>
      <c r="J787" s="145"/>
      <c r="K787" s="145"/>
      <c r="L787" s="145"/>
      <c r="M787" s="145"/>
      <c r="N787" s="145"/>
      <c r="O787" s="145"/>
      <c r="P787" s="145"/>
      <c r="Q787" s="145"/>
      <c r="R787" s="145"/>
      <c r="S787" s="145"/>
      <c r="T787" s="145"/>
      <c r="U787" s="145"/>
      <c r="V787" s="31"/>
      <c r="W787" s="146"/>
      <c r="X787" s="146"/>
      <c r="Z787" s="31"/>
      <c r="AA787" s="31"/>
      <c r="AB787" s="387"/>
      <c r="AC787" s="387"/>
      <c r="AD787" s="637"/>
    </row>
    <row r="789" spans="1:30">
      <c r="A789" s="31"/>
      <c r="B789" s="30"/>
      <c r="C789" s="31"/>
      <c r="D789" s="143"/>
      <c r="E789" s="31"/>
      <c r="F789" s="144"/>
      <c r="G789" s="144"/>
      <c r="H789" s="144"/>
      <c r="I789" s="145"/>
      <c r="J789" s="145"/>
      <c r="K789" s="145"/>
      <c r="L789" s="145"/>
      <c r="M789" s="145"/>
      <c r="N789" s="145"/>
      <c r="O789" s="145"/>
      <c r="P789" s="145"/>
      <c r="Q789" s="145"/>
      <c r="R789" s="145"/>
      <c r="S789" s="145"/>
      <c r="T789" s="145"/>
      <c r="U789" s="145"/>
      <c r="V789" s="31"/>
      <c r="W789" s="146"/>
      <c r="X789" s="146"/>
      <c r="Z789" s="31"/>
      <c r="AA789" s="31"/>
      <c r="AB789" s="387"/>
      <c r="AC789" s="387"/>
      <c r="AD789" s="637"/>
    </row>
    <row r="791" spans="1:30">
      <c r="A791" s="31"/>
      <c r="B791" s="30"/>
      <c r="C791" s="31"/>
      <c r="D791" s="143"/>
      <c r="E791" s="31"/>
      <c r="F791" s="144"/>
      <c r="G791" s="144"/>
      <c r="H791" s="144"/>
      <c r="I791" s="145"/>
      <c r="J791" s="145"/>
      <c r="K791" s="145"/>
      <c r="L791" s="145"/>
      <c r="M791" s="145"/>
      <c r="N791" s="145"/>
      <c r="O791" s="145"/>
      <c r="P791" s="145"/>
      <c r="Q791" s="145"/>
      <c r="R791" s="145"/>
      <c r="S791" s="145"/>
      <c r="T791" s="145"/>
      <c r="U791" s="145"/>
      <c r="V791" s="31"/>
      <c r="W791" s="146"/>
      <c r="X791" s="146"/>
      <c r="Z791" s="31"/>
      <c r="AA791" s="31"/>
      <c r="AB791" s="387"/>
      <c r="AC791" s="387"/>
      <c r="AD791" s="637"/>
    </row>
    <row r="793" spans="1:30">
      <c r="A793" s="31"/>
      <c r="B793" s="30"/>
      <c r="C793" s="31"/>
      <c r="D793" s="143"/>
      <c r="E793" s="31"/>
      <c r="F793" s="144"/>
      <c r="G793" s="144"/>
      <c r="H793" s="144"/>
      <c r="I793" s="145"/>
      <c r="J793" s="145"/>
      <c r="K793" s="145"/>
      <c r="L793" s="145"/>
      <c r="M793" s="145"/>
      <c r="N793" s="145"/>
      <c r="O793" s="145"/>
      <c r="P793" s="145"/>
      <c r="Q793" s="145"/>
      <c r="R793" s="145"/>
      <c r="S793" s="145"/>
      <c r="T793" s="145"/>
      <c r="U793" s="145"/>
      <c r="V793" s="31"/>
      <c r="W793" s="146"/>
      <c r="X793" s="146"/>
      <c r="Z793" s="31"/>
      <c r="AA793" s="31"/>
      <c r="AB793" s="387"/>
      <c r="AC793" s="387"/>
      <c r="AD793" s="637"/>
    </row>
    <row r="795" spans="1:30">
      <c r="A795" s="31"/>
      <c r="B795" s="30"/>
      <c r="C795" s="31"/>
      <c r="D795" s="143"/>
      <c r="E795" s="31"/>
      <c r="F795" s="144"/>
      <c r="G795" s="144"/>
      <c r="H795" s="144"/>
      <c r="I795" s="145"/>
      <c r="J795" s="145"/>
      <c r="K795" s="145"/>
      <c r="L795" s="145"/>
      <c r="M795" s="145"/>
      <c r="N795" s="145"/>
      <c r="O795" s="145"/>
      <c r="P795" s="145"/>
      <c r="Q795" s="145"/>
      <c r="R795" s="145"/>
      <c r="S795" s="145"/>
      <c r="T795" s="145"/>
      <c r="U795" s="145"/>
      <c r="V795" s="31"/>
      <c r="W795" s="146"/>
      <c r="X795" s="146"/>
      <c r="Z795" s="31"/>
      <c r="AA795" s="31"/>
      <c r="AB795" s="387"/>
      <c r="AC795" s="387"/>
      <c r="AD795" s="637"/>
    </row>
    <row r="797" spans="1:30">
      <c r="A797" s="31"/>
      <c r="B797" s="30"/>
      <c r="C797" s="31"/>
      <c r="D797" s="143"/>
      <c r="E797" s="31"/>
      <c r="F797" s="144"/>
      <c r="G797" s="144"/>
      <c r="H797" s="144"/>
      <c r="I797" s="145"/>
      <c r="J797" s="145"/>
      <c r="K797" s="145"/>
      <c r="L797" s="145"/>
      <c r="M797" s="145"/>
      <c r="N797" s="145"/>
      <c r="O797" s="145"/>
      <c r="P797" s="145"/>
      <c r="Q797" s="145"/>
      <c r="R797" s="145"/>
      <c r="S797" s="145"/>
      <c r="T797" s="145"/>
      <c r="U797" s="145"/>
      <c r="V797" s="31"/>
      <c r="W797" s="146"/>
      <c r="X797" s="146"/>
      <c r="Z797" s="31"/>
      <c r="AA797" s="31"/>
      <c r="AB797" s="387"/>
      <c r="AC797" s="387"/>
      <c r="AD797" s="637"/>
    </row>
    <row r="799" spans="1:30">
      <c r="A799" s="31"/>
      <c r="B799" s="30"/>
      <c r="C799" s="31"/>
      <c r="D799" s="143"/>
      <c r="E799" s="31"/>
      <c r="F799" s="144"/>
      <c r="G799" s="144"/>
      <c r="H799" s="144"/>
      <c r="I799" s="145"/>
      <c r="J799" s="145"/>
      <c r="K799" s="145"/>
      <c r="L799" s="145"/>
      <c r="M799" s="145"/>
      <c r="N799" s="145"/>
      <c r="O799" s="145"/>
      <c r="P799" s="145"/>
      <c r="Q799" s="145"/>
      <c r="R799" s="145"/>
      <c r="S799" s="145"/>
      <c r="T799" s="145"/>
      <c r="U799" s="145"/>
      <c r="V799" s="31"/>
      <c r="W799" s="146"/>
      <c r="X799" s="146"/>
      <c r="Z799" s="31"/>
      <c r="AA799" s="31"/>
      <c r="AB799" s="387"/>
      <c r="AC799" s="387"/>
      <c r="AD799" s="637"/>
    </row>
    <row r="801" spans="1:30">
      <c r="A801" s="31"/>
      <c r="B801" s="30"/>
      <c r="C801" s="31"/>
      <c r="D801" s="143"/>
      <c r="E801" s="31"/>
      <c r="F801" s="144"/>
      <c r="G801" s="144"/>
      <c r="H801" s="144"/>
      <c r="I801" s="145"/>
      <c r="J801" s="145"/>
      <c r="K801" s="145"/>
      <c r="L801" s="145"/>
      <c r="M801" s="145"/>
      <c r="N801" s="145"/>
      <c r="O801" s="145"/>
      <c r="P801" s="145"/>
      <c r="Q801" s="145"/>
      <c r="R801" s="145"/>
      <c r="S801" s="145"/>
      <c r="T801" s="145"/>
      <c r="U801" s="145"/>
      <c r="V801" s="31"/>
      <c r="W801" s="146"/>
      <c r="X801" s="146"/>
      <c r="Z801" s="31"/>
      <c r="AA801" s="31"/>
      <c r="AB801" s="387"/>
      <c r="AC801" s="387"/>
      <c r="AD801" s="637"/>
    </row>
    <row r="803" spans="1:30">
      <c r="A803" s="31"/>
      <c r="B803" s="30"/>
      <c r="C803" s="31"/>
      <c r="D803" s="143"/>
      <c r="E803" s="31"/>
      <c r="F803" s="144"/>
      <c r="G803" s="144"/>
      <c r="H803" s="144"/>
      <c r="I803" s="145"/>
      <c r="J803" s="145"/>
      <c r="K803" s="145"/>
      <c r="L803" s="145"/>
      <c r="M803" s="145"/>
      <c r="N803" s="145"/>
      <c r="O803" s="145"/>
      <c r="P803" s="145"/>
      <c r="Q803" s="145"/>
      <c r="R803" s="145"/>
      <c r="S803" s="145"/>
      <c r="T803" s="145"/>
      <c r="U803" s="145"/>
      <c r="V803" s="31"/>
      <c r="W803" s="146"/>
      <c r="X803" s="146"/>
      <c r="Z803" s="31"/>
      <c r="AA803" s="31"/>
      <c r="AB803" s="387"/>
      <c r="AC803" s="387"/>
      <c r="AD803" s="637"/>
    </row>
    <row r="805" spans="1:30">
      <c r="A805" s="31"/>
      <c r="B805" s="30"/>
      <c r="C805" s="31"/>
      <c r="D805" s="143"/>
      <c r="E805" s="31"/>
      <c r="F805" s="144"/>
      <c r="G805" s="144"/>
      <c r="H805" s="144"/>
      <c r="I805" s="145"/>
      <c r="J805" s="145"/>
      <c r="K805" s="145"/>
      <c r="L805" s="145"/>
      <c r="M805" s="145"/>
      <c r="N805" s="145"/>
      <c r="O805" s="145"/>
      <c r="P805" s="145"/>
      <c r="Q805" s="145"/>
      <c r="R805" s="145"/>
      <c r="S805" s="145"/>
      <c r="T805" s="145"/>
      <c r="U805" s="145"/>
      <c r="V805" s="31"/>
      <c r="W805" s="146"/>
      <c r="X805" s="146"/>
      <c r="Z805" s="31"/>
      <c r="AA805" s="31"/>
      <c r="AB805" s="387"/>
      <c r="AC805" s="387"/>
      <c r="AD805" s="637"/>
    </row>
    <row r="807" spans="1:30">
      <c r="A807" s="31"/>
      <c r="B807" s="30"/>
      <c r="C807" s="31"/>
      <c r="D807" s="143"/>
      <c r="E807" s="31"/>
      <c r="F807" s="144"/>
      <c r="G807" s="144"/>
      <c r="H807" s="144"/>
      <c r="I807" s="145"/>
      <c r="J807" s="145"/>
      <c r="K807" s="145"/>
      <c r="L807" s="145"/>
      <c r="M807" s="145"/>
      <c r="N807" s="145"/>
      <c r="O807" s="145"/>
      <c r="P807" s="145"/>
      <c r="Q807" s="145"/>
      <c r="R807" s="145"/>
      <c r="S807" s="145"/>
      <c r="T807" s="145"/>
      <c r="U807" s="145"/>
      <c r="V807" s="31"/>
      <c r="W807" s="146"/>
      <c r="X807" s="146"/>
      <c r="Z807" s="31"/>
      <c r="AA807" s="31"/>
      <c r="AB807" s="387"/>
      <c r="AC807" s="387"/>
      <c r="AD807" s="637"/>
    </row>
    <row r="809" spans="1:30">
      <c r="A809" s="31"/>
      <c r="B809" s="30"/>
      <c r="C809" s="31"/>
      <c r="D809" s="143"/>
      <c r="E809" s="31"/>
      <c r="F809" s="144"/>
      <c r="G809" s="144"/>
      <c r="H809" s="144"/>
      <c r="I809" s="145"/>
      <c r="J809" s="145"/>
      <c r="K809" s="145"/>
      <c r="L809" s="145"/>
      <c r="M809" s="145"/>
      <c r="N809" s="145"/>
      <c r="O809" s="145"/>
      <c r="P809" s="145"/>
      <c r="Q809" s="145"/>
      <c r="R809" s="145"/>
      <c r="S809" s="145"/>
      <c r="T809" s="145"/>
      <c r="U809" s="145"/>
      <c r="V809" s="31"/>
      <c r="W809" s="146"/>
      <c r="X809" s="146"/>
      <c r="Z809" s="31"/>
      <c r="AA809" s="31"/>
      <c r="AB809" s="387"/>
      <c r="AC809" s="387"/>
      <c r="AD809" s="637"/>
    </row>
    <row r="811" spans="1:30">
      <c r="A811" s="31"/>
      <c r="B811" s="30"/>
      <c r="C811" s="31"/>
      <c r="D811" s="143"/>
      <c r="E811" s="31"/>
      <c r="F811" s="144"/>
      <c r="G811" s="144"/>
      <c r="H811" s="144"/>
      <c r="I811" s="145"/>
      <c r="J811" s="145"/>
      <c r="K811" s="145"/>
      <c r="L811" s="145"/>
      <c r="M811" s="145"/>
      <c r="N811" s="145"/>
      <c r="O811" s="145"/>
      <c r="P811" s="145"/>
      <c r="Q811" s="145"/>
      <c r="R811" s="145"/>
      <c r="S811" s="145"/>
      <c r="T811" s="145"/>
      <c r="U811" s="145"/>
      <c r="V811" s="31"/>
      <c r="W811" s="146"/>
      <c r="X811" s="146"/>
      <c r="Z811" s="31"/>
      <c r="AA811" s="31"/>
      <c r="AB811" s="387"/>
      <c r="AC811" s="387"/>
      <c r="AD811" s="637"/>
    </row>
    <row r="813" spans="1:30">
      <c r="A813" s="31"/>
      <c r="B813" s="30"/>
      <c r="C813" s="31"/>
      <c r="D813" s="143"/>
      <c r="E813" s="31"/>
      <c r="F813" s="144"/>
      <c r="G813" s="144"/>
      <c r="H813" s="144"/>
      <c r="I813" s="145"/>
      <c r="J813" s="145"/>
      <c r="K813" s="145"/>
      <c r="L813" s="145"/>
      <c r="M813" s="145"/>
      <c r="N813" s="145"/>
      <c r="O813" s="145"/>
      <c r="P813" s="145"/>
      <c r="Q813" s="145"/>
      <c r="R813" s="145"/>
      <c r="S813" s="145"/>
      <c r="T813" s="145"/>
      <c r="U813" s="145"/>
      <c r="V813" s="31"/>
      <c r="W813" s="146"/>
      <c r="X813" s="146"/>
      <c r="Z813" s="31"/>
      <c r="AA813" s="31"/>
      <c r="AB813" s="387"/>
      <c r="AC813" s="387"/>
      <c r="AD813" s="637"/>
    </row>
    <row r="815" spans="1:30">
      <c r="A815" s="31"/>
      <c r="B815" s="30"/>
      <c r="C815" s="31"/>
      <c r="D815" s="143"/>
      <c r="E815" s="31"/>
      <c r="F815" s="144"/>
      <c r="G815" s="144"/>
      <c r="H815" s="144"/>
      <c r="I815" s="145"/>
      <c r="J815" s="145"/>
      <c r="K815" s="145"/>
      <c r="L815" s="145"/>
      <c r="M815" s="145"/>
      <c r="N815" s="145"/>
      <c r="O815" s="145"/>
      <c r="P815" s="145"/>
      <c r="Q815" s="145"/>
      <c r="R815" s="145"/>
      <c r="S815" s="145"/>
      <c r="T815" s="145"/>
      <c r="U815" s="145"/>
      <c r="V815" s="31"/>
      <c r="W815" s="146"/>
      <c r="X815" s="146"/>
      <c r="Z815" s="31"/>
      <c r="AA815" s="31"/>
      <c r="AB815" s="387"/>
      <c r="AC815" s="387"/>
      <c r="AD815" s="637"/>
    </row>
    <row r="817" spans="1:30">
      <c r="A817" s="31"/>
      <c r="B817" s="30"/>
      <c r="C817" s="31"/>
      <c r="D817" s="143"/>
      <c r="E817" s="31"/>
      <c r="F817" s="144"/>
      <c r="G817" s="144"/>
      <c r="H817" s="144"/>
      <c r="I817" s="145"/>
      <c r="J817" s="145"/>
      <c r="K817" s="145"/>
      <c r="L817" s="145"/>
      <c r="M817" s="145"/>
      <c r="N817" s="145"/>
      <c r="O817" s="145"/>
      <c r="P817" s="145"/>
      <c r="Q817" s="145"/>
      <c r="R817" s="145"/>
      <c r="S817" s="145"/>
      <c r="T817" s="145"/>
      <c r="U817" s="145"/>
      <c r="V817" s="31"/>
      <c r="W817" s="146"/>
      <c r="X817" s="146"/>
      <c r="Z817" s="31"/>
      <c r="AA817" s="31"/>
      <c r="AB817" s="387"/>
      <c r="AC817" s="387"/>
      <c r="AD817" s="637"/>
    </row>
    <row r="819" spans="1:30">
      <c r="A819" s="31"/>
      <c r="B819" s="30"/>
      <c r="C819" s="31"/>
      <c r="D819" s="143"/>
      <c r="E819" s="31"/>
      <c r="F819" s="144"/>
      <c r="G819" s="144"/>
      <c r="H819" s="144"/>
      <c r="I819" s="145"/>
      <c r="J819" s="145"/>
      <c r="K819" s="145"/>
      <c r="L819" s="145"/>
      <c r="M819" s="145"/>
      <c r="N819" s="145"/>
      <c r="O819" s="145"/>
      <c r="P819" s="145"/>
      <c r="Q819" s="145"/>
      <c r="R819" s="145"/>
      <c r="S819" s="145"/>
      <c r="T819" s="145"/>
      <c r="U819" s="145"/>
      <c r="V819" s="31"/>
      <c r="W819" s="146"/>
      <c r="X819" s="146"/>
      <c r="Z819" s="31"/>
      <c r="AA819" s="31"/>
      <c r="AB819" s="387"/>
      <c r="AC819" s="387"/>
      <c r="AD819" s="637"/>
    </row>
    <row r="821" spans="1:30">
      <c r="A821" s="31"/>
      <c r="B821" s="30"/>
      <c r="C821" s="31"/>
      <c r="D821" s="143"/>
      <c r="E821" s="31"/>
      <c r="F821" s="144"/>
      <c r="G821" s="144"/>
      <c r="H821" s="144"/>
      <c r="I821" s="145"/>
      <c r="J821" s="145"/>
      <c r="K821" s="145"/>
      <c r="L821" s="145"/>
      <c r="M821" s="145"/>
      <c r="N821" s="145"/>
      <c r="O821" s="145"/>
      <c r="P821" s="145"/>
      <c r="Q821" s="145"/>
      <c r="R821" s="145"/>
      <c r="S821" s="145"/>
      <c r="T821" s="145"/>
      <c r="U821" s="145"/>
      <c r="V821" s="31"/>
      <c r="W821" s="146"/>
      <c r="X821" s="146"/>
      <c r="Z821" s="31"/>
      <c r="AA821" s="31"/>
      <c r="AB821" s="387"/>
      <c r="AC821" s="387"/>
      <c r="AD821" s="637"/>
    </row>
    <row r="823" spans="1:30">
      <c r="A823" s="31"/>
      <c r="B823" s="30"/>
      <c r="C823" s="31"/>
      <c r="D823" s="143"/>
      <c r="E823" s="31"/>
      <c r="F823" s="144"/>
      <c r="G823" s="144"/>
      <c r="H823" s="144"/>
      <c r="I823" s="145"/>
      <c r="J823" s="145"/>
      <c r="K823" s="145"/>
      <c r="L823" s="145"/>
      <c r="M823" s="145"/>
      <c r="N823" s="145"/>
      <c r="O823" s="145"/>
      <c r="P823" s="145"/>
      <c r="Q823" s="145"/>
      <c r="R823" s="145"/>
      <c r="S823" s="145"/>
      <c r="T823" s="145"/>
      <c r="U823" s="145"/>
      <c r="V823" s="31"/>
      <c r="W823" s="146"/>
      <c r="X823" s="146"/>
      <c r="Z823" s="31"/>
      <c r="AA823" s="31"/>
      <c r="AB823" s="387"/>
      <c r="AC823" s="387"/>
      <c r="AD823" s="637"/>
    </row>
    <row r="825" spans="1:30">
      <c r="A825" s="31"/>
      <c r="B825" s="30"/>
      <c r="C825" s="31"/>
      <c r="D825" s="143"/>
      <c r="E825" s="31"/>
      <c r="F825" s="144"/>
      <c r="G825" s="144"/>
      <c r="H825" s="144"/>
      <c r="I825" s="145"/>
      <c r="J825" s="145"/>
      <c r="K825" s="145"/>
      <c r="L825" s="145"/>
      <c r="M825" s="145"/>
      <c r="N825" s="145"/>
      <c r="O825" s="145"/>
      <c r="P825" s="145"/>
      <c r="Q825" s="145"/>
      <c r="R825" s="145"/>
      <c r="S825" s="145"/>
      <c r="T825" s="145"/>
      <c r="U825" s="145"/>
      <c r="V825" s="31"/>
      <c r="W825" s="146"/>
      <c r="X825" s="146"/>
      <c r="Z825" s="31"/>
      <c r="AA825" s="31"/>
      <c r="AB825" s="387"/>
      <c r="AC825" s="387"/>
      <c r="AD825" s="637"/>
    </row>
    <row r="827" spans="1:30">
      <c r="A827" s="31"/>
      <c r="B827" s="30"/>
      <c r="C827" s="31"/>
      <c r="D827" s="143"/>
      <c r="E827" s="31"/>
      <c r="F827" s="144"/>
      <c r="G827" s="144"/>
      <c r="H827" s="144"/>
      <c r="I827" s="145"/>
      <c r="J827" s="145"/>
      <c r="K827" s="145"/>
      <c r="L827" s="145"/>
      <c r="M827" s="145"/>
      <c r="N827" s="145"/>
      <c r="O827" s="145"/>
      <c r="P827" s="145"/>
      <c r="Q827" s="145"/>
      <c r="R827" s="145"/>
      <c r="S827" s="145"/>
      <c r="T827" s="145"/>
      <c r="U827" s="145"/>
      <c r="V827" s="31"/>
      <c r="W827" s="146"/>
      <c r="X827" s="146"/>
      <c r="Z827" s="31"/>
      <c r="AA827" s="31"/>
      <c r="AB827" s="387"/>
      <c r="AC827" s="387"/>
      <c r="AD827" s="637"/>
    </row>
    <row r="829" spans="1:30">
      <c r="A829" s="31"/>
      <c r="B829" s="30"/>
      <c r="C829" s="31"/>
      <c r="D829" s="143"/>
      <c r="E829" s="31"/>
      <c r="F829" s="144"/>
      <c r="G829" s="144"/>
      <c r="H829" s="144"/>
      <c r="I829" s="145"/>
      <c r="J829" s="145"/>
      <c r="K829" s="145"/>
      <c r="L829" s="145"/>
      <c r="M829" s="145"/>
      <c r="N829" s="145"/>
      <c r="O829" s="145"/>
      <c r="P829" s="145"/>
      <c r="Q829" s="145"/>
      <c r="R829" s="145"/>
      <c r="S829" s="145"/>
      <c r="T829" s="145"/>
      <c r="U829" s="145"/>
      <c r="V829" s="31"/>
      <c r="W829" s="146"/>
      <c r="X829" s="146"/>
      <c r="Z829" s="31"/>
      <c r="AA829" s="31"/>
      <c r="AB829" s="387"/>
      <c r="AC829" s="387"/>
      <c r="AD829" s="637"/>
    </row>
    <row r="831" spans="1:30">
      <c r="A831" s="31"/>
      <c r="B831" s="30"/>
      <c r="C831" s="31"/>
      <c r="D831" s="143"/>
      <c r="E831" s="31"/>
      <c r="F831" s="144"/>
      <c r="G831" s="144"/>
      <c r="H831" s="144"/>
      <c r="I831" s="145"/>
      <c r="J831" s="145"/>
      <c r="K831" s="145"/>
      <c r="L831" s="145"/>
      <c r="M831" s="145"/>
      <c r="N831" s="145"/>
      <c r="O831" s="145"/>
      <c r="P831" s="145"/>
      <c r="Q831" s="145"/>
      <c r="R831" s="145"/>
      <c r="S831" s="145"/>
      <c r="T831" s="145"/>
      <c r="U831" s="145"/>
      <c r="V831" s="31"/>
      <c r="W831" s="146"/>
      <c r="X831" s="146"/>
      <c r="Z831" s="31"/>
      <c r="AA831" s="31"/>
      <c r="AB831" s="387"/>
      <c r="AC831" s="387"/>
      <c r="AD831" s="637"/>
    </row>
    <row r="833" spans="1:30">
      <c r="A833" s="31"/>
      <c r="B833" s="30"/>
      <c r="C833" s="31"/>
      <c r="D833" s="143"/>
      <c r="E833" s="31"/>
      <c r="F833" s="144"/>
      <c r="G833" s="144"/>
      <c r="H833" s="144"/>
      <c r="I833" s="145"/>
      <c r="J833" s="145"/>
      <c r="K833" s="145"/>
      <c r="L833" s="145"/>
      <c r="M833" s="145"/>
      <c r="N833" s="145"/>
      <c r="O833" s="145"/>
      <c r="P833" s="145"/>
      <c r="Q833" s="145"/>
      <c r="R833" s="145"/>
      <c r="S833" s="145"/>
      <c r="T833" s="145"/>
      <c r="U833" s="145"/>
      <c r="V833" s="31"/>
      <c r="W833" s="146"/>
      <c r="X833" s="146"/>
      <c r="Z833" s="31"/>
      <c r="AA833" s="31"/>
      <c r="AB833" s="387"/>
      <c r="AC833" s="387"/>
      <c r="AD833" s="637"/>
    </row>
    <row r="835" spans="1:30">
      <c r="A835" s="31"/>
      <c r="B835" s="30"/>
      <c r="C835" s="31"/>
      <c r="D835" s="143"/>
      <c r="E835" s="31"/>
      <c r="F835" s="144"/>
      <c r="G835" s="144"/>
      <c r="H835" s="144"/>
      <c r="I835" s="145"/>
      <c r="J835" s="145"/>
      <c r="K835" s="145"/>
      <c r="L835" s="145"/>
      <c r="M835" s="145"/>
      <c r="N835" s="145"/>
      <c r="O835" s="145"/>
      <c r="P835" s="145"/>
      <c r="Q835" s="145"/>
      <c r="R835" s="145"/>
      <c r="S835" s="145"/>
      <c r="T835" s="145"/>
      <c r="U835" s="145"/>
      <c r="V835" s="31"/>
      <c r="W835" s="146"/>
      <c r="X835" s="146"/>
      <c r="Z835" s="31"/>
      <c r="AA835" s="31"/>
      <c r="AB835" s="387"/>
      <c r="AC835" s="387"/>
      <c r="AD835" s="637"/>
    </row>
    <row r="837" spans="1:30">
      <c r="A837" s="31"/>
      <c r="B837" s="30"/>
      <c r="C837" s="31"/>
      <c r="D837" s="143"/>
      <c r="E837" s="31"/>
      <c r="F837" s="144"/>
      <c r="G837" s="144"/>
      <c r="H837" s="144"/>
      <c r="I837" s="145"/>
      <c r="J837" s="145"/>
      <c r="K837" s="145"/>
      <c r="L837" s="145"/>
      <c r="M837" s="145"/>
      <c r="N837" s="145"/>
      <c r="O837" s="145"/>
      <c r="P837" s="145"/>
      <c r="Q837" s="145"/>
      <c r="R837" s="145"/>
      <c r="S837" s="145"/>
      <c r="T837" s="145"/>
      <c r="U837" s="145"/>
      <c r="V837" s="31"/>
      <c r="W837" s="146"/>
      <c r="X837" s="146"/>
      <c r="Z837" s="31"/>
      <c r="AA837" s="31"/>
      <c r="AB837" s="387"/>
      <c r="AC837" s="387"/>
      <c r="AD837" s="637"/>
    </row>
    <row r="839" spans="1:30">
      <c r="A839" s="31"/>
      <c r="B839" s="30"/>
      <c r="C839" s="31"/>
      <c r="D839" s="143"/>
      <c r="E839" s="31"/>
      <c r="F839" s="144"/>
      <c r="G839" s="144"/>
      <c r="H839" s="144"/>
      <c r="I839" s="145"/>
      <c r="J839" s="145"/>
      <c r="K839" s="145"/>
      <c r="L839" s="145"/>
      <c r="M839" s="145"/>
      <c r="N839" s="145"/>
      <c r="O839" s="145"/>
      <c r="P839" s="145"/>
      <c r="Q839" s="145"/>
      <c r="R839" s="145"/>
      <c r="S839" s="145"/>
      <c r="T839" s="145"/>
      <c r="U839" s="145"/>
      <c r="V839" s="31"/>
      <c r="W839" s="146"/>
      <c r="X839" s="146"/>
      <c r="Z839" s="31"/>
      <c r="AA839" s="31"/>
      <c r="AB839" s="387"/>
      <c r="AC839" s="387"/>
      <c r="AD839" s="637"/>
    </row>
    <row r="841" spans="1:30">
      <c r="A841" s="31"/>
      <c r="B841" s="30"/>
      <c r="C841" s="31"/>
      <c r="D841" s="143"/>
      <c r="E841" s="31"/>
      <c r="F841" s="144"/>
      <c r="G841" s="144"/>
      <c r="H841" s="144"/>
      <c r="I841" s="145"/>
      <c r="J841" s="145"/>
      <c r="K841" s="145"/>
      <c r="L841" s="145"/>
      <c r="M841" s="145"/>
      <c r="N841" s="145"/>
      <c r="O841" s="145"/>
      <c r="P841" s="145"/>
      <c r="Q841" s="145"/>
      <c r="R841" s="145"/>
      <c r="S841" s="145"/>
      <c r="T841" s="145"/>
      <c r="U841" s="145"/>
      <c r="V841" s="31"/>
      <c r="W841" s="146"/>
      <c r="X841" s="146"/>
      <c r="Z841" s="31"/>
      <c r="AA841" s="31"/>
      <c r="AB841" s="387"/>
      <c r="AC841" s="387"/>
      <c r="AD841" s="637"/>
    </row>
    <row r="843" spans="1:30">
      <c r="A843" s="31"/>
      <c r="B843" s="30"/>
      <c r="C843" s="31"/>
      <c r="D843" s="143"/>
      <c r="E843" s="31"/>
      <c r="F843" s="144"/>
      <c r="G843" s="144"/>
      <c r="H843" s="144"/>
      <c r="I843" s="145"/>
      <c r="J843" s="145"/>
      <c r="K843" s="145"/>
      <c r="L843" s="145"/>
      <c r="M843" s="145"/>
      <c r="N843" s="145"/>
      <c r="O843" s="145"/>
      <c r="P843" s="145"/>
      <c r="Q843" s="145"/>
      <c r="R843" s="145"/>
      <c r="S843" s="145"/>
      <c r="T843" s="145"/>
      <c r="U843" s="145"/>
      <c r="V843" s="31"/>
      <c r="W843" s="146"/>
      <c r="X843" s="146"/>
      <c r="Z843" s="31"/>
      <c r="AA843" s="31"/>
      <c r="AB843" s="387"/>
      <c r="AC843" s="387"/>
      <c r="AD843" s="637"/>
    </row>
    <row r="845" spans="1:30">
      <c r="A845" s="31"/>
      <c r="B845" s="30"/>
      <c r="C845" s="31"/>
      <c r="D845" s="143"/>
      <c r="E845" s="31"/>
      <c r="F845" s="144"/>
      <c r="G845" s="144"/>
      <c r="H845" s="144"/>
      <c r="I845" s="145"/>
      <c r="J845" s="145"/>
      <c r="K845" s="145"/>
      <c r="L845" s="145"/>
      <c r="M845" s="145"/>
      <c r="N845" s="145"/>
      <c r="O845" s="145"/>
      <c r="P845" s="145"/>
      <c r="Q845" s="145"/>
      <c r="R845" s="145"/>
      <c r="S845" s="145"/>
      <c r="T845" s="145"/>
      <c r="U845" s="145"/>
      <c r="V845" s="31"/>
      <c r="W845" s="146"/>
      <c r="X845" s="146"/>
      <c r="Z845" s="31"/>
      <c r="AA845" s="31"/>
      <c r="AB845" s="387"/>
      <c r="AC845" s="387"/>
      <c r="AD845" s="637"/>
    </row>
    <row r="847" spans="1:30">
      <c r="A847" s="31"/>
      <c r="B847" s="30"/>
      <c r="C847" s="31"/>
      <c r="D847" s="143"/>
      <c r="E847" s="31"/>
      <c r="F847" s="144"/>
      <c r="G847" s="144"/>
      <c r="H847" s="144"/>
      <c r="I847" s="145"/>
      <c r="J847" s="145"/>
      <c r="K847" s="145"/>
      <c r="L847" s="145"/>
      <c r="M847" s="145"/>
      <c r="N847" s="145"/>
      <c r="O847" s="145"/>
      <c r="P847" s="145"/>
      <c r="Q847" s="145"/>
      <c r="R847" s="145"/>
      <c r="S847" s="145"/>
      <c r="T847" s="145"/>
      <c r="U847" s="145"/>
      <c r="V847" s="31"/>
      <c r="W847" s="146"/>
      <c r="X847" s="146"/>
      <c r="Z847" s="31"/>
      <c r="AA847" s="31"/>
      <c r="AB847" s="387"/>
      <c r="AC847" s="387"/>
      <c r="AD847" s="637"/>
    </row>
    <row r="849" spans="1:30">
      <c r="A849" s="31"/>
      <c r="B849" s="30"/>
      <c r="C849" s="31"/>
      <c r="D849" s="143"/>
      <c r="E849" s="31"/>
      <c r="F849" s="144"/>
      <c r="G849" s="144"/>
      <c r="H849" s="144"/>
      <c r="I849" s="145"/>
      <c r="J849" s="145"/>
      <c r="K849" s="145"/>
      <c r="L849" s="145"/>
      <c r="M849" s="145"/>
      <c r="N849" s="145"/>
      <c r="O849" s="145"/>
      <c r="P849" s="145"/>
      <c r="Q849" s="145"/>
      <c r="R849" s="145"/>
      <c r="S849" s="145"/>
      <c r="T849" s="145"/>
      <c r="U849" s="145"/>
      <c r="V849" s="31"/>
      <c r="W849" s="146"/>
      <c r="X849" s="146"/>
      <c r="Z849" s="31"/>
      <c r="AA849" s="31"/>
      <c r="AB849" s="387"/>
      <c r="AC849" s="387"/>
      <c r="AD849" s="637"/>
    </row>
    <row r="851" spans="1:30">
      <c r="A851" s="31"/>
      <c r="B851" s="30"/>
      <c r="C851" s="31"/>
      <c r="D851" s="143"/>
      <c r="E851" s="31"/>
      <c r="F851" s="144"/>
      <c r="G851" s="144"/>
      <c r="H851" s="144"/>
      <c r="I851" s="145"/>
      <c r="J851" s="145"/>
      <c r="K851" s="145"/>
      <c r="L851" s="145"/>
      <c r="M851" s="145"/>
      <c r="N851" s="145"/>
      <c r="O851" s="145"/>
      <c r="P851" s="145"/>
      <c r="Q851" s="145"/>
      <c r="R851" s="145"/>
      <c r="S851" s="145"/>
      <c r="T851" s="145"/>
      <c r="U851" s="145"/>
      <c r="V851" s="31"/>
      <c r="W851" s="146"/>
      <c r="X851" s="146"/>
      <c r="Z851" s="31"/>
      <c r="AA851" s="31"/>
      <c r="AB851" s="387"/>
      <c r="AC851" s="387"/>
      <c r="AD851" s="637"/>
    </row>
    <row r="853" spans="1:30">
      <c r="A853" s="31"/>
      <c r="B853" s="30"/>
      <c r="C853" s="31"/>
      <c r="D853" s="143"/>
      <c r="E853" s="31"/>
      <c r="F853" s="144"/>
      <c r="G853" s="144"/>
      <c r="H853" s="144"/>
      <c r="I853" s="145"/>
      <c r="J853" s="145"/>
      <c r="K853" s="145"/>
      <c r="L853" s="145"/>
      <c r="M853" s="145"/>
      <c r="N853" s="145"/>
      <c r="O853" s="145"/>
      <c r="P853" s="145"/>
      <c r="Q853" s="145"/>
      <c r="R853" s="145"/>
      <c r="S853" s="145"/>
      <c r="T853" s="145"/>
      <c r="U853" s="145"/>
      <c r="V853" s="31"/>
      <c r="W853" s="146"/>
      <c r="X853" s="146"/>
      <c r="Z853" s="31"/>
      <c r="AA853" s="31"/>
      <c r="AB853" s="387"/>
      <c r="AC853" s="387"/>
      <c r="AD853" s="637"/>
    </row>
    <row r="855" spans="1:30">
      <c r="A855" s="31"/>
      <c r="B855" s="30"/>
      <c r="C855" s="31"/>
      <c r="D855" s="143"/>
      <c r="E855" s="31"/>
      <c r="F855" s="144"/>
      <c r="G855" s="144"/>
      <c r="H855" s="144"/>
      <c r="I855" s="145"/>
      <c r="J855" s="145"/>
      <c r="K855" s="145"/>
      <c r="L855" s="145"/>
      <c r="M855" s="145"/>
      <c r="N855" s="145"/>
      <c r="O855" s="145"/>
      <c r="P855" s="145"/>
      <c r="Q855" s="145"/>
      <c r="R855" s="145"/>
      <c r="S855" s="145"/>
      <c r="T855" s="145"/>
      <c r="U855" s="145"/>
      <c r="V855" s="31"/>
      <c r="W855" s="146"/>
      <c r="X855" s="146"/>
      <c r="Z855" s="31"/>
      <c r="AA855" s="31"/>
      <c r="AB855" s="387"/>
      <c r="AC855" s="387"/>
      <c r="AD855" s="637"/>
    </row>
    <row r="857" spans="1:30">
      <c r="A857" s="31"/>
      <c r="B857" s="30"/>
      <c r="C857" s="31"/>
      <c r="D857" s="143"/>
      <c r="E857" s="31"/>
      <c r="F857" s="144"/>
      <c r="G857" s="144"/>
      <c r="H857" s="144"/>
      <c r="I857" s="145"/>
      <c r="J857" s="145"/>
      <c r="K857" s="145"/>
      <c r="L857" s="145"/>
      <c r="M857" s="145"/>
      <c r="N857" s="145"/>
      <c r="O857" s="145"/>
      <c r="P857" s="145"/>
      <c r="Q857" s="145"/>
      <c r="R857" s="145"/>
      <c r="S857" s="145"/>
      <c r="T857" s="145"/>
      <c r="U857" s="145"/>
      <c r="V857" s="31"/>
      <c r="W857" s="146"/>
      <c r="X857" s="146"/>
      <c r="Z857" s="31"/>
      <c r="AA857" s="31"/>
      <c r="AB857" s="387"/>
      <c r="AC857" s="387"/>
      <c r="AD857" s="637"/>
    </row>
    <row r="859" spans="1:30">
      <c r="A859" s="31"/>
      <c r="B859" s="30"/>
      <c r="C859" s="31"/>
      <c r="D859" s="143"/>
      <c r="E859" s="31"/>
      <c r="F859" s="144"/>
      <c r="G859" s="144"/>
      <c r="H859" s="144"/>
      <c r="I859" s="145"/>
      <c r="J859" s="145"/>
      <c r="K859" s="145"/>
      <c r="L859" s="145"/>
      <c r="M859" s="145"/>
      <c r="N859" s="145"/>
      <c r="O859" s="145"/>
      <c r="P859" s="145"/>
      <c r="Q859" s="145"/>
      <c r="R859" s="145"/>
      <c r="S859" s="145"/>
      <c r="T859" s="145"/>
      <c r="U859" s="145"/>
      <c r="V859" s="31"/>
      <c r="W859" s="146"/>
      <c r="X859" s="146"/>
      <c r="Z859" s="31"/>
      <c r="AA859" s="31"/>
      <c r="AB859" s="387"/>
      <c r="AC859" s="387"/>
      <c r="AD859" s="637"/>
    </row>
    <row r="861" spans="1:30">
      <c r="A861" s="31"/>
      <c r="B861" s="30"/>
      <c r="C861" s="31"/>
      <c r="D861" s="143"/>
      <c r="E861" s="31"/>
      <c r="F861" s="144"/>
      <c r="G861" s="144"/>
      <c r="H861" s="144"/>
      <c r="I861" s="145"/>
      <c r="J861" s="145"/>
      <c r="K861" s="145"/>
      <c r="L861" s="145"/>
      <c r="M861" s="145"/>
      <c r="N861" s="145"/>
      <c r="O861" s="145"/>
      <c r="P861" s="145"/>
      <c r="Q861" s="145"/>
      <c r="R861" s="145"/>
      <c r="S861" s="145"/>
      <c r="T861" s="145"/>
      <c r="U861" s="145"/>
      <c r="V861" s="31"/>
      <c r="W861" s="146"/>
      <c r="X861" s="146"/>
      <c r="Z861" s="31"/>
      <c r="AA861" s="31"/>
      <c r="AB861" s="387"/>
      <c r="AC861" s="387"/>
      <c r="AD861" s="637"/>
    </row>
    <row r="863" spans="1:30">
      <c r="A863" s="31"/>
      <c r="B863" s="30"/>
      <c r="C863" s="31"/>
      <c r="D863" s="143"/>
      <c r="E863" s="31"/>
      <c r="F863" s="144"/>
      <c r="G863" s="144"/>
      <c r="H863" s="144"/>
      <c r="I863" s="145"/>
      <c r="J863" s="145"/>
      <c r="K863" s="145"/>
      <c r="L863" s="145"/>
      <c r="M863" s="145"/>
      <c r="N863" s="145"/>
      <c r="O863" s="145"/>
      <c r="P863" s="145"/>
      <c r="Q863" s="145"/>
      <c r="R863" s="145"/>
      <c r="S863" s="145"/>
      <c r="T863" s="145"/>
      <c r="U863" s="145"/>
      <c r="V863" s="31"/>
      <c r="W863" s="146"/>
      <c r="X863" s="146"/>
      <c r="Z863" s="31"/>
      <c r="AA863" s="31"/>
      <c r="AB863" s="387"/>
      <c r="AC863" s="387"/>
      <c r="AD863" s="637"/>
    </row>
    <row r="865" spans="1:30">
      <c r="A865" s="31"/>
      <c r="B865" s="30"/>
      <c r="C865" s="31"/>
      <c r="D865" s="143"/>
      <c r="E865" s="31"/>
      <c r="F865" s="144"/>
      <c r="G865" s="144"/>
      <c r="H865" s="144"/>
      <c r="I865" s="145"/>
      <c r="J865" s="145"/>
      <c r="K865" s="145"/>
      <c r="L865" s="145"/>
      <c r="M865" s="145"/>
      <c r="N865" s="145"/>
      <c r="O865" s="145"/>
      <c r="P865" s="145"/>
      <c r="Q865" s="145"/>
      <c r="R865" s="145"/>
      <c r="S865" s="145"/>
      <c r="T865" s="145"/>
      <c r="U865" s="145"/>
      <c r="V865" s="31"/>
      <c r="W865" s="146"/>
      <c r="X865" s="146"/>
      <c r="Z865" s="31"/>
      <c r="AA865" s="31"/>
      <c r="AB865" s="387"/>
      <c r="AC865" s="387"/>
      <c r="AD865" s="637"/>
    </row>
    <row r="867" spans="1:30">
      <c r="A867" s="31"/>
      <c r="B867" s="30"/>
      <c r="C867" s="31"/>
      <c r="D867" s="143"/>
      <c r="E867" s="31"/>
      <c r="F867" s="144"/>
      <c r="G867" s="144"/>
      <c r="H867" s="144"/>
      <c r="I867" s="145"/>
      <c r="J867" s="145"/>
      <c r="K867" s="145"/>
      <c r="L867" s="145"/>
      <c r="M867" s="145"/>
      <c r="N867" s="145"/>
      <c r="O867" s="145"/>
      <c r="P867" s="145"/>
      <c r="Q867" s="145"/>
      <c r="R867" s="145"/>
      <c r="S867" s="145"/>
      <c r="T867" s="145"/>
      <c r="U867" s="145"/>
      <c r="V867" s="31"/>
      <c r="W867" s="146"/>
      <c r="X867" s="146"/>
      <c r="Z867" s="31"/>
      <c r="AA867" s="31"/>
      <c r="AB867" s="387"/>
      <c r="AC867" s="387"/>
      <c r="AD867" s="637"/>
    </row>
    <row r="869" spans="1:30">
      <c r="A869" s="31"/>
      <c r="B869" s="30"/>
      <c r="C869" s="31"/>
      <c r="D869" s="143"/>
      <c r="E869" s="31"/>
      <c r="F869" s="144"/>
      <c r="G869" s="144"/>
      <c r="H869" s="144"/>
      <c r="I869" s="145"/>
      <c r="J869" s="145"/>
      <c r="K869" s="145"/>
      <c r="L869" s="145"/>
      <c r="M869" s="145"/>
      <c r="N869" s="145"/>
      <c r="O869" s="145"/>
      <c r="P869" s="145"/>
      <c r="Q869" s="145"/>
      <c r="R869" s="145"/>
      <c r="S869" s="145"/>
      <c r="T869" s="145"/>
      <c r="U869" s="145"/>
      <c r="V869" s="31"/>
      <c r="W869" s="146"/>
      <c r="X869" s="146"/>
      <c r="Z869" s="31"/>
      <c r="AA869" s="31"/>
      <c r="AB869" s="387"/>
      <c r="AC869" s="387"/>
      <c r="AD869" s="637"/>
    </row>
    <row r="871" spans="1:30">
      <c r="A871" s="31"/>
      <c r="B871" s="30"/>
      <c r="C871" s="31"/>
      <c r="D871" s="143"/>
      <c r="E871" s="31"/>
      <c r="F871" s="144"/>
      <c r="G871" s="144"/>
      <c r="H871" s="144"/>
      <c r="I871" s="145"/>
      <c r="J871" s="145"/>
      <c r="K871" s="145"/>
      <c r="L871" s="145"/>
      <c r="M871" s="145"/>
      <c r="N871" s="145"/>
      <c r="O871" s="145"/>
      <c r="P871" s="145"/>
      <c r="Q871" s="145"/>
      <c r="R871" s="145"/>
      <c r="S871" s="145"/>
      <c r="T871" s="145"/>
      <c r="U871" s="145"/>
      <c r="V871" s="31"/>
      <c r="W871" s="146"/>
      <c r="X871" s="146"/>
      <c r="Z871" s="31"/>
      <c r="AA871" s="31"/>
      <c r="AB871" s="387"/>
      <c r="AC871" s="387"/>
      <c r="AD871" s="637"/>
    </row>
    <row r="873" spans="1:30">
      <c r="A873" s="31"/>
      <c r="B873" s="30"/>
      <c r="C873" s="31"/>
      <c r="D873" s="143"/>
      <c r="E873" s="31"/>
      <c r="F873" s="144"/>
      <c r="G873" s="144"/>
      <c r="H873" s="144"/>
      <c r="I873" s="145"/>
      <c r="J873" s="145"/>
      <c r="K873" s="145"/>
      <c r="L873" s="145"/>
      <c r="M873" s="145"/>
      <c r="N873" s="145"/>
      <c r="O873" s="145"/>
      <c r="P873" s="145"/>
      <c r="Q873" s="145"/>
      <c r="R873" s="145"/>
      <c r="S873" s="145"/>
      <c r="T873" s="145"/>
      <c r="U873" s="145"/>
      <c r="V873" s="31"/>
      <c r="W873" s="146"/>
      <c r="X873" s="146"/>
      <c r="Z873" s="31"/>
      <c r="AA873" s="31"/>
      <c r="AB873" s="387"/>
      <c r="AC873" s="387"/>
      <c r="AD873" s="637"/>
    </row>
    <row r="875" spans="1:30">
      <c r="A875" s="31"/>
      <c r="B875" s="30"/>
      <c r="C875" s="31"/>
      <c r="D875" s="143"/>
      <c r="E875" s="31"/>
      <c r="F875" s="144"/>
      <c r="G875" s="144"/>
      <c r="H875" s="144"/>
      <c r="I875" s="145"/>
      <c r="J875" s="145"/>
      <c r="K875" s="145"/>
      <c r="L875" s="145"/>
      <c r="M875" s="145"/>
      <c r="N875" s="145"/>
      <c r="O875" s="145"/>
      <c r="P875" s="145"/>
      <c r="Q875" s="145"/>
      <c r="R875" s="145"/>
      <c r="S875" s="145"/>
      <c r="T875" s="145"/>
      <c r="U875" s="145"/>
      <c r="V875" s="31"/>
      <c r="W875" s="146"/>
      <c r="X875" s="146"/>
      <c r="Z875" s="31"/>
      <c r="AA875" s="31"/>
      <c r="AB875" s="387"/>
      <c r="AC875" s="387"/>
      <c r="AD875" s="637"/>
    </row>
    <row r="877" spans="1:30">
      <c r="A877" s="31"/>
      <c r="B877" s="30"/>
      <c r="C877" s="31"/>
      <c r="D877" s="143"/>
      <c r="E877" s="31"/>
      <c r="F877" s="144"/>
      <c r="G877" s="144"/>
      <c r="H877" s="144"/>
      <c r="I877" s="145"/>
      <c r="J877" s="145"/>
      <c r="K877" s="145"/>
      <c r="L877" s="145"/>
      <c r="M877" s="145"/>
      <c r="N877" s="145"/>
      <c r="O877" s="145"/>
      <c r="P877" s="145"/>
      <c r="Q877" s="145"/>
      <c r="R877" s="145"/>
      <c r="S877" s="145"/>
      <c r="T877" s="145"/>
      <c r="U877" s="145"/>
      <c r="V877" s="31"/>
      <c r="W877" s="146"/>
      <c r="X877" s="146"/>
      <c r="Z877" s="31"/>
      <c r="AA877" s="31"/>
      <c r="AB877" s="387"/>
      <c r="AC877" s="387"/>
      <c r="AD877" s="637"/>
    </row>
    <row r="879" spans="1:30">
      <c r="A879" s="31"/>
      <c r="B879" s="30"/>
      <c r="C879" s="31"/>
      <c r="D879" s="143"/>
      <c r="E879" s="31"/>
      <c r="F879" s="144"/>
      <c r="G879" s="144"/>
      <c r="H879" s="144"/>
      <c r="I879" s="145"/>
      <c r="J879" s="145"/>
      <c r="K879" s="145"/>
      <c r="L879" s="145"/>
      <c r="M879" s="145"/>
      <c r="N879" s="145"/>
      <c r="O879" s="145"/>
      <c r="P879" s="145"/>
      <c r="Q879" s="145"/>
      <c r="R879" s="145"/>
      <c r="S879" s="145"/>
      <c r="T879" s="145"/>
      <c r="U879" s="145"/>
      <c r="V879" s="31"/>
      <c r="W879" s="146"/>
      <c r="X879" s="146"/>
      <c r="Z879" s="31"/>
      <c r="AA879" s="31"/>
      <c r="AB879" s="387"/>
      <c r="AC879" s="387"/>
      <c r="AD879" s="637"/>
    </row>
    <row r="881" spans="1:30">
      <c r="A881" s="31"/>
      <c r="B881" s="30"/>
      <c r="C881" s="31"/>
      <c r="D881" s="143"/>
      <c r="E881" s="31"/>
      <c r="F881" s="144"/>
      <c r="G881" s="144"/>
      <c r="H881" s="144"/>
      <c r="I881" s="145"/>
      <c r="J881" s="145"/>
      <c r="K881" s="145"/>
      <c r="L881" s="145"/>
      <c r="M881" s="145"/>
      <c r="N881" s="145"/>
      <c r="O881" s="145"/>
      <c r="P881" s="145"/>
      <c r="Q881" s="145"/>
      <c r="R881" s="145"/>
      <c r="S881" s="145"/>
      <c r="T881" s="145"/>
      <c r="U881" s="145"/>
      <c r="V881" s="31"/>
      <c r="W881" s="146"/>
      <c r="X881" s="146"/>
      <c r="Z881" s="31"/>
      <c r="AA881" s="31"/>
      <c r="AB881" s="387"/>
      <c r="AC881" s="387"/>
      <c r="AD881" s="637"/>
    </row>
    <row r="883" spans="1:30">
      <c r="A883" s="31"/>
      <c r="B883" s="30"/>
      <c r="C883" s="31"/>
      <c r="D883" s="143"/>
      <c r="E883" s="31"/>
      <c r="F883" s="144"/>
      <c r="G883" s="144"/>
      <c r="H883" s="144"/>
      <c r="I883" s="145"/>
      <c r="J883" s="145"/>
      <c r="K883" s="145"/>
      <c r="L883" s="145"/>
      <c r="M883" s="145"/>
      <c r="N883" s="145"/>
      <c r="O883" s="145"/>
      <c r="P883" s="145"/>
      <c r="Q883" s="145"/>
      <c r="R883" s="145"/>
      <c r="S883" s="145"/>
      <c r="T883" s="145"/>
      <c r="U883" s="145"/>
      <c r="V883" s="31"/>
      <c r="W883" s="146"/>
      <c r="X883" s="146"/>
      <c r="Z883" s="31"/>
      <c r="AA883" s="31"/>
      <c r="AB883" s="387"/>
      <c r="AC883" s="387"/>
      <c r="AD883" s="637"/>
    </row>
    <row r="885" spans="1:30">
      <c r="A885" s="31"/>
      <c r="B885" s="30"/>
      <c r="C885" s="31"/>
      <c r="D885" s="143"/>
      <c r="E885" s="31"/>
      <c r="F885" s="144"/>
      <c r="G885" s="144"/>
      <c r="H885" s="144"/>
      <c r="I885" s="145"/>
      <c r="J885" s="145"/>
      <c r="K885" s="145"/>
      <c r="L885" s="145"/>
      <c r="M885" s="145"/>
      <c r="N885" s="145"/>
      <c r="O885" s="145"/>
      <c r="P885" s="145"/>
      <c r="Q885" s="145"/>
      <c r="R885" s="145"/>
      <c r="S885" s="145"/>
      <c r="T885" s="145"/>
      <c r="U885" s="145"/>
      <c r="V885" s="31"/>
      <c r="W885" s="146"/>
      <c r="X885" s="146"/>
      <c r="Z885" s="31"/>
      <c r="AA885" s="31"/>
      <c r="AB885" s="387"/>
      <c r="AC885" s="387"/>
      <c r="AD885" s="637"/>
    </row>
    <row r="887" spans="1:30">
      <c r="A887" s="31"/>
      <c r="B887" s="30"/>
      <c r="C887" s="31"/>
      <c r="D887" s="143"/>
      <c r="E887" s="31"/>
      <c r="F887" s="144"/>
      <c r="G887" s="144"/>
      <c r="H887" s="144"/>
      <c r="I887" s="145"/>
      <c r="J887" s="145"/>
      <c r="K887" s="145"/>
      <c r="L887" s="145"/>
      <c r="M887" s="145"/>
      <c r="N887" s="145"/>
      <c r="O887" s="145"/>
      <c r="P887" s="145"/>
      <c r="Q887" s="145"/>
      <c r="R887" s="145"/>
      <c r="S887" s="145"/>
      <c r="T887" s="145"/>
      <c r="U887" s="145"/>
      <c r="V887" s="31"/>
      <c r="W887" s="146"/>
      <c r="X887" s="146"/>
      <c r="Z887" s="31"/>
      <c r="AA887" s="31"/>
      <c r="AB887" s="387"/>
      <c r="AC887" s="387"/>
      <c r="AD887" s="637"/>
    </row>
    <row r="889" spans="1:30">
      <c r="A889" s="31"/>
      <c r="B889" s="30"/>
      <c r="C889" s="31"/>
      <c r="D889" s="143"/>
      <c r="E889" s="31"/>
      <c r="F889" s="144"/>
      <c r="G889" s="144"/>
      <c r="H889" s="144"/>
      <c r="I889" s="145"/>
      <c r="J889" s="145"/>
      <c r="K889" s="145"/>
      <c r="L889" s="145"/>
      <c r="M889" s="145"/>
      <c r="N889" s="145"/>
      <c r="O889" s="145"/>
      <c r="P889" s="145"/>
      <c r="Q889" s="145"/>
      <c r="R889" s="145"/>
      <c r="S889" s="145"/>
      <c r="T889" s="145"/>
      <c r="U889" s="145"/>
      <c r="V889" s="31"/>
      <c r="W889" s="146"/>
      <c r="X889" s="146"/>
      <c r="Z889" s="31"/>
      <c r="AA889" s="31"/>
      <c r="AB889" s="387"/>
      <c r="AC889" s="387"/>
      <c r="AD889" s="637"/>
    </row>
    <row r="891" spans="1:30">
      <c r="A891" s="31"/>
      <c r="B891" s="30"/>
      <c r="C891" s="31"/>
      <c r="D891" s="143"/>
      <c r="E891" s="31"/>
      <c r="F891" s="144"/>
      <c r="G891" s="144"/>
      <c r="H891" s="144"/>
      <c r="I891" s="145"/>
      <c r="J891" s="145"/>
      <c r="K891" s="145"/>
      <c r="L891" s="145"/>
      <c r="M891" s="145"/>
      <c r="N891" s="145"/>
      <c r="O891" s="145"/>
      <c r="P891" s="145"/>
      <c r="Q891" s="145"/>
      <c r="R891" s="145"/>
      <c r="S891" s="145"/>
      <c r="T891" s="145"/>
      <c r="U891" s="145"/>
      <c r="V891" s="31"/>
      <c r="W891" s="146"/>
      <c r="X891" s="146"/>
      <c r="Z891" s="31"/>
      <c r="AA891" s="31"/>
      <c r="AB891" s="387"/>
      <c r="AC891" s="387"/>
      <c r="AD891" s="637"/>
    </row>
    <row r="893" spans="1:30">
      <c r="A893" s="31"/>
      <c r="B893" s="30"/>
      <c r="C893" s="31"/>
      <c r="D893" s="143"/>
      <c r="E893" s="31"/>
      <c r="F893" s="144"/>
      <c r="G893" s="144"/>
      <c r="H893" s="144"/>
      <c r="I893" s="145"/>
      <c r="J893" s="145"/>
      <c r="K893" s="145"/>
      <c r="L893" s="145"/>
      <c r="M893" s="145"/>
      <c r="N893" s="145"/>
      <c r="O893" s="145"/>
      <c r="P893" s="145"/>
      <c r="Q893" s="145"/>
      <c r="R893" s="145"/>
      <c r="S893" s="145"/>
      <c r="T893" s="145"/>
      <c r="U893" s="145"/>
      <c r="V893" s="31"/>
      <c r="W893" s="146"/>
      <c r="X893" s="146"/>
      <c r="Z893" s="31"/>
      <c r="AA893" s="31"/>
      <c r="AB893" s="387"/>
      <c r="AC893" s="387"/>
      <c r="AD893" s="637"/>
    </row>
    <row r="895" spans="1:30">
      <c r="A895" s="31"/>
      <c r="B895" s="30"/>
      <c r="C895" s="31"/>
      <c r="D895" s="143"/>
      <c r="E895" s="31"/>
      <c r="F895" s="144"/>
      <c r="G895" s="144"/>
      <c r="H895" s="144"/>
      <c r="I895" s="145"/>
      <c r="J895" s="145"/>
      <c r="K895" s="145"/>
      <c r="L895" s="145"/>
      <c r="M895" s="145"/>
      <c r="N895" s="145"/>
      <c r="O895" s="145"/>
      <c r="P895" s="145"/>
      <c r="Q895" s="145"/>
      <c r="R895" s="145"/>
      <c r="S895" s="145"/>
      <c r="T895" s="145"/>
      <c r="U895" s="145"/>
      <c r="V895" s="31"/>
      <c r="W895" s="146"/>
      <c r="X895" s="146"/>
      <c r="Z895" s="31"/>
      <c r="AA895" s="31"/>
      <c r="AB895" s="387"/>
      <c r="AC895" s="387"/>
      <c r="AD895" s="637"/>
    </row>
    <row r="897" spans="1:30">
      <c r="A897" s="31"/>
      <c r="B897" s="30"/>
      <c r="C897" s="31"/>
      <c r="D897" s="143"/>
      <c r="E897" s="31"/>
      <c r="F897" s="144"/>
      <c r="G897" s="144"/>
      <c r="H897" s="144"/>
      <c r="I897" s="145"/>
      <c r="J897" s="145"/>
      <c r="K897" s="145"/>
      <c r="L897" s="145"/>
      <c r="M897" s="145"/>
      <c r="N897" s="145"/>
      <c r="O897" s="145"/>
      <c r="P897" s="145"/>
      <c r="Q897" s="145"/>
      <c r="R897" s="145"/>
      <c r="S897" s="145"/>
      <c r="T897" s="145"/>
      <c r="U897" s="145"/>
      <c r="V897" s="31"/>
      <c r="W897" s="146"/>
      <c r="X897" s="146"/>
      <c r="Z897" s="31"/>
      <c r="AA897" s="31"/>
      <c r="AB897" s="387"/>
      <c r="AC897" s="387"/>
      <c r="AD897" s="637"/>
    </row>
    <row r="899" spans="1:30">
      <c r="A899" s="31"/>
      <c r="B899" s="30"/>
      <c r="C899" s="31"/>
      <c r="D899" s="143"/>
      <c r="E899" s="31"/>
      <c r="F899" s="144"/>
      <c r="G899" s="144"/>
      <c r="H899" s="144"/>
      <c r="I899" s="145"/>
      <c r="J899" s="145"/>
      <c r="K899" s="145"/>
      <c r="L899" s="145"/>
      <c r="M899" s="145"/>
      <c r="N899" s="145"/>
      <c r="O899" s="145"/>
      <c r="P899" s="145"/>
      <c r="Q899" s="145"/>
      <c r="R899" s="145"/>
      <c r="S899" s="145"/>
      <c r="T899" s="145"/>
      <c r="U899" s="145"/>
      <c r="V899" s="31"/>
      <c r="W899" s="146"/>
      <c r="X899" s="146"/>
      <c r="Z899" s="31"/>
      <c r="AA899" s="31"/>
      <c r="AB899" s="387"/>
      <c r="AC899" s="387"/>
      <c r="AD899" s="637"/>
    </row>
    <row r="901" spans="1:30">
      <c r="A901" s="31"/>
      <c r="B901" s="30"/>
      <c r="C901" s="31"/>
      <c r="D901" s="143"/>
      <c r="E901" s="31"/>
      <c r="F901" s="144"/>
      <c r="G901" s="144"/>
      <c r="H901" s="144"/>
      <c r="I901" s="145"/>
      <c r="J901" s="145"/>
      <c r="K901" s="145"/>
      <c r="L901" s="145"/>
      <c r="M901" s="145"/>
      <c r="N901" s="145"/>
      <c r="O901" s="145"/>
      <c r="P901" s="145"/>
      <c r="Q901" s="145"/>
      <c r="R901" s="145"/>
      <c r="S901" s="145"/>
      <c r="T901" s="145"/>
      <c r="U901" s="145"/>
      <c r="V901" s="31"/>
      <c r="W901" s="146"/>
      <c r="X901" s="146"/>
      <c r="Z901" s="31"/>
      <c r="AA901" s="31"/>
      <c r="AB901" s="387"/>
      <c r="AC901" s="387"/>
      <c r="AD901" s="637"/>
    </row>
    <row r="903" spans="1:30">
      <c r="A903" s="31"/>
      <c r="B903" s="30"/>
      <c r="C903" s="31"/>
      <c r="D903" s="143"/>
      <c r="E903" s="31"/>
      <c r="F903" s="144"/>
      <c r="G903" s="144"/>
      <c r="H903" s="144"/>
      <c r="I903" s="145"/>
      <c r="J903" s="145"/>
      <c r="K903" s="145"/>
      <c r="L903" s="145"/>
      <c r="M903" s="145"/>
      <c r="N903" s="145"/>
      <c r="O903" s="145"/>
      <c r="P903" s="145"/>
      <c r="Q903" s="145"/>
      <c r="R903" s="145"/>
      <c r="S903" s="145"/>
      <c r="T903" s="145"/>
      <c r="U903" s="145"/>
      <c r="V903" s="31"/>
      <c r="W903" s="146"/>
      <c r="X903" s="146"/>
      <c r="Z903" s="31"/>
      <c r="AA903" s="31"/>
      <c r="AB903" s="387"/>
      <c r="AC903" s="387"/>
      <c r="AD903" s="637"/>
    </row>
    <row r="905" spans="1:30">
      <c r="A905" s="31"/>
      <c r="B905" s="30"/>
      <c r="C905" s="31"/>
      <c r="D905" s="143"/>
      <c r="E905" s="31"/>
      <c r="F905" s="144"/>
      <c r="G905" s="144"/>
      <c r="H905" s="144"/>
      <c r="I905" s="145"/>
      <c r="J905" s="145"/>
      <c r="K905" s="145"/>
      <c r="L905" s="145"/>
      <c r="M905" s="145"/>
      <c r="N905" s="145"/>
      <c r="O905" s="145"/>
      <c r="P905" s="145"/>
      <c r="Q905" s="145"/>
      <c r="R905" s="145"/>
      <c r="S905" s="145"/>
      <c r="T905" s="145"/>
      <c r="U905" s="145"/>
      <c r="V905" s="31"/>
      <c r="W905" s="146"/>
      <c r="X905" s="146"/>
      <c r="Z905" s="31"/>
      <c r="AA905" s="31"/>
      <c r="AB905" s="387"/>
      <c r="AC905" s="387"/>
      <c r="AD905" s="637"/>
    </row>
    <row r="907" spans="1:30">
      <c r="A907" s="31"/>
      <c r="B907" s="30"/>
      <c r="C907" s="31"/>
      <c r="D907" s="143"/>
      <c r="E907" s="31"/>
      <c r="F907" s="144"/>
      <c r="G907" s="144"/>
      <c r="H907" s="144"/>
      <c r="I907" s="145"/>
      <c r="J907" s="145"/>
      <c r="K907" s="145"/>
      <c r="L907" s="145"/>
      <c r="M907" s="145"/>
      <c r="N907" s="145"/>
      <c r="O907" s="145"/>
      <c r="P907" s="145"/>
      <c r="Q907" s="145"/>
      <c r="R907" s="145"/>
      <c r="S907" s="145"/>
      <c r="T907" s="145"/>
      <c r="U907" s="145"/>
      <c r="V907" s="31"/>
      <c r="W907" s="146"/>
      <c r="X907" s="146"/>
      <c r="Z907" s="31"/>
      <c r="AA907" s="31"/>
      <c r="AB907" s="387"/>
      <c r="AC907" s="387"/>
      <c r="AD907" s="637"/>
    </row>
    <row r="909" spans="1:30">
      <c r="A909" s="31"/>
      <c r="B909" s="30"/>
      <c r="C909" s="31"/>
      <c r="D909" s="143"/>
      <c r="E909" s="31"/>
      <c r="F909" s="144"/>
      <c r="G909" s="144"/>
      <c r="H909" s="144"/>
      <c r="I909" s="145"/>
      <c r="J909" s="145"/>
      <c r="K909" s="145"/>
      <c r="L909" s="145"/>
      <c r="M909" s="145"/>
      <c r="N909" s="145"/>
      <c r="O909" s="145"/>
      <c r="P909" s="145"/>
      <c r="Q909" s="145"/>
      <c r="R909" s="145"/>
      <c r="S909" s="145"/>
      <c r="T909" s="145"/>
      <c r="U909" s="145"/>
      <c r="V909" s="31"/>
      <c r="W909" s="146"/>
      <c r="X909" s="146"/>
      <c r="Z909" s="31"/>
      <c r="AA909" s="31"/>
      <c r="AB909" s="387"/>
      <c r="AC909" s="387"/>
      <c r="AD909" s="637"/>
    </row>
    <row r="911" spans="1:30">
      <c r="A911" s="31"/>
      <c r="B911" s="30"/>
      <c r="C911" s="31"/>
      <c r="D911" s="143"/>
      <c r="E911" s="31"/>
      <c r="F911" s="144"/>
      <c r="G911" s="144"/>
      <c r="H911" s="144"/>
      <c r="I911" s="145"/>
      <c r="J911" s="145"/>
      <c r="K911" s="145"/>
      <c r="L911" s="145"/>
      <c r="M911" s="145"/>
      <c r="N911" s="145"/>
      <c r="O911" s="145"/>
      <c r="P911" s="145"/>
      <c r="Q911" s="145"/>
      <c r="R911" s="145"/>
      <c r="S911" s="145"/>
      <c r="T911" s="145"/>
      <c r="U911" s="145"/>
      <c r="V911" s="31"/>
      <c r="W911" s="146"/>
      <c r="X911" s="146"/>
      <c r="Z911" s="31"/>
      <c r="AA911" s="31"/>
      <c r="AB911" s="387"/>
      <c r="AC911" s="387"/>
      <c r="AD911" s="637"/>
    </row>
    <row r="913" spans="1:30">
      <c r="A913" s="31"/>
      <c r="B913" s="30"/>
      <c r="C913" s="31"/>
      <c r="D913" s="143"/>
      <c r="E913" s="31"/>
      <c r="F913" s="144"/>
      <c r="G913" s="144"/>
      <c r="H913" s="144"/>
      <c r="I913" s="145"/>
      <c r="J913" s="145"/>
      <c r="K913" s="145"/>
      <c r="L913" s="145"/>
      <c r="M913" s="145"/>
      <c r="N913" s="145"/>
      <c r="O913" s="145"/>
      <c r="P913" s="145"/>
      <c r="Q913" s="145"/>
      <c r="R913" s="145"/>
      <c r="S913" s="145"/>
      <c r="T913" s="145"/>
      <c r="U913" s="145"/>
      <c r="V913" s="31"/>
      <c r="W913" s="146"/>
      <c r="X913" s="146"/>
      <c r="Z913" s="31"/>
      <c r="AA913" s="31"/>
      <c r="AB913" s="387"/>
      <c r="AC913" s="387"/>
      <c r="AD913" s="637"/>
    </row>
    <row r="915" spans="1:30">
      <c r="A915" s="31"/>
      <c r="B915" s="30"/>
      <c r="C915" s="31"/>
      <c r="D915" s="143"/>
      <c r="E915" s="31"/>
      <c r="F915" s="144"/>
      <c r="G915" s="144"/>
      <c r="H915" s="144"/>
      <c r="I915" s="145"/>
      <c r="J915" s="145"/>
      <c r="K915" s="145"/>
      <c r="L915" s="145"/>
      <c r="M915" s="145"/>
      <c r="N915" s="145"/>
      <c r="O915" s="145"/>
      <c r="P915" s="145"/>
      <c r="Q915" s="145"/>
      <c r="R915" s="145"/>
      <c r="S915" s="145"/>
      <c r="T915" s="145"/>
      <c r="U915" s="145"/>
      <c r="V915" s="31"/>
      <c r="W915" s="146"/>
      <c r="X915" s="146"/>
      <c r="Z915" s="31"/>
      <c r="AA915" s="31"/>
      <c r="AB915" s="387"/>
      <c r="AC915" s="387"/>
      <c r="AD915" s="637"/>
    </row>
    <row r="917" spans="1:30">
      <c r="A917" s="31"/>
      <c r="B917" s="30"/>
      <c r="C917" s="31"/>
      <c r="D917" s="143"/>
      <c r="E917" s="31"/>
      <c r="F917" s="144"/>
      <c r="G917" s="144"/>
      <c r="H917" s="144"/>
      <c r="I917" s="145"/>
      <c r="J917" s="145"/>
      <c r="K917" s="145"/>
      <c r="L917" s="145"/>
      <c r="M917" s="145"/>
      <c r="N917" s="145"/>
      <c r="O917" s="145"/>
      <c r="P917" s="145"/>
      <c r="Q917" s="145"/>
      <c r="R917" s="145"/>
      <c r="S917" s="145"/>
      <c r="T917" s="145"/>
      <c r="U917" s="145"/>
      <c r="V917" s="31"/>
      <c r="W917" s="146"/>
      <c r="X917" s="146"/>
      <c r="Z917" s="31"/>
      <c r="AA917" s="31"/>
      <c r="AB917" s="387"/>
      <c r="AC917" s="387"/>
      <c r="AD917" s="637"/>
    </row>
    <row r="919" spans="1:30">
      <c r="A919" s="31"/>
      <c r="B919" s="30"/>
      <c r="C919" s="31"/>
      <c r="D919" s="143"/>
      <c r="E919" s="31"/>
      <c r="F919" s="144"/>
      <c r="G919" s="144"/>
      <c r="H919" s="144"/>
      <c r="I919" s="145"/>
      <c r="J919" s="145"/>
      <c r="K919" s="145"/>
      <c r="L919" s="145"/>
      <c r="M919" s="145"/>
      <c r="N919" s="145"/>
      <c r="O919" s="145"/>
      <c r="P919" s="145"/>
      <c r="Q919" s="145"/>
      <c r="R919" s="145"/>
      <c r="S919" s="145"/>
      <c r="T919" s="145"/>
      <c r="U919" s="145"/>
      <c r="V919" s="31"/>
      <c r="W919" s="146"/>
      <c r="X919" s="146"/>
      <c r="Z919" s="31"/>
      <c r="AA919" s="31"/>
      <c r="AB919" s="387"/>
      <c r="AC919" s="387"/>
      <c r="AD919" s="637"/>
    </row>
    <row r="921" spans="1:30">
      <c r="A921" s="31"/>
      <c r="B921" s="30"/>
      <c r="C921" s="31"/>
      <c r="D921" s="143"/>
      <c r="E921" s="31"/>
      <c r="F921" s="144"/>
      <c r="G921" s="144"/>
      <c r="H921" s="144"/>
      <c r="I921" s="145"/>
      <c r="J921" s="145"/>
      <c r="K921" s="145"/>
      <c r="L921" s="145"/>
      <c r="M921" s="145"/>
      <c r="N921" s="145"/>
      <c r="O921" s="145"/>
      <c r="P921" s="145"/>
      <c r="Q921" s="145"/>
      <c r="R921" s="145"/>
      <c r="S921" s="145"/>
      <c r="T921" s="145"/>
      <c r="U921" s="145"/>
      <c r="V921" s="31"/>
      <c r="W921" s="146"/>
      <c r="X921" s="146"/>
      <c r="Z921" s="31"/>
      <c r="AA921" s="31"/>
      <c r="AB921" s="387"/>
      <c r="AC921" s="387"/>
      <c r="AD921" s="637"/>
    </row>
    <row r="923" spans="1:30">
      <c r="A923" s="31"/>
      <c r="B923" s="30"/>
      <c r="C923" s="31"/>
      <c r="D923" s="143"/>
      <c r="E923" s="31"/>
      <c r="F923" s="144"/>
      <c r="G923" s="144"/>
      <c r="H923" s="144"/>
      <c r="I923" s="145"/>
      <c r="J923" s="145"/>
      <c r="K923" s="145"/>
      <c r="L923" s="145"/>
      <c r="M923" s="145"/>
      <c r="N923" s="145"/>
      <c r="O923" s="145"/>
      <c r="P923" s="145"/>
      <c r="Q923" s="145"/>
      <c r="R923" s="145"/>
      <c r="S923" s="145"/>
      <c r="T923" s="145"/>
      <c r="U923" s="145"/>
      <c r="V923" s="31"/>
      <c r="W923" s="146"/>
      <c r="X923" s="146"/>
      <c r="Z923" s="31"/>
      <c r="AA923" s="31"/>
      <c r="AB923" s="387"/>
      <c r="AC923" s="387"/>
      <c r="AD923" s="637"/>
    </row>
    <row r="925" spans="1:30">
      <c r="A925" s="31"/>
      <c r="B925" s="30"/>
      <c r="C925" s="31"/>
      <c r="D925" s="143"/>
      <c r="E925" s="31"/>
      <c r="F925" s="144"/>
      <c r="G925" s="144"/>
      <c r="H925" s="144"/>
      <c r="I925" s="145"/>
      <c r="J925" s="145"/>
      <c r="K925" s="145"/>
      <c r="L925" s="145"/>
      <c r="M925" s="145"/>
      <c r="N925" s="145"/>
      <c r="O925" s="145"/>
      <c r="P925" s="145"/>
      <c r="Q925" s="145"/>
      <c r="R925" s="145"/>
      <c r="S925" s="145"/>
      <c r="T925" s="145"/>
      <c r="U925" s="145"/>
      <c r="V925" s="31"/>
      <c r="W925" s="146"/>
      <c r="X925" s="146"/>
      <c r="Z925" s="31"/>
      <c r="AA925" s="31"/>
      <c r="AB925" s="387"/>
      <c r="AC925" s="387"/>
      <c r="AD925" s="637"/>
    </row>
    <row r="927" spans="1:30">
      <c r="A927" s="31"/>
      <c r="B927" s="30"/>
      <c r="C927" s="31"/>
      <c r="D927" s="143"/>
      <c r="E927" s="31"/>
      <c r="F927" s="144"/>
      <c r="G927" s="144"/>
      <c r="H927" s="144"/>
      <c r="I927" s="145"/>
      <c r="J927" s="145"/>
      <c r="K927" s="145"/>
      <c r="L927" s="145"/>
      <c r="M927" s="145"/>
      <c r="N927" s="145"/>
      <c r="O927" s="145"/>
      <c r="P927" s="145"/>
      <c r="Q927" s="145"/>
      <c r="R927" s="145"/>
      <c r="S927" s="145"/>
      <c r="T927" s="145"/>
      <c r="U927" s="145"/>
      <c r="V927" s="31"/>
      <c r="W927" s="146"/>
      <c r="X927" s="146"/>
      <c r="Z927" s="31"/>
      <c r="AA927" s="31"/>
      <c r="AB927" s="387"/>
      <c r="AC927" s="387"/>
      <c r="AD927" s="637"/>
    </row>
    <row r="929" spans="1:30">
      <c r="A929" s="31"/>
      <c r="B929" s="30"/>
      <c r="C929" s="31"/>
      <c r="D929" s="143"/>
      <c r="E929" s="31"/>
      <c r="F929" s="144"/>
      <c r="G929" s="144"/>
      <c r="H929" s="144"/>
      <c r="I929" s="145"/>
      <c r="J929" s="145"/>
      <c r="K929" s="145"/>
      <c r="L929" s="145"/>
      <c r="M929" s="145"/>
      <c r="N929" s="145"/>
      <c r="O929" s="145"/>
      <c r="P929" s="145"/>
      <c r="Q929" s="145"/>
      <c r="R929" s="145"/>
      <c r="S929" s="145"/>
      <c r="T929" s="145"/>
      <c r="U929" s="145"/>
      <c r="V929" s="31"/>
      <c r="W929" s="146"/>
      <c r="X929" s="146"/>
      <c r="Z929" s="31"/>
      <c r="AA929" s="31"/>
      <c r="AB929" s="387"/>
      <c r="AC929" s="387"/>
      <c r="AD929" s="637"/>
    </row>
    <row r="931" spans="1:30">
      <c r="A931" s="31"/>
      <c r="B931" s="30"/>
      <c r="C931" s="31"/>
      <c r="D931" s="143"/>
      <c r="E931" s="31"/>
      <c r="F931" s="144"/>
      <c r="G931" s="144"/>
      <c r="H931" s="144"/>
      <c r="I931" s="145"/>
      <c r="J931" s="145"/>
      <c r="K931" s="145"/>
      <c r="L931" s="145"/>
      <c r="M931" s="145"/>
      <c r="N931" s="145"/>
      <c r="O931" s="145"/>
      <c r="P931" s="145"/>
      <c r="Q931" s="145"/>
      <c r="R931" s="145"/>
      <c r="S931" s="145"/>
      <c r="T931" s="145"/>
      <c r="U931" s="145"/>
      <c r="V931" s="31"/>
      <c r="W931" s="146"/>
      <c r="X931" s="146"/>
      <c r="Z931" s="31"/>
      <c r="AA931" s="31"/>
      <c r="AB931" s="387"/>
      <c r="AC931" s="387"/>
      <c r="AD931" s="637"/>
    </row>
    <row r="933" spans="1:30">
      <c r="A933" s="31"/>
      <c r="B933" s="30"/>
      <c r="C933" s="31"/>
      <c r="D933" s="143"/>
      <c r="E933" s="31"/>
      <c r="F933" s="144"/>
      <c r="G933" s="144"/>
      <c r="H933" s="144"/>
      <c r="I933" s="145"/>
      <c r="J933" s="145"/>
      <c r="K933" s="145"/>
      <c r="L933" s="145"/>
      <c r="M933" s="145"/>
      <c r="N933" s="145"/>
      <c r="O933" s="145"/>
      <c r="P933" s="145"/>
      <c r="Q933" s="145"/>
      <c r="R933" s="145"/>
      <c r="S933" s="145"/>
      <c r="T933" s="145"/>
      <c r="U933" s="145"/>
      <c r="V933" s="31"/>
      <c r="W933" s="146"/>
      <c r="X933" s="146"/>
      <c r="Z933" s="31"/>
      <c r="AA933" s="31"/>
      <c r="AB933" s="387"/>
      <c r="AC933" s="387"/>
      <c r="AD933" s="637"/>
    </row>
    <row r="935" spans="1:30">
      <c r="A935" s="31"/>
      <c r="B935" s="30"/>
      <c r="C935" s="31"/>
      <c r="D935" s="143"/>
      <c r="E935" s="31"/>
      <c r="F935" s="144"/>
      <c r="G935" s="144"/>
      <c r="H935" s="144"/>
      <c r="I935" s="145"/>
      <c r="J935" s="145"/>
      <c r="K935" s="145"/>
      <c r="L935" s="145"/>
      <c r="M935" s="145"/>
      <c r="N935" s="145"/>
      <c r="O935" s="145"/>
      <c r="P935" s="145"/>
      <c r="Q935" s="145"/>
      <c r="R935" s="145"/>
      <c r="S935" s="145"/>
      <c r="T935" s="145"/>
      <c r="U935" s="145"/>
      <c r="V935" s="31"/>
      <c r="W935" s="146"/>
      <c r="X935" s="146"/>
      <c r="Z935" s="31"/>
      <c r="AA935" s="31"/>
      <c r="AB935" s="387"/>
      <c r="AC935" s="387"/>
      <c r="AD935" s="637"/>
    </row>
    <row r="937" spans="1:30">
      <c r="A937" s="31"/>
      <c r="B937" s="30"/>
      <c r="C937" s="31"/>
      <c r="D937" s="143"/>
      <c r="E937" s="31"/>
      <c r="F937" s="144"/>
      <c r="G937" s="144"/>
      <c r="H937" s="144"/>
      <c r="I937" s="145"/>
      <c r="J937" s="145"/>
      <c r="K937" s="145"/>
      <c r="L937" s="145"/>
      <c r="M937" s="145"/>
      <c r="N937" s="145"/>
      <c r="O937" s="145"/>
      <c r="P937" s="145"/>
      <c r="Q937" s="145"/>
      <c r="R937" s="145"/>
      <c r="S937" s="145"/>
      <c r="T937" s="145"/>
      <c r="U937" s="145"/>
      <c r="V937" s="31"/>
      <c r="W937" s="146"/>
      <c r="X937" s="146"/>
      <c r="Z937" s="31"/>
      <c r="AA937" s="31"/>
      <c r="AB937" s="387"/>
      <c r="AC937" s="387"/>
      <c r="AD937" s="637"/>
    </row>
    <row r="939" spans="1:30">
      <c r="A939" s="31"/>
      <c r="B939" s="30"/>
      <c r="C939" s="31"/>
      <c r="D939" s="143"/>
      <c r="E939" s="31"/>
      <c r="F939" s="144"/>
      <c r="G939" s="144"/>
      <c r="H939" s="144"/>
      <c r="I939" s="145"/>
      <c r="J939" s="145"/>
      <c r="K939" s="145"/>
      <c r="L939" s="145"/>
      <c r="M939" s="145"/>
      <c r="N939" s="145"/>
      <c r="O939" s="145"/>
      <c r="P939" s="145"/>
      <c r="Q939" s="145"/>
      <c r="R939" s="145"/>
      <c r="S939" s="145"/>
      <c r="T939" s="145"/>
      <c r="U939" s="145"/>
      <c r="V939" s="31"/>
      <c r="W939" s="146"/>
      <c r="X939" s="146"/>
      <c r="Z939" s="31"/>
      <c r="AA939" s="31"/>
      <c r="AB939" s="387"/>
      <c r="AC939" s="387"/>
      <c r="AD939" s="637"/>
    </row>
    <row r="941" spans="1:30">
      <c r="A941" s="31"/>
      <c r="B941" s="30"/>
      <c r="C941" s="31"/>
      <c r="D941" s="143"/>
      <c r="E941" s="31"/>
      <c r="F941" s="144"/>
      <c r="G941" s="144"/>
      <c r="H941" s="144"/>
      <c r="I941" s="145"/>
      <c r="J941" s="145"/>
      <c r="K941" s="145"/>
      <c r="L941" s="145"/>
      <c r="M941" s="145"/>
      <c r="N941" s="145"/>
      <c r="O941" s="145"/>
      <c r="P941" s="145"/>
      <c r="Q941" s="145"/>
      <c r="R941" s="145"/>
      <c r="S941" s="145"/>
      <c r="T941" s="145"/>
      <c r="U941" s="145"/>
      <c r="V941" s="31"/>
      <c r="W941" s="146"/>
      <c r="X941" s="146"/>
      <c r="Z941" s="31"/>
      <c r="AA941" s="31"/>
      <c r="AB941" s="387"/>
      <c r="AC941" s="387"/>
      <c r="AD941" s="637"/>
    </row>
    <row r="943" spans="1:30">
      <c r="A943" s="31"/>
      <c r="B943" s="30"/>
      <c r="C943" s="31"/>
      <c r="D943" s="143"/>
      <c r="E943" s="31"/>
      <c r="F943" s="144"/>
      <c r="G943" s="144"/>
      <c r="H943" s="144"/>
      <c r="I943" s="145"/>
      <c r="J943" s="145"/>
      <c r="K943" s="145"/>
      <c r="L943" s="145"/>
      <c r="M943" s="145"/>
      <c r="N943" s="145"/>
      <c r="O943" s="145"/>
      <c r="P943" s="145"/>
      <c r="Q943" s="145"/>
      <c r="R943" s="145"/>
      <c r="S943" s="145"/>
      <c r="T943" s="145"/>
      <c r="U943" s="145"/>
      <c r="V943" s="31"/>
      <c r="W943" s="146"/>
      <c r="X943" s="146"/>
      <c r="Z943" s="31"/>
      <c r="AA943" s="31"/>
      <c r="AB943" s="387"/>
      <c r="AC943" s="387"/>
      <c r="AD943" s="637"/>
    </row>
    <row r="945" spans="1:30">
      <c r="A945" s="31"/>
      <c r="B945" s="30"/>
      <c r="C945" s="31"/>
      <c r="D945" s="143"/>
      <c r="E945" s="31"/>
      <c r="F945" s="144"/>
      <c r="G945" s="144"/>
      <c r="H945" s="144"/>
      <c r="I945" s="145"/>
      <c r="J945" s="145"/>
      <c r="K945" s="145"/>
      <c r="L945" s="145"/>
      <c r="M945" s="145"/>
      <c r="N945" s="145"/>
      <c r="O945" s="145"/>
      <c r="P945" s="145"/>
      <c r="Q945" s="145"/>
      <c r="R945" s="145"/>
      <c r="S945" s="145"/>
      <c r="T945" s="145"/>
      <c r="U945" s="145"/>
      <c r="V945" s="31"/>
      <c r="W945" s="146"/>
      <c r="X945" s="146"/>
      <c r="Z945" s="31"/>
      <c r="AA945" s="31"/>
      <c r="AB945" s="387"/>
      <c r="AC945" s="387"/>
      <c r="AD945" s="637"/>
    </row>
    <row r="947" spans="1:30">
      <c r="A947" s="31"/>
      <c r="B947" s="30"/>
      <c r="C947" s="31"/>
      <c r="D947" s="143"/>
      <c r="E947" s="31"/>
      <c r="F947" s="144"/>
      <c r="G947" s="144"/>
      <c r="H947" s="144"/>
      <c r="I947" s="145"/>
      <c r="J947" s="145"/>
      <c r="K947" s="145"/>
      <c r="L947" s="145"/>
      <c r="M947" s="145"/>
      <c r="N947" s="145"/>
      <c r="O947" s="145"/>
      <c r="P947" s="145"/>
      <c r="Q947" s="145"/>
      <c r="R947" s="145"/>
      <c r="S947" s="145"/>
      <c r="T947" s="145"/>
      <c r="U947" s="145"/>
      <c r="V947" s="31"/>
      <c r="W947" s="146"/>
      <c r="X947" s="146"/>
      <c r="Z947" s="31"/>
      <c r="AA947" s="31"/>
      <c r="AB947" s="387"/>
      <c r="AC947" s="387"/>
      <c r="AD947" s="637"/>
    </row>
    <row r="949" spans="1:30">
      <c r="A949" s="31"/>
      <c r="B949" s="30"/>
      <c r="C949" s="31"/>
      <c r="D949" s="143"/>
      <c r="E949" s="31"/>
      <c r="F949" s="144"/>
      <c r="G949" s="144"/>
      <c r="H949" s="144"/>
      <c r="I949" s="145"/>
      <c r="J949" s="145"/>
      <c r="K949" s="145"/>
      <c r="L949" s="145"/>
      <c r="M949" s="145"/>
      <c r="N949" s="145"/>
      <c r="O949" s="145"/>
      <c r="P949" s="145"/>
      <c r="Q949" s="145"/>
      <c r="R949" s="145"/>
      <c r="S949" s="145"/>
      <c r="T949" s="145"/>
      <c r="U949" s="145"/>
      <c r="V949" s="31"/>
      <c r="W949" s="146"/>
      <c r="X949" s="146"/>
      <c r="Z949" s="31"/>
      <c r="AA949" s="31"/>
      <c r="AB949" s="387"/>
      <c r="AC949" s="387"/>
      <c r="AD949" s="637"/>
    </row>
    <row r="951" spans="1:30">
      <c r="A951" s="31"/>
      <c r="B951" s="30"/>
      <c r="C951" s="31"/>
      <c r="D951" s="143"/>
      <c r="E951" s="31"/>
      <c r="F951" s="144"/>
      <c r="G951" s="144"/>
      <c r="H951" s="144"/>
      <c r="I951" s="145"/>
      <c r="J951" s="145"/>
      <c r="K951" s="145"/>
      <c r="L951" s="145"/>
      <c r="M951" s="145"/>
      <c r="N951" s="145"/>
      <c r="O951" s="145"/>
      <c r="P951" s="145"/>
      <c r="Q951" s="145"/>
      <c r="R951" s="145"/>
      <c r="S951" s="145"/>
      <c r="T951" s="145"/>
      <c r="U951" s="145"/>
      <c r="V951" s="31"/>
      <c r="W951" s="146"/>
      <c r="X951" s="146"/>
      <c r="Z951" s="31"/>
      <c r="AA951" s="31"/>
      <c r="AB951" s="387"/>
      <c r="AC951" s="387"/>
      <c r="AD951" s="637"/>
    </row>
    <row r="953" spans="1:30">
      <c r="A953" s="31"/>
      <c r="B953" s="30"/>
      <c r="C953" s="31"/>
      <c r="D953" s="143"/>
      <c r="E953" s="31"/>
      <c r="F953" s="144"/>
      <c r="G953" s="144"/>
      <c r="H953" s="144"/>
      <c r="I953" s="145"/>
      <c r="J953" s="145"/>
      <c r="K953" s="145"/>
      <c r="L953" s="145"/>
      <c r="M953" s="145"/>
      <c r="N953" s="145"/>
      <c r="O953" s="145"/>
      <c r="P953" s="145"/>
      <c r="Q953" s="145"/>
      <c r="R953" s="145"/>
      <c r="S953" s="145"/>
      <c r="T953" s="145"/>
      <c r="U953" s="145"/>
      <c r="V953" s="31"/>
      <c r="W953" s="146"/>
      <c r="X953" s="146"/>
      <c r="Z953" s="31"/>
      <c r="AA953" s="31"/>
      <c r="AB953" s="387"/>
      <c r="AC953" s="387"/>
      <c r="AD953" s="637"/>
    </row>
    <row r="955" spans="1:30">
      <c r="A955" s="31"/>
      <c r="B955" s="30"/>
      <c r="C955" s="31"/>
      <c r="D955" s="143"/>
      <c r="E955" s="31"/>
      <c r="F955" s="144"/>
      <c r="G955" s="144"/>
      <c r="H955" s="144"/>
      <c r="I955" s="145"/>
      <c r="J955" s="145"/>
      <c r="K955" s="145"/>
      <c r="L955" s="145"/>
      <c r="M955" s="145"/>
      <c r="N955" s="145"/>
      <c r="O955" s="145"/>
      <c r="P955" s="145"/>
      <c r="Q955" s="145"/>
      <c r="R955" s="145"/>
      <c r="S955" s="145"/>
      <c r="T955" s="145"/>
      <c r="U955" s="145"/>
      <c r="V955" s="31"/>
      <c r="W955" s="146"/>
      <c r="X955" s="146"/>
      <c r="Z955" s="31"/>
      <c r="AA955" s="31"/>
      <c r="AB955" s="387"/>
      <c r="AC955" s="387"/>
      <c r="AD955" s="637"/>
    </row>
    <row r="957" spans="1:30">
      <c r="A957" s="31"/>
      <c r="B957" s="30"/>
      <c r="C957" s="31"/>
      <c r="D957" s="143"/>
      <c r="E957" s="31"/>
      <c r="F957" s="144"/>
      <c r="G957" s="144"/>
      <c r="H957" s="144"/>
      <c r="I957" s="145"/>
      <c r="J957" s="145"/>
      <c r="K957" s="145"/>
      <c r="L957" s="145"/>
      <c r="M957" s="145"/>
      <c r="N957" s="145"/>
      <c r="O957" s="145"/>
      <c r="P957" s="145"/>
      <c r="Q957" s="145"/>
      <c r="R957" s="145"/>
      <c r="S957" s="145"/>
      <c r="T957" s="145"/>
      <c r="U957" s="145"/>
      <c r="V957" s="31"/>
      <c r="W957" s="146"/>
      <c r="X957" s="146"/>
      <c r="Z957" s="31"/>
      <c r="AA957" s="31"/>
      <c r="AB957" s="387"/>
      <c r="AC957" s="387"/>
      <c r="AD957" s="637"/>
    </row>
    <row r="959" spans="1:30">
      <c r="A959" s="31"/>
      <c r="B959" s="30"/>
      <c r="C959" s="31"/>
      <c r="D959" s="143"/>
      <c r="E959" s="31"/>
      <c r="F959" s="144"/>
      <c r="G959" s="144"/>
      <c r="H959" s="144"/>
      <c r="I959" s="145"/>
      <c r="J959" s="145"/>
      <c r="K959" s="145"/>
      <c r="L959" s="145"/>
      <c r="M959" s="145"/>
      <c r="N959" s="145"/>
      <c r="O959" s="145"/>
      <c r="P959" s="145"/>
      <c r="Q959" s="145"/>
      <c r="R959" s="145"/>
      <c r="S959" s="145"/>
      <c r="T959" s="145"/>
      <c r="U959" s="145"/>
      <c r="V959" s="31"/>
      <c r="W959" s="146"/>
      <c r="X959" s="146"/>
      <c r="Z959" s="31"/>
      <c r="AA959" s="31"/>
      <c r="AB959" s="387"/>
      <c r="AC959" s="387"/>
      <c r="AD959" s="637"/>
    </row>
    <row r="961" spans="1:30">
      <c r="A961" s="31"/>
      <c r="B961" s="30"/>
      <c r="C961" s="31"/>
      <c r="D961" s="143"/>
      <c r="E961" s="31"/>
      <c r="F961" s="144"/>
      <c r="G961" s="144"/>
      <c r="H961" s="144"/>
      <c r="I961" s="145"/>
      <c r="J961" s="145"/>
      <c r="K961" s="145"/>
      <c r="L961" s="145"/>
      <c r="M961" s="145"/>
      <c r="N961" s="145"/>
      <c r="O961" s="145"/>
      <c r="P961" s="145"/>
      <c r="Q961" s="145"/>
      <c r="R961" s="145"/>
      <c r="S961" s="145"/>
      <c r="T961" s="145"/>
      <c r="U961" s="145"/>
      <c r="V961" s="31"/>
      <c r="W961" s="146"/>
      <c r="X961" s="146"/>
      <c r="Z961" s="31"/>
      <c r="AA961" s="31"/>
      <c r="AB961" s="387"/>
      <c r="AC961" s="387"/>
      <c r="AD961" s="637"/>
    </row>
    <row r="963" spans="1:30">
      <c r="A963" s="31"/>
      <c r="B963" s="30"/>
      <c r="C963" s="31"/>
      <c r="D963" s="143"/>
      <c r="F963" s="144"/>
      <c r="G963" s="144"/>
      <c r="H963" s="144"/>
      <c r="I963" s="145"/>
      <c r="J963" s="145"/>
      <c r="K963" s="145"/>
      <c r="L963" s="145"/>
      <c r="M963" s="145"/>
      <c r="N963" s="145"/>
      <c r="O963" s="145"/>
      <c r="P963" s="145"/>
      <c r="Q963" s="145"/>
      <c r="R963" s="145"/>
      <c r="S963" s="145"/>
      <c r="T963" s="145"/>
      <c r="U963" s="145"/>
      <c r="V963" s="31"/>
      <c r="W963" s="146"/>
      <c r="X963" s="146"/>
      <c r="Z963" s="31"/>
      <c r="AA963" s="31"/>
      <c r="AB963" s="387"/>
      <c r="AC963" s="387"/>
      <c r="AD963" s="637"/>
    </row>
  </sheetData>
  <autoFilter ref="B4:AH261" xr:uid="{45151225-86B5-4791-9637-779A37A35C8D}"/>
  <mergeCells count="27">
    <mergeCell ref="W273:W274"/>
    <mergeCell ref="X273:X274"/>
    <mergeCell ref="E276:E277"/>
    <mergeCell ref="D260:F260"/>
    <mergeCell ref="D261:F261"/>
    <mergeCell ref="F273:R273"/>
    <mergeCell ref="S273:S274"/>
    <mergeCell ref="D273:D275"/>
    <mergeCell ref="E273:E275"/>
    <mergeCell ref="T273:T274"/>
    <mergeCell ref="U273:U274"/>
    <mergeCell ref="V273:V274"/>
    <mergeCell ref="Y2:Y3"/>
    <mergeCell ref="Z2:Z3"/>
    <mergeCell ref="AA2:AA3"/>
    <mergeCell ref="D82:H82"/>
    <mergeCell ref="D83:H83"/>
    <mergeCell ref="D251:H251"/>
    <mergeCell ref="D1:X1"/>
    <mergeCell ref="D2:D3"/>
    <mergeCell ref="E2:E3"/>
    <mergeCell ref="F2:F3"/>
    <mergeCell ref="H2:H3"/>
    <mergeCell ref="I2:U2"/>
    <mergeCell ref="V2:V3"/>
    <mergeCell ref="W2:W3"/>
    <mergeCell ref="X2:X3"/>
  </mergeCells>
  <conditionalFormatting sqref="AD6 AD8 AD10 AD12 AD14 AD16 AD18 AD20 AD22 AD24 AD26 AD28 AD30 AD32 AD34 AD36 AD38 AD40 AD42 AD44 AD46 AD48 AD50 AD52 AD54 AD56 AD58 AD60 AD62 AD64 AD66 AD68 AD70 AD72 AD74 AD76 AD78 AD80 AD83 AD89 AD91 AD93 AD95 AD97 AD99 AD101 AD103 AD105 AD107 AD109 AD111 AD113 AD115 AD117 AD119 AD121 AD125 AD127 AD129 AD131 AD133 AD135 AD137 AD139 AD141 AD143 AD145 AD147 AD149 AD151 AD153 AD155 AD157 AD159 AD161 AD163 AD165 AD167 AD169 AD171 AD173 AD175 AD177 AD179 AD181 AD183 AD185 AD187 AD195 AD197 AD201 AD205 AD209 AD213 AD217 AD221 AD225 AD229 AD233 AD235 AD239 AD241 AD243 AD245 AD247 AD249 AD252 AD255:AD256 AD261">
    <cfRule type="cellIs" dxfId="23" priority="22" operator="between">
      <formula>0.8</formula>
      <formula>1</formula>
    </cfRule>
    <cfRule type="cellIs" dxfId="22" priority="23" operator="lessThan">
      <formula>0.8</formula>
    </cfRule>
  </conditionalFormatting>
  <conditionalFormatting sqref="AD189">
    <cfRule type="cellIs" dxfId="21" priority="1" operator="between">
      <formula>0.8</formula>
      <formula>1</formula>
    </cfRule>
    <cfRule type="cellIs" dxfId="20" priority="2" operator="lessThan">
      <formula>0.8</formula>
    </cfRule>
  </conditionalFormatting>
  <conditionalFormatting sqref="AD191 AD193">
    <cfRule type="cellIs" dxfId="19" priority="5" operator="between">
      <formula>0.8</formula>
      <formula>1</formula>
    </cfRule>
    <cfRule type="cellIs" dxfId="18" priority="6" operator="lessThan">
      <formula>0.8</formula>
    </cfRule>
  </conditionalFormatting>
  <conditionalFormatting sqref="AL98">
    <cfRule type="duplicateValues" dxfId="17" priority="20"/>
  </conditionalFormatting>
  <conditionalFormatting sqref="AL126">
    <cfRule type="duplicateValues" dxfId="16" priority="19"/>
  </conditionalFormatting>
  <conditionalFormatting sqref="AL170">
    <cfRule type="duplicateValues" dxfId="15" priority="18"/>
  </conditionalFormatting>
  <conditionalFormatting sqref="AL172">
    <cfRule type="duplicateValues" dxfId="14" priority="17"/>
  </conditionalFormatting>
  <conditionalFormatting sqref="AL174">
    <cfRule type="duplicateValues" dxfId="13" priority="16"/>
  </conditionalFormatting>
  <conditionalFormatting sqref="AL176">
    <cfRule type="duplicateValues" dxfId="12" priority="15"/>
  </conditionalFormatting>
  <conditionalFormatting sqref="AL178">
    <cfRule type="duplicateValues" dxfId="11" priority="14"/>
  </conditionalFormatting>
  <conditionalFormatting sqref="AL180">
    <cfRule type="duplicateValues" dxfId="10" priority="13"/>
  </conditionalFormatting>
  <conditionalFormatting sqref="AL182">
    <cfRule type="duplicateValues" dxfId="9" priority="12"/>
  </conditionalFormatting>
  <conditionalFormatting sqref="AL184">
    <cfRule type="duplicateValues" dxfId="8" priority="11"/>
  </conditionalFormatting>
  <conditionalFormatting sqref="AL186">
    <cfRule type="duplicateValues" dxfId="7" priority="10"/>
  </conditionalFormatting>
  <conditionalFormatting sqref="AL188">
    <cfRule type="duplicateValues" dxfId="6" priority="9"/>
  </conditionalFormatting>
  <conditionalFormatting sqref="AL190">
    <cfRule type="duplicateValues" dxfId="5" priority="4"/>
  </conditionalFormatting>
  <conditionalFormatting sqref="AL192">
    <cfRule type="duplicateValues" dxfId="4" priority="3"/>
  </conditionalFormatting>
  <conditionalFormatting sqref="AL194">
    <cfRule type="duplicateValues" dxfId="3" priority="8"/>
  </conditionalFormatting>
  <conditionalFormatting sqref="AL195 AL1:AL97 AL99:AL125 AL127:AL169 AL171 AL173 AL175 AL177 AL179 AL181 AL183 AL185 AL187 AL189 AL197:AL1048576 AL191 AL193">
    <cfRule type="duplicateValues" dxfId="2" priority="21"/>
  </conditionalFormatting>
  <conditionalFormatting sqref="AL196">
    <cfRule type="duplicateValues" dxfId="1" priority="7"/>
  </conditionalFormatting>
  <dataValidations disablePrompts="1" count="1">
    <dataValidation type="list" allowBlank="1" showInputMessage="1" showErrorMessage="1" sqref="E276:E277" xr:uid="{B8551FCF-F922-4BC7-99BA-470DCEF70AB3}">
      <formula1>$AL$7:$AL$106</formula1>
    </dataValidation>
  </dataValidations>
  <pageMargins left="0.31496062992125984" right="0.31496062992125984" top="0.59055118110236227" bottom="0.78740157480314965" header="0.31496062992125984" footer="0.31496062992125984"/>
  <pageSetup paperSize="9" scale="36" fitToHeight="0" orientation="landscape" r:id="rId1"/>
  <headerFooter>
    <oddFooter>&amp;R&amp;P/&amp;N</oddFooter>
  </headerFooter>
  <rowBreaks count="2" manualBreakCount="2">
    <brk id="179" max="29" man="1"/>
    <brk id="266" max="29" man="1"/>
  </rowBreaks>
  <ignoredErrors>
    <ignoredError sqref="AB217 AB201"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937D-E7EE-4E18-8B80-4EF5A75FF2BD}">
  <sheetPr codeName="Plan13">
    <tabColor rgb="FFFFFF00"/>
    <pageSetUpPr fitToPage="1"/>
  </sheetPr>
  <dimension ref="A1:AD1569"/>
  <sheetViews>
    <sheetView showGridLines="0" tabSelected="1" view="pageBreakPreview" zoomScale="70" zoomScaleNormal="80" zoomScaleSheetLayoutView="70" workbookViewId="0">
      <pane ySplit="3132" topLeftCell="A670" activePane="bottomLeft"/>
      <selection pane="bottomLeft" activeCell="K685" sqref="K685"/>
      <selection activeCell="N657" sqref="N657"/>
    </sheetView>
  </sheetViews>
  <sheetFormatPr defaultColWidth="9.140625" defaultRowHeight="14.45" outlineLevelRow="1" outlineLevelCol="1"/>
  <cols>
    <col min="1" max="2" width="4.5703125" style="4" customWidth="1"/>
    <col min="3" max="3" width="9.42578125" style="147" customWidth="1"/>
    <col min="4" max="4" width="58.7109375" style="261" customWidth="1"/>
    <col min="5" max="5" width="11" style="389" customWidth="1"/>
    <col min="6" max="6" width="11.85546875" style="389" customWidth="1"/>
    <col min="7" max="7" width="9.7109375" style="4" customWidth="1"/>
    <col min="8" max="20" width="9.28515625" style="266" customWidth="1" outlineLevel="1"/>
    <col min="21" max="21" width="12.42578125" style="390" customWidth="1"/>
    <col min="22" max="22" width="11" style="149" customWidth="1"/>
    <col min="23" max="23" width="13" style="2" customWidth="1"/>
    <col min="24" max="24" width="13" style="82" customWidth="1"/>
    <col min="25" max="25" width="13" style="583" customWidth="1"/>
    <col min="26" max="26" width="9.85546875" style="266" customWidth="1"/>
    <col min="27" max="27" width="9.140625" style="564"/>
    <col min="28" max="16384" width="9.140625" style="2"/>
  </cols>
  <sheetData>
    <row r="1" spans="1:30" ht="19.899999999999999" customHeight="1">
      <c r="C1" s="739" t="s">
        <v>335</v>
      </c>
      <c r="D1" s="739"/>
      <c r="E1" s="739"/>
      <c r="F1" s="739"/>
      <c r="G1" s="739"/>
      <c r="H1" s="740"/>
      <c r="I1" s="740"/>
      <c r="J1" s="740"/>
      <c r="K1" s="740"/>
      <c r="L1" s="740"/>
      <c r="M1" s="740"/>
      <c r="N1" s="739"/>
      <c r="O1" s="739"/>
      <c r="P1" s="739"/>
      <c r="Q1" s="739"/>
      <c r="R1" s="739"/>
      <c r="S1" s="739"/>
      <c r="T1" s="739"/>
      <c r="U1" s="739"/>
      <c r="V1" s="739"/>
      <c r="W1" s="739"/>
      <c r="X1" s="265"/>
      <c r="Y1" s="563"/>
    </row>
    <row r="2" spans="1:30" s="4" customFormat="1" ht="15" customHeight="1">
      <c r="C2" s="741" t="s">
        <v>2</v>
      </c>
      <c r="D2" s="679" t="s">
        <v>3</v>
      </c>
      <c r="E2" s="679"/>
      <c r="F2" s="679"/>
      <c r="G2" s="679"/>
      <c r="H2" s="741" t="s">
        <v>336</v>
      </c>
      <c r="I2" s="742" t="s">
        <v>47</v>
      </c>
      <c r="J2" s="743"/>
      <c r="K2" s="743"/>
      <c r="L2" s="743"/>
      <c r="M2" s="743"/>
      <c r="N2" s="743"/>
      <c r="O2" s="743"/>
      <c r="P2" s="743"/>
      <c r="Q2" s="743"/>
      <c r="R2" s="743"/>
      <c r="S2" s="743"/>
      <c r="T2" s="743"/>
      <c r="U2" s="743"/>
      <c r="V2" s="744" t="s">
        <v>48</v>
      </c>
      <c r="W2" s="746" t="s">
        <v>49</v>
      </c>
      <c r="X2" s="741" t="s">
        <v>337</v>
      </c>
      <c r="Y2" s="747" t="s">
        <v>51</v>
      </c>
      <c r="Z2" s="738"/>
      <c r="AA2" s="267"/>
      <c r="AB2" s="565"/>
    </row>
    <row r="3" spans="1:30" s="4" customFormat="1" ht="15" customHeight="1">
      <c r="C3" s="701"/>
      <c r="D3" s="669"/>
      <c r="E3" s="669"/>
      <c r="F3" s="669"/>
      <c r="G3" s="669"/>
      <c r="H3" s="701"/>
      <c r="I3" s="268" t="s">
        <v>27</v>
      </c>
      <c r="J3" s="268">
        <v>25</v>
      </c>
      <c r="K3" s="268">
        <v>26</v>
      </c>
      <c r="L3" s="268">
        <v>27</v>
      </c>
      <c r="M3" s="268">
        <v>28</v>
      </c>
      <c r="N3" s="268">
        <v>29</v>
      </c>
      <c r="O3" s="268">
        <v>30</v>
      </c>
      <c r="P3" s="268">
        <v>31</v>
      </c>
      <c r="Q3" s="268">
        <v>32</v>
      </c>
      <c r="R3" s="268">
        <v>33</v>
      </c>
      <c r="S3" s="268">
        <v>34</v>
      </c>
      <c r="T3" s="268">
        <v>35</v>
      </c>
      <c r="U3" s="268">
        <v>36</v>
      </c>
      <c r="V3" s="745"/>
      <c r="W3" s="701"/>
      <c r="X3" s="701"/>
      <c r="Y3" s="748"/>
      <c r="Z3" s="738"/>
      <c r="AA3" s="267"/>
      <c r="AB3" s="565"/>
    </row>
    <row r="4" spans="1:30" s="4" customFormat="1" ht="15" customHeight="1">
      <c r="C4" s="270"/>
      <c r="D4" s="269"/>
      <c r="E4" s="269"/>
      <c r="F4" s="269"/>
      <c r="G4" s="269"/>
      <c r="H4" s="270"/>
      <c r="I4" s="408" t="s">
        <v>58</v>
      </c>
      <c r="J4" s="408" t="s">
        <v>59</v>
      </c>
      <c r="K4" s="408" t="s">
        <v>60</v>
      </c>
      <c r="L4" s="408" t="s">
        <v>61</v>
      </c>
      <c r="M4" s="408" t="s">
        <v>62</v>
      </c>
      <c r="N4" s="408" t="s">
        <v>63</v>
      </c>
      <c r="O4" s="408" t="s">
        <v>64</v>
      </c>
      <c r="P4" s="408" t="s">
        <v>65</v>
      </c>
      <c r="Q4" s="408" t="s">
        <v>66</v>
      </c>
      <c r="R4" s="408" t="s">
        <v>67</v>
      </c>
      <c r="S4" s="408" t="s">
        <v>68</v>
      </c>
      <c r="T4" s="408" t="s">
        <v>69</v>
      </c>
      <c r="U4" s="408" t="s">
        <v>58</v>
      </c>
      <c r="V4" s="271"/>
      <c r="W4" s="270"/>
      <c r="X4" s="270"/>
      <c r="Y4" s="272"/>
      <c r="Z4" s="678"/>
      <c r="AA4" s="267"/>
      <c r="AB4" s="565"/>
    </row>
    <row r="5" spans="1:30" s="281" customFormat="1" ht="15" customHeight="1">
      <c r="A5" s="273">
        <v>1</v>
      </c>
      <c r="B5" s="273" t="s">
        <v>0</v>
      </c>
      <c r="C5" s="274">
        <v>1</v>
      </c>
      <c r="D5" s="275" t="s">
        <v>338</v>
      </c>
      <c r="E5" s="276"/>
      <c r="F5" s="276"/>
      <c r="G5" s="276"/>
      <c r="H5" s="277"/>
      <c r="I5" s="394"/>
      <c r="J5" s="394"/>
      <c r="K5" s="394"/>
      <c r="L5" s="394"/>
      <c r="M5" s="394"/>
      <c r="N5" s="394"/>
      <c r="O5" s="394"/>
      <c r="P5" s="394"/>
      <c r="Q5" s="394"/>
      <c r="R5" s="394"/>
      <c r="S5" s="394"/>
      <c r="T5" s="394"/>
      <c r="U5" s="394"/>
      <c r="V5" s="278"/>
      <c r="W5" s="278"/>
      <c r="X5" s="279"/>
      <c r="Y5" s="280"/>
      <c r="Z5" s="566"/>
      <c r="AA5" s="567"/>
      <c r="AB5" s="311"/>
      <c r="AC5" s="311"/>
      <c r="AD5" s="311"/>
    </row>
    <row r="6" spans="1:30" s="288" customFormat="1" ht="15" customHeight="1">
      <c r="A6" s="282">
        <v>2</v>
      </c>
      <c r="B6" s="282" t="s">
        <v>1</v>
      </c>
      <c r="C6" s="283">
        <v>1</v>
      </c>
      <c r="D6" s="284" t="s">
        <v>338</v>
      </c>
      <c r="E6" s="285"/>
      <c r="F6" s="285"/>
      <c r="G6" s="285"/>
      <c r="H6" s="286"/>
      <c r="I6" s="395"/>
      <c r="J6" s="395"/>
      <c r="K6" s="395"/>
      <c r="L6" s="395"/>
      <c r="M6" s="395"/>
      <c r="N6" s="395"/>
      <c r="O6" s="395"/>
      <c r="P6" s="395"/>
      <c r="Q6" s="395"/>
      <c r="R6" s="395"/>
      <c r="S6" s="395"/>
      <c r="T6" s="395"/>
      <c r="U6" s="395"/>
      <c r="V6" s="287"/>
      <c r="W6" s="287"/>
      <c r="X6" s="287"/>
      <c r="Y6" s="280"/>
      <c r="Z6" s="568"/>
      <c r="AA6" s="569"/>
      <c r="AB6" s="318"/>
      <c r="AC6" s="318"/>
      <c r="AD6" s="318"/>
    </row>
    <row r="7" spans="1:30" s="296" customFormat="1" ht="15" customHeight="1">
      <c r="A7" s="273">
        <v>3</v>
      </c>
      <c r="B7" s="273" t="s">
        <v>0</v>
      </c>
      <c r="C7" s="289" t="s">
        <v>71</v>
      </c>
      <c r="D7" s="290" t="s">
        <v>339</v>
      </c>
      <c r="E7" s="291"/>
      <c r="F7" s="291"/>
      <c r="G7" s="610"/>
      <c r="H7" s="292"/>
      <c r="I7" s="396"/>
      <c r="J7" s="396"/>
      <c r="K7" s="396"/>
      <c r="L7" s="396"/>
      <c r="M7" s="396"/>
      <c r="N7" s="396"/>
      <c r="O7" s="396"/>
      <c r="P7" s="396"/>
      <c r="Q7" s="396"/>
      <c r="R7" s="396"/>
      <c r="S7" s="396"/>
      <c r="T7" s="396"/>
      <c r="U7" s="396"/>
      <c r="V7" s="293">
        <v>0</v>
      </c>
      <c r="W7" s="293">
        <v>0</v>
      </c>
      <c r="X7" s="294">
        <f>SUMIF(B9:B18,B7,X9:X18)</f>
        <v>1396536.12</v>
      </c>
      <c r="Y7" s="295" t="s">
        <v>74</v>
      </c>
      <c r="Z7" s="570"/>
      <c r="AA7" s="567"/>
      <c r="AB7" s="311"/>
      <c r="AC7" s="311"/>
      <c r="AD7" s="311"/>
    </row>
    <row r="8" spans="1:30" s="304" customFormat="1" ht="15" customHeight="1">
      <c r="A8" s="282">
        <v>4</v>
      </c>
      <c r="B8" s="282" t="s">
        <v>1</v>
      </c>
      <c r="C8" s="297" t="s">
        <v>71</v>
      </c>
      <c r="D8" s="298" t="s">
        <v>339</v>
      </c>
      <c r="E8" s="299"/>
      <c r="F8" s="299"/>
      <c r="G8" s="610" t="s">
        <v>46</v>
      </c>
      <c r="H8" s="300"/>
      <c r="I8" s="397"/>
      <c r="J8" s="397"/>
      <c r="K8" s="397"/>
      <c r="L8" s="397"/>
      <c r="M8" s="397"/>
      <c r="N8" s="397"/>
      <c r="O8" s="397"/>
      <c r="P8" s="397"/>
      <c r="Q8" s="397"/>
      <c r="R8" s="397"/>
      <c r="S8" s="397"/>
      <c r="T8" s="397"/>
      <c r="U8" s="397"/>
      <c r="V8" s="302"/>
      <c r="W8" s="302"/>
      <c r="X8" s="303">
        <f>SUMIF(B9:B18,B8,X9:X18)</f>
        <v>442236.43799999997</v>
      </c>
      <c r="Y8" s="295">
        <f>X8/X7</f>
        <v>0.3166666666666666</v>
      </c>
      <c r="Z8" s="571"/>
      <c r="AA8" s="567"/>
      <c r="AB8" s="318"/>
      <c r="AC8" s="318"/>
      <c r="AD8" s="318"/>
    </row>
    <row r="9" spans="1:30" s="311" customFormat="1" ht="15" customHeight="1">
      <c r="A9" s="273">
        <v>5</v>
      </c>
      <c r="B9" s="273" t="s">
        <v>0</v>
      </c>
      <c r="C9" s="305" t="s">
        <v>340</v>
      </c>
      <c r="D9" s="306" t="s">
        <v>341</v>
      </c>
      <c r="E9" s="307" t="s">
        <v>258</v>
      </c>
      <c r="F9" s="305" t="str">
        <f t="shared" ref="F9:F18" si="0">B9&amp;D9</f>
        <v>PREVVeículo ‐ caminhonete 4x4 cabine dupla c/ motorista</v>
      </c>
      <c r="G9" s="611" t="s">
        <v>74</v>
      </c>
      <c r="H9" s="307" t="s">
        <v>247</v>
      </c>
      <c r="I9" s="321">
        <v>1.6</v>
      </c>
      <c r="J9" s="321">
        <v>2</v>
      </c>
      <c r="K9" s="321">
        <v>2</v>
      </c>
      <c r="L9" s="321">
        <v>2</v>
      </c>
      <c r="M9" s="321">
        <v>2</v>
      </c>
      <c r="N9" s="321">
        <v>2</v>
      </c>
      <c r="O9" s="321">
        <v>2</v>
      </c>
      <c r="P9" s="321">
        <v>2</v>
      </c>
      <c r="Q9" s="321">
        <v>2</v>
      </c>
      <c r="R9" s="321">
        <v>2</v>
      </c>
      <c r="S9" s="321">
        <v>2</v>
      </c>
      <c r="T9" s="321">
        <v>2</v>
      </c>
      <c r="U9" s="321">
        <v>0.4</v>
      </c>
      <c r="V9" s="308">
        <f t="shared" ref="V9:V18" si="1">SUM(I9:U9)</f>
        <v>24</v>
      </c>
      <c r="W9" s="308">
        <v>12971.63</v>
      </c>
      <c r="X9" s="309">
        <f t="shared" ref="X9:X18" si="2">W9*V9</f>
        <v>311319.12</v>
      </c>
      <c r="Y9" s="310" t="s">
        <v>74</v>
      </c>
      <c r="Z9" s="572"/>
      <c r="AA9" s="567"/>
      <c r="AB9" s="573"/>
    </row>
    <row r="10" spans="1:30" s="318" customFormat="1" ht="15" customHeight="1">
      <c r="A10" s="282">
        <v>6</v>
      </c>
      <c r="B10" s="282" t="s">
        <v>1</v>
      </c>
      <c r="C10" s="312" t="s">
        <v>340</v>
      </c>
      <c r="D10" s="313" t="s">
        <v>341</v>
      </c>
      <c r="E10" s="314" t="s">
        <v>258</v>
      </c>
      <c r="F10" s="305" t="str">
        <f t="shared" si="0"/>
        <v>REALVeículo ‐ caminhonete 4x4 cabine dupla c/ motorista</v>
      </c>
      <c r="G10" s="609">
        <f>Y10</f>
        <v>0.31666666666666665</v>
      </c>
      <c r="H10" s="315" t="s">
        <v>247</v>
      </c>
      <c r="I10" s="323">
        <v>1.6</v>
      </c>
      <c r="J10" s="323">
        <v>2</v>
      </c>
      <c r="K10" s="323">
        <v>2</v>
      </c>
      <c r="L10" s="323">
        <v>2</v>
      </c>
      <c r="M10" s="323"/>
      <c r="N10" s="323"/>
      <c r="O10" s="323"/>
      <c r="P10" s="323"/>
      <c r="Q10" s="323"/>
      <c r="R10" s="323"/>
      <c r="S10" s="323"/>
      <c r="T10" s="323"/>
      <c r="U10" s="323"/>
      <c r="V10" s="316">
        <f t="shared" si="1"/>
        <v>7.6</v>
      </c>
      <c r="W10" s="316">
        <v>12971.63</v>
      </c>
      <c r="X10" s="317">
        <f t="shared" si="2"/>
        <v>98584.387999999992</v>
      </c>
      <c r="Y10" s="310">
        <f>X10/X9</f>
        <v>0.31666666666666665</v>
      </c>
      <c r="Z10" s="572"/>
      <c r="AA10" s="567"/>
      <c r="AB10" s="574">
        <f>AA10*I10</f>
        <v>0</v>
      </c>
    </row>
    <row r="11" spans="1:30" s="311" customFormat="1" ht="15" customHeight="1">
      <c r="A11" s="273">
        <v>7</v>
      </c>
      <c r="B11" s="273" t="s">
        <v>0</v>
      </c>
      <c r="C11" s="305" t="s">
        <v>342</v>
      </c>
      <c r="D11" s="306" t="s">
        <v>343</v>
      </c>
      <c r="E11" s="474" t="s">
        <v>257</v>
      </c>
      <c r="F11" s="305" t="str">
        <f t="shared" si="0"/>
        <v>PREVVeículo ‐ caminhonete 4x4 cabine dupla</v>
      </c>
      <c r="G11" s="611" t="s">
        <v>74</v>
      </c>
      <c r="H11" s="307" t="s">
        <v>247</v>
      </c>
      <c r="I11" s="321">
        <v>0.8</v>
      </c>
      <c r="J11" s="321">
        <v>1</v>
      </c>
      <c r="K11" s="321">
        <v>1</v>
      </c>
      <c r="L11" s="321">
        <v>1</v>
      </c>
      <c r="M11" s="321">
        <v>1</v>
      </c>
      <c r="N11" s="321">
        <v>1</v>
      </c>
      <c r="O11" s="321">
        <v>1</v>
      </c>
      <c r="P11" s="321">
        <v>1</v>
      </c>
      <c r="Q11" s="321">
        <v>1</v>
      </c>
      <c r="R11" s="321">
        <v>1</v>
      </c>
      <c r="S11" s="321">
        <v>1</v>
      </c>
      <c r="T11" s="321">
        <v>1</v>
      </c>
      <c r="U11" s="321">
        <v>0.2</v>
      </c>
      <c r="V11" s="308">
        <f t="shared" si="1"/>
        <v>12</v>
      </c>
      <c r="W11" s="308">
        <v>7919.19</v>
      </c>
      <c r="X11" s="309">
        <f t="shared" si="2"/>
        <v>95030.28</v>
      </c>
      <c r="Y11" s="310" t="s">
        <v>74</v>
      </c>
      <c r="Z11" s="572"/>
      <c r="AA11" s="567"/>
      <c r="AB11" s="573"/>
    </row>
    <row r="12" spans="1:30" s="318" customFormat="1" ht="15" customHeight="1">
      <c r="A12" s="282">
        <v>8</v>
      </c>
      <c r="B12" s="282" t="s">
        <v>1</v>
      </c>
      <c r="C12" s="312" t="s">
        <v>342</v>
      </c>
      <c r="D12" s="313" t="s">
        <v>343</v>
      </c>
      <c r="E12" s="473" t="s">
        <v>257</v>
      </c>
      <c r="F12" s="305" t="str">
        <f t="shared" si="0"/>
        <v>REALVeículo ‐ caminhonete 4x4 cabine dupla</v>
      </c>
      <c r="G12" s="609">
        <f>Y12</f>
        <v>0.31666666666666665</v>
      </c>
      <c r="H12" s="315" t="s">
        <v>247</v>
      </c>
      <c r="I12" s="323">
        <v>0.8</v>
      </c>
      <c r="J12" s="323">
        <v>1</v>
      </c>
      <c r="K12" s="323">
        <v>1</v>
      </c>
      <c r="L12" s="323">
        <v>1</v>
      </c>
      <c r="M12" s="323"/>
      <c r="N12" s="323"/>
      <c r="O12" s="323"/>
      <c r="P12" s="323"/>
      <c r="Q12" s="323"/>
      <c r="R12" s="323"/>
      <c r="S12" s="323"/>
      <c r="T12" s="323"/>
      <c r="U12" s="323"/>
      <c r="V12" s="316">
        <f t="shared" si="1"/>
        <v>3.8</v>
      </c>
      <c r="W12" s="316">
        <v>7919.19</v>
      </c>
      <c r="X12" s="317">
        <f t="shared" si="2"/>
        <v>30092.921999999999</v>
      </c>
      <c r="Y12" s="310">
        <f>X12/X11</f>
        <v>0.31666666666666665</v>
      </c>
      <c r="Z12" s="572">
        <v>84</v>
      </c>
      <c r="AA12" s="567">
        <f>V11/Z12</f>
        <v>0.14285714285714285</v>
      </c>
      <c r="AB12" s="574">
        <f>AA12*I12</f>
        <v>0.11428571428571428</v>
      </c>
    </row>
    <row r="13" spans="1:30" s="311" customFormat="1" ht="15" customHeight="1">
      <c r="A13" s="273">
        <v>9</v>
      </c>
      <c r="B13" s="273" t="s">
        <v>0</v>
      </c>
      <c r="C13" s="305" t="s">
        <v>344</v>
      </c>
      <c r="D13" s="306" t="s">
        <v>345</v>
      </c>
      <c r="E13" s="473" t="s">
        <v>259</v>
      </c>
      <c r="F13" s="305" t="str">
        <f t="shared" si="0"/>
        <v>PREVVeículo ‐ pick up 4x4 (E8891) ‐ Operativo + Improdutivo</v>
      </c>
      <c r="G13" s="611" t="s">
        <v>74</v>
      </c>
      <c r="H13" s="307" t="s">
        <v>247</v>
      </c>
      <c r="I13" s="321">
        <v>2.4000000000000004</v>
      </c>
      <c r="J13" s="321">
        <v>3</v>
      </c>
      <c r="K13" s="321">
        <v>3</v>
      </c>
      <c r="L13" s="321">
        <v>3</v>
      </c>
      <c r="M13" s="321">
        <v>3</v>
      </c>
      <c r="N13" s="321">
        <v>3</v>
      </c>
      <c r="O13" s="321">
        <v>3</v>
      </c>
      <c r="P13" s="321">
        <v>3</v>
      </c>
      <c r="Q13" s="321">
        <v>3</v>
      </c>
      <c r="R13" s="321">
        <v>3</v>
      </c>
      <c r="S13" s="321">
        <v>3</v>
      </c>
      <c r="T13" s="321">
        <v>3</v>
      </c>
      <c r="U13" s="321">
        <v>0.60000000000000009</v>
      </c>
      <c r="V13" s="308">
        <f t="shared" si="1"/>
        <v>36</v>
      </c>
      <c r="W13" s="308">
        <v>7459.55</v>
      </c>
      <c r="X13" s="309">
        <f t="shared" si="2"/>
        <v>268543.8</v>
      </c>
      <c r="Y13" s="310" t="s">
        <v>74</v>
      </c>
      <c r="Z13" s="572"/>
      <c r="AA13" s="567"/>
      <c r="AB13" s="573"/>
    </row>
    <row r="14" spans="1:30" s="318" customFormat="1" ht="15" customHeight="1">
      <c r="A14" s="282">
        <v>10</v>
      </c>
      <c r="B14" s="282" t="s">
        <v>1</v>
      </c>
      <c r="C14" s="312" t="s">
        <v>344</v>
      </c>
      <c r="D14" s="313" t="s">
        <v>345</v>
      </c>
      <c r="E14" s="473" t="s">
        <v>259</v>
      </c>
      <c r="F14" s="305" t="str">
        <f t="shared" si="0"/>
        <v>REALVeículo ‐ pick up 4x4 (E8891) ‐ Operativo + Improdutivo</v>
      </c>
      <c r="G14" s="609">
        <f>Y14</f>
        <v>0.31666666666666671</v>
      </c>
      <c r="H14" s="315" t="s">
        <v>247</v>
      </c>
      <c r="I14" s="323">
        <v>2.4</v>
      </c>
      <c r="J14" s="323">
        <v>3</v>
      </c>
      <c r="K14" s="323">
        <v>3</v>
      </c>
      <c r="L14" s="323">
        <v>3</v>
      </c>
      <c r="M14" s="323"/>
      <c r="N14" s="323"/>
      <c r="O14" s="323"/>
      <c r="P14" s="323"/>
      <c r="Q14" s="323"/>
      <c r="R14" s="323"/>
      <c r="S14" s="323"/>
      <c r="T14" s="323"/>
      <c r="U14" s="323"/>
      <c r="V14" s="316">
        <f t="shared" si="1"/>
        <v>11.4</v>
      </c>
      <c r="W14" s="316">
        <v>7459.55</v>
      </c>
      <c r="X14" s="317">
        <f t="shared" si="2"/>
        <v>85038.87000000001</v>
      </c>
      <c r="Y14" s="310">
        <f>X14/X13</f>
        <v>0.31666666666666671</v>
      </c>
      <c r="Z14" s="572">
        <v>108</v>
      </c>
      <c r="AA14" s="567">
        <f>V13/Z14</f>
        <v>0.33333333333333331</v>
      </c>
      <c r="AB14" s="574">
        <f>AA14*I14</f>
        <v>0.79999999999999993</v>
      </c>
    </row>
    <row r="15" spans="1:30" s="311" customFormat="1" ht="15" customHeight="1">
      <c r="A15" s="273">
        <v>11</v>
      </c>
      <c r="B15" s="273" t="s">
        <v>0</v>
      </c>
      <c r="C15" s="305" t="s">
        <v>346</v>
      </c>
      <c r="D15" s="306" t="s">
        <v>347</v>
      </c>
      <c r="E15" s="473" t="s">
        <v>260</v>
      </c>
      <c r="F15" s="305" t="str">
        <f t="shared" si="0"/>
        <v>PREVVeículo ‐ sedan 1.6 flex ‐ 115CV (E8889) ‐ Operativo + Improdutivo</v>
      </c>
      <c r="G15" s="611" t="s">
        <v>74</v>
      </c>
      <c r="H15" s="307" t="s">
        <v>247</v>
      </c>
      <c r="I15" s="321">
        <v>3.2</v>
      </c>
      <c r="J15" s="321">
        <v>4</v>
      </c>
      <c r="K15" s="321">
        <v>4</v>
      </c>
      <c r="L15" s="321">
        <v>4</v>
      </c>
      <c r="M15" s="321">
        <v>4</v>
      </c>
      <c r="N15" s="321">
        <v>4</v>
      </c>
      <c r="O15" s="321">
        <v>4</v>
      </c>
      <c r="P15" s="321">
        <v>4</v>
      </c>
      <c r="Q15" s="321">
        <v>4</v>
      </c>
      <c r="R15" s="321">
        <v>4</v>
      </c>
      <c r="S15" s="321">
        <v>4</v>
      </c>
      <c r="T15" s="321">
        <v>4</v>
      </c>
      <c r="U15" s="321">
        <v>0.8</v>
      </c>
      <c r="V15" s="308">
        <f t="shared" si="1"/>
        <v>48</v>
      </c>
      <c r="W15" s="308">
        <v>3155.45</v>
      </c>
      <c r="X15" s="309">
        <f t="shared" si="2"/>
        <v>151461.59999999998</v>
      </c>
      <c r="Y15" s="310" t="s">
        <v>74</v>
      </c>
      <c r="Z15" s="572"/>
      <c r="AA15" s="567"/>
      <c r="AB15" s="573"/>
    </row>
    <row r="16" spans="1:30" s="318" customFormat="1" ht="15" customHeight="1">
      <c r="A16" s="282">
        <v>12</v>
      </c>
      <c r="B16" s="282" t="s">
        <v>1</v>
      </c>
      <c r="C16" s="312" t="s">
        <v>346</v>
      </c>
      <c r="D16" s="313" t="s">
        <v>347</v>
      </c>
      <c r="E16" s="473" t="s">
        <v>260</v>
      </c>
      <c r="F16" s="305" t="str">
        <f t="shared" si="0"/>
        <v>REALVeículo ‐ sedan 1.6 flex ‐ 115CV (E8889) ‐ Operativo + Improdutivo</v>
      </c>
      <c r="G16" s="609">
        <f>Y16</f>
        <v>0.31666666666666671</v>
      </c>
      <c r="H16" s="315" t="s">
        <v>247</v>
      </c>
      <c r="I16" s="323">
        <v>3.2</v>
      </c>
      <c r="J16" s="323">
        <v>4</v>
      </c>
      <c r="K16" s="323">
        <v>4</v>
      </c>
      <c r="L16" s="323">
        <v>4</v>
      </c>
      <c r="M16" s="323"/>
      <c r="N16" s="323"/>
      <c r="O16" s="323"/>
      <c r="P16" s="323"/>
      <c r="Q16" s="323"/>
      <c r="R16" s="323"/>
      <c r="S16" s="323"/>
      <c r="T16" s="323"/>
      <c r="U16" s="323"/>
      <c r="V16" s="316">
        <f t="shared" si="1"/>
        <v>15.2</v>
      </c>
      <c r="W16" s="316">
        <v>3155.45</v>
      </c>
      <c r="X16" s="317">
        <f t="shared" si="2"/>
        <v>47962.84</v>
      </c>
      <c r="Y16" s="310">
        <f>X16/X15</f>
        <v>0.31666666666666671</v>
      </c>
      <c r="Z16" s="572">
        <v>180</v>
      </c>
      <c r="AA16" s="567">
        <f>V15/Z16</f>
        <v>0.26666666666666666</v>
      </c>
      <c r="AB16" s="574"/>
    </row>
    <row r="17" spans="1:30" s="311" customFormat="1" ht="15" customHeight="1">
      <c r="A17" s="273">
        <v>13</v>
      </c>
      <c r="B17" s="273" t="s">
        <v>0</v>
      </c>
      <c r="C17" s="305" t="s">
        <v>348</v>
      </c>
      <c r="D17" s="306" t="s">
        <v>349</v>
      </c>
      <c r="E17" s="307" t="s">
        <v>262</v>
      </c>
      <c r="F17" s="305" t="str">
        <f t="shared" si="0"/>
        <v>PREVÔnibus com 45 lugares ‐ 218CV (com motorista ‐ incluindo combustível e manutenção)</v>
      </c>
      <c r="G17" s="611" t="s">
        <v>74</v>
      </c>
      <c r="H17" s="307" t="s">
        <v>247</v>
      </c>
      <c r="I17" s="321">
        <v>2.4000000000000004</v>
      </c>
      <c r="J17" s="321">
        <v>3</v>
      </c>
      <c r="K17" s="321">
        <v>3</v>
      </c>
      <c r="L17" s="321">
        <v>3</v>
      </c>
      <c r="M17" s="321">
        <v>3</v>
      </c>
      <c r="N17" s="321">
        <v>3</v>
      </c>
      <c r="O17" s="321">
        <v>3</v>
      </c>
      <c r="P17" s="321">
        <v>3</v>
      </c>
      <c r="Q17" s="321">
        <v>3</v>
      </c>
      <c r="R17" s="321">
        <v>3</v>
      </c>
      <c r="S17" s="321">
        <v>3</v>
      </c>
      <c r="T17" s="321">
        <v>3</v>
      </c>
      <c r="U17" s="321">
        <v>0.60000000000000009</v>
      </c>
      <c r="V17" s="308">
        <f t="shared" si="1"/>
        <v>36</v>
      </c>
      <c r="W17" s="308">
        <v>15838.37</v>
      </c>
      <c r="X17" s="309">
        <f t="shared" si="2"/>
        <v>570181.32000000007</v>
      </c>
      <c r="Y17" s="310" t="s">
        <v>74</v>
      </c>
      <c r="Z17" s="572"/>
      <c r="AA17" s="567"/>
      <c r="AB17" s="573"/>
    </row>
    <row r="18" spans="1:30" s="318" customFormat="1" ht="15" customHeight="1">
      <c r="A18" s="282">
        <v>14</v>
      </c>
      <c r="B18" s="282" t="s">
        <v>1</v>
      </c>
      <c r="C18" s="312" t="s">
        <v>348</v>
      </c>
      <c r="D18" s="313" t="s">
        <v>349</v>
      </c>
      <c r="E18" s="314" t="s">
        <v>262</v>
      </c>
      <c r="F18" s="305" t="str">
        <f t="shared" si="0"/>
        <v>REALÔnibus com 45 lugares ‐ 218CV (com motorista ‐ incluindo combustível e manutenção)</v>
      </c>
      <c r="G18" s="609">
        <f>Y18</f>
        <v>0.31666666666666665</v>
      </c>
      <c r="H18" s="315" t="s">
        <v>247</v>
      </c>
      <c r="I18" s="323">
        <v>2.4000000000000004</v>
      </c>
      <c r="J18" s="323">
        <v>3</v>
      </c>
      <c r="K18" s="323">
        <v>3</v>
      </c>
      <c r="L18" s="323">
        <v>3</v>
      </c>
      <c r="M18" s="323"/>
      <c r="N18" s="323"/>
      <c r="O18" s="323"/>
      <c r="P18" s="323"/>
      <c r="Q18" s="323"/>
      <c r="R18" s="323"/>
      <c r="S18" s="323"/>
      <c r="T18" s="323"/>
      <c r="U18" s="323"/>
      <c r="V18" s="316">
        <f t="shared" si="1"/>
        <v>11.4</v>
      </c>
      <c r="W18" s="316">
        <v>15838.37</v>
      </c>
      <c r="X18" s="317">
        <f t="shared" si="2"/>
        <v>180557.41800000001</v>
      </c>
      <c r="Y18" s="310">
        <f>X18/X17</f>
        <v>0.31666666666666665</v>
      </c>
      <c r="Z18" s="572"/>
      <c r="AA18" s="567"/>
      <c r="AB18" s="574">
        <f>AA18*I18</f>
        <v>0</v>
      </c>
    </row>
    <row r="19" spans="1:30" s="296" customFormat="1" ht="15" customHeight="1">
      <c r="A19" s="273">
        <v>15</v>
      </c>
      <c r="B19" s="273" t="s">
        <v>0</v>
      </c>
      <c r="C19" s="289" t="s">
        <v>76</v>
      </c>
      <c r="D19" s="290" t="s">
        <v>263</v>
      </c>
      <c r="E19" s="291" t="s">
        <v>19</v>
      </c>
      <c r="F19" s="291"/>
      <c r="G19" s="610"/>
      <c r="H19" s="292"/>
      <c r="I19" s="396"/>
      <c r="J19" s="396"/>
      <c r="K19" s="396"/>
      <c r="L19" s="396"/>
      <c r="M19" s="396"/>
      <c r="N19" s="396"/>
      <c r="O19" s="396"/>
      <c r="P19" s="396"/>
      <c r="Q19" s="396"/>
      <c r="R19" s="396"/>
      <c r="S19" s="396"/>
      <c r="T19" s="396"/>
      <c r="U19" s="396"/>
      <c r="V19" s="319">
        <v>0</v>
      </c>
      <c r="W19" s="319">
        <v>0</v>
      </c>
      <c r="X19" s="294">
        <f>SUMIF(B21:B66,B19,X21:X66)</f>
        <v>1512510.2444</v>
      </c>
      <c r="Y19" s="295" t="s">
        <v>74</v>
      </c>
      <c r="Z19" s="570"/>
      <c r="AA19" s="567"/>
      <c r="AB19" s="311"/>
      <c r="AC19" s="311"/>
      <c r="AD19" s="311"/>
    </row>
    <row r="20" spans="1:30" s="304" customFormat="1" ht="15" customHeight="1">
      <c r="A20" s="282">
        <v>16</v>
      </c>
      <c r="B20" s="282" t="s">
        <v>1</v>
      </c>
      <c r="C20" s="297" t="s">
        <v>76</v>
      </c>
      <c r="D20" s="298" t="s">
        <v>263</v>
      </c>
      <c r="E20" s="320" t="s">
        <v>19</v>
      </c>
      <c r="F20" s="320"/>
      <c r="G20" s="612"/>
      <c r="H20" s="300"/>
      <c r="I20" s="397"/>
      <c r="J20" s="397"/>
      <c r="K20" s="397"/>
      <c r="L20" s="397"/>
      <c r="M20" s="397"/>
      <c r="N20" s="397"/>
      <c r="O20" s="397"/>
      <c r="P20" s="397"/>
      <c r="Q20" s="397"/>
      <c r="R20" s="397"/>
      <c r="S20" s="397"/>
      <c r="T20" s="397"/>
      <c r="U20" s="397"/>
      <c r="V20" s="302"/>
      <c r="W20" s="302"/>
      <c r="X20" s="303">
        <f>SUMIF(B21:B66,B20,X21:X66)</f>
        <v>406928.63032</v>
      </c>
      <c r="Y20" s="295">
        <f>X20/X19</f>
        <v>0.26904190026258312</v>
      </c>
      <c r="Z20" s="571"/>
      <c r="AA20" s="567"/>
      <c r="AB20" s="318"/>
      <c r="AC20" s="318"/>
      <c r="AD20" s="318"/>
    </row>
    <row r="21" spans="1:30" s="311" customFormat="1" ht="15" customHeight="1">
      <c r="A21" s="273">
        <v>17</v>
      </c>
      <c r="B21" s="273" t="s">
        <v>0</v>
      </c>
      <c r="C21" s="305" t="s">
        <v>350</v>
      </c>
      <c r="D21" s="306" t="s">
        <v>154</v>
      </c>
      <c r="E21" s="473" t="s">
        <v>250</v>
      </c>
      <c r="F21" s="553" t="str">
        <f t="shared" ref="F21:F66" si="3">B21&amp;D21</f>
        <v>PREVAluguel de Impressora A3</v>
      </c>
      <c r="G21" s="611" t="s">
        <v>74</v>
      </c>
      <c r="H21" s="307" t="s">
        <v>247</v>
      </c>
      <c r="I21" s="321">
        <v>0.8</v>
      </c>
      <c r="J21" s="321">
        <v>1</v>
      </c>
      <c r="K21" s="321">
        <v>1</v>
      </c>
      <c r="L21" s="321">
        <v>1</v>
      </c>
      <c r="M21" s="321">
        <v>1</v>
      </c>
      <c r="N21" s="321">
        <v>1</v>
      </c>
      <c r="O21" s="321">
        <v>1</v>
      </c>
      <c r="P21" s="321">
        <v>1</v>
      </c>
      <c r="Q21" s="321">
        <v>1</v>
      </c>
      <c r="R21" s="321">
        <v>1</v>
      </c>
      <c r="S21" s="321">
        <v>1</v>
      </c>
      <c r="T21" s="321">
        <v>1</v>
      </c>
      <c r="U21" s="321">
        <v>0.2</v>
      </c>
      <c r="V21" s="308">
        <f t="shared" ref="V21:V66" si="4">SUM(I21:U21)</f>
        <v>12</v>
      </c>
      <c r="W21" s="308">
        <v>177.77</v>
      </c>
      <c r="X21" s="308">
        <f t="shared" ref="X21:X66" si="5">W21*V21</f>
        <v>2133.2400000000002</v>
      </c>
      <c r="Y21" s="322" t="s">
        <v>74</v>
      </c>
      <c r="Z21" s="575"/>
      <c r="AA21" s="567"/>
    </row>
    <row r="22" spans="1:30" s="318" customFormat="1" ht="15" customHeight="1">
      <c r="A22" s="282">
        <v>18</v>
      </c>
      <c r="B22" s="282" t="s">
        <v>1</v>
      </c>
      <c r="C22" s="312" t="s">
        <v>350</v>
      </c>
      <c r="D22" s="313" t="s">
        <v>154</v>
      </c>
      <c r="E22" s="473" t="s">
        <v>250</v>
      </c>
      <c r="F22" s="553" t="str">
        <f t="shared" si="3"/>
        <v>REALAluguel de Impressora A3</v>
      </c>
      <c r="G22" s="609">
        <f>Y22</f>
        <v>0.3166666666666666</v>
      </c>
      <c r="H22" s="315" t="s">
        <v>247</v>
      </c>
      <c r="I22" s="323">
        <v>0.8</v>
      </c>
      <c r="J22" s="323">
        <v>1</v>
      </c>
      <c r="K22" s="323">
        <v>1</v>
      </c>
      <c r="L22" s="323">
        <v>1</v>
      </c>
      <c r="M22" s="323"/>
      <c r="N22" s="323"/>
      <c r="O22" s="323"/>
      <c r="P22" s="323"/>
      <c r="Q22" s="323"/>
      <c r="R22" s="323"/>
      <c r="S22" s="323"/>
      <c r="T22" s="323"/>
      <c r="U22" s="323"/>
      <c r="V22" s="316">
        <f t="shared" si="4"/>
        <v>3.8</v>
      </c>
      <c r="W22" s="316">
        <v>177.77</v>
      </c>
      <c r="X22" s="316">
        <f t="shared" si="5"/>
        <v>675.52599999999995</v>
      </c>
      <c r="Y22" s="322">
        <f>X22/X21</f>
        <v>0.3166666666666666</v>
      </c>
      <c r="Z22" s="572">
        <v>36</v>
      </c>
      <c r="AA22" s="567"/>
    </row>
    <row r="23" spans="1:30" s="311" customFormat="1" ht="15" customHeight="1">
      <c r="A23" s="273">
        <v>19</v>
      </c>
      <c r="B23" s="273" t="s">
        <v>0</v>
      </c>
      <c r="C23" s="305" t="s">
        <v>351</v>
      </c>
      <c r="D23" s="306" t="s">
        <v>157</v>
      </c>
      <c r="E23" s="307" t="s">
        <v>253</v>
      </c>
      <c r="F23" s="553" t="str">
        <f t="shared" si="3"/>
        <v>PREVAluguel de Servidor</v>
      </c>
      <c r="G23" s="611" t="s">
        <v>74</v>
      </c>
      <c r="H23" s="307" t="s">
        <v>247</v>
      </c>
      <c r="I23" s="321">
        <v>1.6</v>
      </c>
      <c r="J23" s="321">
        <v>2</v>
      </c>
      <c r="K23" s="321">
        <v>2</v>
      </c>
      <c r="L23" s="321">
        <v>2</v>
      </c>
      <c r="M23" s="321">
        <v>2</v>
      </c>
      <c r="N23" s="321">
        <v>2</v>
      </c>
      <c r="O23" s="321">
        <v>2</v>
      </c>
      <c r="P23" s="321">
        <v>2</v>
      </c>
      <c r="Q23" s="321">
        <v>2</v>
      </c>
      <c r="R23" s="321">
        <v>2</v>
      </c>
      <c r="S23" s="321">
        <v>2</v>
      </c>
      <c r="T23" s="321">
        <v>2</v>
      </c>
      <c r="U23" s="321">
        <v>0.4</v>
      </c>
      <c r="V23" s="308">
        <f t="shared" si="4"/>
        <v>24</v>
      </c>
      <c r="W23" s="308">
        <v>1350.87</v>
      </c>
      <c r="X23" s="308">
        <f t="shared" si="5"/>
        <v>32420.879999999997</v>
      </c>
      <c r="Y23" s="322" t="s">
        <v>74</v>
      </c>
      <c r="Z23" s="575"/>
      <c r="AA23" s="567"/>
    </row>
    <row r="24" spans="1:30" s="318" customFormat="1" ht="15" customHeight="1">
      <c r="A24" s="282">
        <v>20</v>
      </c>
      <c r="B24" s="282" t="s">
        <v>1</v>
      </c>
      <c r="C24" s="312" t="s">
        <v>351</v>
      </c>
      <c r="D24" s="313" t="s">
        <v>157</v>
      </c>
      <c r="E24" s="314" t="s">
        <v>253</v>
      </c>
      <c r="F24" s="553" t="str">
        <f t="shared" si="3"/>
        <v>REALAluguel de Servidor</v>
      </c>
      <c r="G24" s="609">
        <f>Y24</f>
        <v>0.31666666666666665</v>
      </c>
      <c r="H24" s="315" t="s">
        <v>247</v>
      </c>
      <c r="I24" s="323">
        <v>1.6</v>
      </c>
      <c r="J24" s="323">
        <v>2</v>
      </c>
      <c r="K24" s="323">
        <v>2</v>
      </c>
      <c r="L24" s="323">
        <v>2</v>
      </c>
      <c r="M24" s="323"/>
      <c r="N24" s="323"/>
      <c r="O24" s="323"/>
      <c r="P24" s="323"/>
      <c r="Q24" s="323"/>
      <c r="R24" s="323"/>
      <c r="S24" s="323"/>
      <c r="T24" s="323"/>
      <c r="U24" s="323"/>
      <c r="V24" s="316">
        <f t="shared" si="4"/>
        <v>7.6</v>
      </c>
      <c r="W24" s="316">
        <v>1350.87</v>
      </c>
      <c r="X24" s="316">
        <f t="shared" si="5"/>
        <v>10266.611999999999</v>
      </c>
      <c r="Y24" s="322">
        <f>X24/X23</f>
        <v>0.31666666666666665</v>
      </c>
      <c r="Z24" s="572"/>
      <c r="AA24" s="567"/>
    </row>
    <row r="25" spans="1:30" s="311" customFormat="1" ht="15" customHeight="1">
      <c r="A25" s="273">
        <v>21</v>
      </c>
      <c r="B25" s="273" t="s">
        <v>0</v>
      </c>
      <c r="C25" s="305" t="s">
        <v>352</v>
      </c>
      <c r="D25" s="306" t="s">
        <v>158</v>
      </c>
      <c r="E25" s="307" t="s">
        <v>255</v>
      </c>
      <c r="F25" s="553" t="str">
        <f t="shared" si="3"/>
        <v>PREVAluguel de Plotter</v>
      </c>
      <c r="G25" s="611" t="s">
        <v>74</v>
      </c>
      <c r="H25" s="307" t="s">
        <v>247</v>
      </c>
      <c r="I25" s="321">
        <v>0.8</v>
      </c>
      <c r="J25" s="321">
        <v>1</v>
      </c>
      <c r="K25" s="321">
        <v>1</v>
      </c>
      <c r="L25" s="321">
        <v>1</v>
      </c>
      <c r="M25" s="321">
        <v>1</v>
      </c>
      <c r="N25" s="321">
        <v>1</v>
      </c>
      <c r="O25" s="321">
        <v>1</v>
      </c>
      <c r="P25" s="321">
        <v>1</v>
      </c>
      <c r="Q25" s="321">
        <v>1</v>
      </c>
      <c r="R25" s="321">
        <v>1</v>
      </c>
      <c r="S25" s="321">
        <v>1</v>
      </c>
      <c r="T25" s="321">
        <v>1</v>
      </c>
      <c r="U25" s="321">
        <v>0.2</v>
      </c>
      <c r="V25" s="308">
        <f t="shared" si="4"/>
        <v>12</v>
      </c>
      <c r="W25" s="308">
        <v>116.18</v>
      </c>
      <c r="X25" s="308">
        <f t="shared" si="5"/>
        <v>1394.16</v>
      </c>
      <c r="Y25" s="322" t="s">
        <v>74</v>
      </c>
      <c r="Z25" s="575"/>
      <c r="AA25" s="567"/>
    </row>
    <row r="26" spans="1:30" s="318" customFormat="1" ht="15" customHeight="1">
      <c r="A26" s="282">
        <v>22</v>
      </c>
      <c r="B26" s="282" t="s">
        <v>1</v>
      </c>
      <c r="C26" s="312" t="s">
        <v>352</v>
      </c>
      <c r="D26" s="313" t="s">
        <v>158</v>
      </c>
      <c r="E26" s="314" t="s">
        <v>255</v>
      </c>
      <c r="F26" s="553" t="str">
        <f t="shared" si="3"/>
        <v>REALAluguel de Plotter</v>
      </c>
      <c r="G26" s="609">
        <f>Y26</f>
        <v>0.31666666666666665</v>
      </c>
      <c r="H26" s="315" t="s">
        <v>247</v>
      </c>
      <c r="I26" s="323">
        <v>0.8</v>
      </c>
      <c r="J26" s="323">
        <v>1</v>
      </c>
      <c r="K26" s="323">
        <v>1</v>
      </c>
      <c r="L26" s="323">
        <v>1</v>
      </c>
      <c r="M26" s="323"/>
      <c r="N26" s="323"/>
      <c r="O26" s="323"/>
      <c r="P26" s="323"/>
      <c r="Q26" s="323"/>
      <c r="R26" s="323"/>
      <c r="S26" s="323"/>
      <c r="T26" s="323"/>
      <c r="U26" s="323"/>
      <c r="V26" s="316">
        <f t="shared" si="4"/>
        <v>3.8</v>
      </c>
      <c r="W26" s="316">
        <v>116.18</v>
      </c>
      <c r="X26" s="316">
        <f t="shared" si="5"/>
        <v>441.48399999999998</v>
      </c>
      <c r="Y26" s="322">
        <f>X26/X25</f>
        <v>0.31666666666666665</v>
      </c>
      <c r="Z26" s="572"/>
      <c r="AA26" s="567"/>
    </row>
    <row r="27" spans="1:30" s="311" customFormat="1" ht="15" customHeight="1">
      <c r="A27" s="273">
        <v>23</v>
      </c>
      <c r="B27" s="273" t="s">
        <v>0</v>
      </c>
      <c r="C27" s="305" t="s">
        <v>353</v>
      </c>
      <c r="D27" s="663" t="s">
        <v>354</v>
      </c>
      <c r="E27" s="307" t="s">
        <v>270</v>
      </c>
      <c r="F27" s="553" t="str">
        <f t="shared" si="3"/>
        <v>PREVCâmera fotografica profissional DSLR, 18 MP, vídeos em Full HD, lente EF‐S 18‐ 55mm f/3.5‐5.6 III e bateria</v>
      </c>
      <c r="G27" s="611" t="s">
        <v>74</v>
      </c>
      <c r="H27" s="307" t="s">
        <v>247</v>
      </c>
      <c r="I27" s="321">
        <v>1.6</v>
      </c>
      <c r="J27" s="321">
        <v>2</v>
      </c>
      <c r="K27" s="321">
        <v>2</v>
      </c>
      <c r="L27" s="321">
        <v>2</v>
      </c>
      <c r="M27" s="321">
        <v>2</v>
      </c>
      <c r="N27" s="321">
        <v>2</v>
      </c>
      <c r="O27" s="321">
        <v>2</v>
      </c>
      <c r="P27" s="321">
        <v>2</v>
      </c>
      <c r="Q27" s="321">
        <v>2</v>
      </c>
      <c r="R27" s="321">
        <v>2</v>
      </c>
      <c r="S27" s="321">
        <v>2</v>
      </c>
      <c r="T27" s="321">
        <v>2</v>
      </c>
      <c r="U27" s="321">
        <v>0.4</v>
      </c>
      <c r="V27" s="308">
        <f t="shared" si="4"/>
        <v>24</v>
      </c>
      <c r="W27" s="308">
        <v>20.190000000000001</v>
      </c>
      <c r="X27" s="308">
        <f t="shared" si="5"/>
        <v>484.56000000000006</v>
      </c>
      <c r="Y27" s="322" t="s">
        <v>74</v>
      </c>
      <c r="Z27" s="575"/>
      <c r="AA27" s="567"/>
    </row>
    <row r="28" spans="1:30" s="318" customFormat="1" ht="15" customHeight="1">
      <c r="A28" s="282">
        <v>24</v>
      </c>
      <c r="B28" s="282" t="s">
        <v>1</v>
      </c>
      <c r="C28" s="312" t="s">
        <v>353</v>
      </c>
      <c r="D28" s="313" t="s">
        <v>354</v>
      </c>
      <c r="E28" s="314" t="s">
        <v>270</v>
      </c>
      <c r="F28" s="553" t="str">
        <f t="shared" si="3"/>
        <v>REALCâmera fotografica profissional DSLR, 18 MP, vídeos em Full HD, lente EF‐S 18‐ 55mm f/3.5‐5.6 III e bateria</v>
      </c>
      <c r="G28" s="609">
        <f>Y28</f>
        <v>0.3166666666666666</v>
      </c>
      <c r="H28" s="315" t="s">
        <v>247</v>
      </c>
      <c r="I28" s="323">
        <v>1.6</v>
      </c>
      <c r="J28" s="323">
        <v>2</v>
      </c>
      <c r="K28" s="323">
        <v>2</v>
      </c>
      <c r="L28" s="323">
        <v>2</v>
      </c>
      <c r="M28" s="323"/>
      <c r="N28" s="323"/>
      <c r="O28" s="323"/>
      <c r="P28" s="323"/>
      <c r="Q28" s="323"/>
      <c r="R28" s="323"/>
      <c r="S28" s="323"/>
      <c r="T28" s="323"/>
      <c r="U28" s="323"/>
      <c r="V28" s="316">
        <f t="shared" si="4"/>
        <v>7.6</v>
      </c>
      <c r="W28" s="316">
        <v>20.190000000000001</v>
      </c>
      <c r="X28" s="316">
        <f t="shared" si="5"/>
        <v>153.44399999999999</v>
      </c>
      <c r="Y28" s="322">
        <f>X28/X27</f>
        <v>0.3166666666666666</v>
      </c>
      <c r="Z28" s="572"/>
      <c r="AA28" s="567"/>
    </row>
    <row r="29" spans="1:30" s="311" customFormat="1" ht="15" customHeight="1">
      <c r="A29" s="273">
        <v>25</v>
      </c>
      <c r="B29" s="273" t="s">
        <v>0</v>
      </c>
      <c r="C29" s="305" t="s">
        <v>355</v>
      </c>
      <c r="D29" s="306" t="s">
        <v>185</v>
      </c>
      <c r="E29" s="307" t="s">
        <v>271</v>
      </c>
      <c r="F29" s="553" t="str">
        <f t="shared" si="3"/>
        <v>PREVBinóculo Profissional Ampliação 8 à 24x 50mm</v>
      </c>
      <c r="G29" s="611" t="s">
        <v>74</v>
      </c>
      <c r="H29" s="307" t="s">
        <v>247</v>
      </c>
      <c r="I29" s="321">
        <v>1.6</v>
      </c>
      <c r="J29" s="321">
        <v>2</v>
      </c>
      <c r="K29" s="321">
        <v>2</v>
      </c>
      <c r="L29" s="321">
        <v>2</v>
      </c>
      <c r="M29" s="321">
        <v>2</v>
      </c>
      <c r="N29" s="321">
        <v>2</v>
      </c>
      <c r="O29" s="321">
        <v>2</v>
      </c>
      <c r="P29" s="321">
        <v>2</v>
      </c>
      <c r="Q29" s="321">
        <v>2</v>
      </c>
      <c r="R29" s="321">
        <v>2</v>
      </c>
      <c r="S29" s="321">
        <v>2</v>
      </c>
      <c r="T29" s="321">
        <v>2</v>
      </c>
      <c r="U29" s="321">
        <v>0.4</v>
      </c>
      <c r="V29" s="308">
        <f t="shared" si="4"/>
        <v>24</v>
      </c>
      <c r="W29" s="308">
        <v>24.34</v>
      </c>
      <c r="X29" s="308">
        <f t="shared" si="5"/>
        <v>584.16</v>
      </c>
      <c r="Y29" s="322" t="s">
        <v>74</v>
      </c>
      <c r="Z29" s="575"/>
      <c r="AA29" s="567"/>
    </row>
    <row r="30" spans="1:30" s="318" customFormat="1" ht="15" customHeight="1">
      <c r="A30" s="282">
        <v>26</v>
      </c>
      <c r="B30" s="282" t="s">
        <v>1</v>
      </c>
      <c r="C30" s="312" t="s">
        <v>355</v>
      </c>
      <c r="D30" s="313" t="s">
        <v>185</v>
      </c>
      <c r="E30" s="314" t="s">
        <v>271</v>
      </c>
      <c r="F30" s="553" t="str">
        <f t="shared" si="3"/>
        <v>REALBinóculo Profissional Ampliação 8 à 24x 50mm</v>
      </c>
      <c r="G30" s="609">
        <f>Y30</f>
        <v>0.31666666666666665</v>
      </c>
      <c r="H30" s="315" t="s">
        <v>247</v>
      </c>
      <c r="I30" s="323">
        <v>1.6</v>
      </c>
      <c r="J30" s="323">
        <v>2</v>
      </c>
      <c r="K30" s="323">
        <v>2</v>
      </c>
      <c r="L30" s="323">
        <v>2</v>
      </c>
      <c r="M30" s="323"/>
      <c r="N30" s="323"/>
      <c r="O30" s="323"/>
      <c r="P30" s="323"/>
      <c r="Q30" s="323"/>
      <c r="R30" s="323"/>
      <c r="S30" s="323"/>
      <c r="T30" s="323"/>
      <c r="U30" s="323"/>
      <c r="V30" s="316">
        <f t="shared" si="4"/>
        <v>7.6</v>
      </c>
      <c r="W30" s="316">
        <v>24.34</v>
      </c>
      <c r="X30" s="316">
        <f t="shared" si="5"/>
        <v>184.98399999999998</v>
      </c>
      <c r="Y30" s="322">
        <f>X30/X29</f>
        <v>0.31666666666666665</v>
      </c>
      <c r="Z30" s="572"/>
      <c r="AA30" s="567"/>
    </row>
    <row r="31" spans="1:30" s="311" customFormat="1" ht="15" customHeight="1">
      <c r="A31" s="273">
        <v>27</v>
      </c>
      <c r="B31" s="273" t="s">
        <v>0</v>
      </c>
      <c r="C31" s="305" t="s">
        <v>356</v>
      </c>
      <c r="D31" s="306" t="s">
        <v>357</v>
      </c>
      <c r="E31" s="307" t="s">
        <v>264</v>
      </c>
      <c r="F31" s="553" t="str">
        <f t="shared" si="3"/>
        <v>PREVImóvel Comercial ‐ Escritório + Almox (B8951) ‐ 150 m²</v>
      </c>
      <c r="G31" s="611" t="s">
        <v>74</v>
      </c>
      <c r="H31" s="307" t="s">
        <v>247</v>
      </c>
      <c r="I31" s="321">
        <v>1.6</v>
      </c>
      <c r="J31" s="321">
        <v>2</v>
      </c>
      <c r="K31" s="321">
        <v>2</v>
      </c>
      <c r="L31" s="321">
        <v>2</v>
      </c>
      <c r="M31" s="321">
        <v>2</v>
      </c>
      <c r="N31" s="321">
        <v>2</v>
      </c>
      <c r="O31" s="321">
        <v>2</v>
      </c>
      <c r="P31" s="321">
        <v>2</v>
      </c>
      <c r="Q31" s="321">
        <v>2</v>
      </c>
      <c r="R31" s="321">
        <v>2</v>
      </c>
      <c r="S31" s="321">
        <v>2</v>
      </c>
      <c r="T31" s="321">
        <v>2</v>
      </c>
      <c r="U31" s="321">
        <v>0.4</v>
      </c>
      <c r="V31" s="308">
        <f t="shared" si="4"/>
        <v>24</v>
      </c>
      <c r="W31" s="308">
        <v>7471.5</v>
      </c>
      <c r="X31" s="308">
        <f t="shared" si="5"/>
        <v>179316</v>
      </c>
      <c r="Y31" s="322" t="s">
        <v>74</v>
      </c>
      <c r="Z31" s="575"/>
      <c r="AA31" s="567"/>
    </row>
    <row r="32" spans="1:30" s="318" customFormat="1" ht="15" customHeight="1">
      <c r="A32" s="282">
        <v>28</v>
      </c>
      <c r="B32" s="282" t="s">
        <v>1</v>
      </c>
      <c r="C32" s="312" t="s">
        <v>356</v>
      </c>
      <c r="D32" s="313" t="s">
        <v>357</v>
      </c>
      <c r="E32" s="314" t="s">
        <v>264</v>
      </c>
      <c r="F32" s="553" t="str">
        <f t="shared" si="3"/>
        <v>REALImóvel Comercial ‐ Escritório + Almox (B8951) ‐ 150 m²</v>
      </c>
      <c r="G32" s="609">
        <f>Y32</f>
        <v>0.47500000000000003</v>
      </c>
      <c r="H32" s="315" t="s">
        <v>247</v>
      </c>
      <c r="I32" s="323">
        <v>2.4000000000000004</v>
      </c>
      <c r="J32" s="323">
        <v>3</v>
      </c>
      <c r="K32" s="323">
        <v>3</v>
      </c>
      <c r="L32" s="323">
        <v>3</v>
      </c>
      <c r="M32" s="323"/>
      <c r="N32" s="323"/>
      <c r="O32" s="323"/>
      <c r="P32" s="323"/>
      <c r="Q32" s="323"/>
      <c r="R32" s="323"/>
      <c r="S32" s="323"/>
      <c r="T32" s="323"/>
      <c r="U32" s="323"/>
      <c r="V32" s="316">
        <f t="shared" si="4"/>
        <v>11.4</v>
      </c>
      <c r="W32" s="316">
        <v>7471.5</v>
      </c>
      <c r="X32" s="316">
        <f t="shared" si="5"/>
        <v>85175.1</v>
      </c>
      <c r="Y32" s="322">
        <f>X32/X31</f>
        <v>0.47500000000000003</v>
      </c>
      <c r="Z32" s="572"/>
      <c r="AA32" s="567"/>
    </row>
    <row r="33" spans="1:27" s="311" customFormat="1" ht="15" customHeight="1">
      <c r="A33" s="273">
        <v>29</v>
      </c>
      <c r="B33" s="273" t="s">
        <v>0</v>
      </c>
      <c r="C33" s="305" t="s">
        <v>358</v>
      </c>
      <c r="D33" s="306" t="s">
        <v>174</v>
      </c>
      <c r="E33" s="307" t="s">
        <v>266</v>
      </c>
      <c r="F33" s="553" t="str">
        <f t="shared" si="3"/>
        <v>PREVMobiliário para escritório (B8953)</v>
      </c>
      <c r="G33" s="611" t="s">
        <v>74</v>
      </c>
      <c r="H33" s="307" t="s">
        <v>359</v>
      </c>
      <c r="I33" s="321">
        <v>19.200000000000003</v>
      </c>
      <c r="J33" s="321">
        <v>24</v>
      </c>
      <c r="K33" s="321">
        <v>24</v>
      </c>
      <c r="L33" s="321">
        <v>24</v>
      </c>
      <c r="M33" s="321">
        <v>24</v>
      </c>
      <c r="N33" s="321">
        <v>24</v>
      </c>
      <c r="O33" s="321">
        <v>24</v>
      </c>
      <c r="P33" s="321">
        <v>24</v>
      </c>
      <c r="Q33" s="321">
        <v>24</v>
      </c>
      <c r="R33" s="321">
        <v>24</v>
      </c>
      <c r="S33" s="321">
        <v>24</v>
      </c>
      <c r="T33" s="321">
        <v>24</v>
      </c>
      <c r="U33" s="321">
        <v>4.8000000000000007</v>
      </c>
      <c r="V33" s="308">
        <f t="shared" si="4"/>
        <v>288</v>
      </c>
      <c r="W33" s="308">
        <v>677.68</v>
      </c>
      <c r="X33" s="308">
        <f t="shared" si="5"/>
        <v>195171.84</v>
      </c>
      <c r="Y33" s="322" t="s">
        <v>74</v>
      </c>
      <c r="Z33" s="575"/>
      <c r="AA33" s="567"/>
    </row>
    <row r="34" spans="1:27" s="318" customFormat="1" ht="15" customHeight="1">
      <c r="A34" s="282">
        <v>30</v>
      </c>
      <c r="B34" s="282" t="s">
        <v>1</v>
      </c>
      <c r="C34" s="312" t="s">
        <v>358</v>
      </c>
      <c r="D34" s="313" t="s">
        <v>174</v>
      </c>
      <c r="E34" s="314" t="s">
        <v>266</v>
      </c>
      <c r="F34" s="553" t="str">
        <f t="shared" si="3"/>
        <v>REALMobiliário para escritório (B8953)</v>
      </c>
      <c r="G34" s="609">
        <f>Y34</f>
        <v>0.31666666666666665</v>
      </c>
      <c r="H34" s="315" t="s">
        <v>359</v>
      </c>
      <c r="I34" s="323">
        <v>19.200000000000003</v>
      </c>
      <c r="J34" s="323">
        <v>24</v>
      </c>
      <c r="K34" s="323">
        <v>24</v>
      </c>
      <c r="L34" s="323">
        <v>24</v>
      </c>
      <c r="M34" s="323"/>
      <c r="N34" s="323"/>
      <c r="O34" s="323"/>
      <c r="P34" s="323"/>
      <c r="Q34" s="323"/>
      <c r="R34" s="323"/>
      <c r="S34" s="323"/>
      <c r="T34" s="323"/>
      <c r="U34" s="323"/>
      <c r="V34" s="316">
        <f t="shared" si="4"/>
        <v>91.2</v>
      </c>
      <c r="W34" s="316">
        <v>677.68</v>
      </c>
      <c r="X34" s="316">
        <f t="shared" si="5"/>
        <v>61804.415999999997</v>
      </c>
      <c r="Y34" s="322">
        <f>X34/X33</f>
        <v>0.31666666666666665</v>
      </c>
      <c r="Z34" s="575"/>
      <c r="AA34" s="567"/>
    </row>
    <row r="35" spans="1:27" s="311" customFormat="1" ht="15" customHeight="1">
      <c r="A35" s="273">
        <v>31</v>
      </c>
      <c r="B35" s="273" t="s">
        <v>0</v>
      </c>
      <c r="C35" s="305" t="s">
        <v>360</v>
      </c>
      <c r="D35" s="324" t="s">
        <v>361</v>
      </c>
      <c r="E35" s="307" t="s">
        <v>267</v>
      </c>
      <c r="F35" s="553" t="str">
        <f t="shared" si="3"/>
        <v>PREVCustos Diversos ‐ Escritório (B8959)</v>
      </c>
      <c r="G35" s="611" t="s">
        <v>74</v>
      </c>
      <c r="H35" s="307" t="s">
        <v>359</v>
      </c>
      <c r="I35" s="321">
        <v>19.200000000000003</v>
      </c>
      <c r="J35" s="321">
        <v>24</v>
      </c>
      <c r="K35" s="321">
        <v>24</v>
      </c>
      <c r="L35" s="321">
        <v>24</v>
      </c>
      <c r="M35" s="321">
        <v>24</v>
      </c>
      <c r="N35" s="321">
        <v>24</v>
      </c>
      <c r="O35" s="321">
        <v>24</v>
      </c>
      <c r="P35" s="321">
        <v>24</v>
      </c>
      <c r="Q35" s="321">
        <v>24</v>
      </c>
      <c r="R35" s="321">
        <v>24</v>
      </c>
      <c r="S35" s="321">
        <v>24</v>
      </c>
      <c r="T35" s="321">
        <v>24</v>
      </c>
      <c r="U35" s="321">
        <v>4.8000000000000007</v>
      </c>
      <c r="V35" s="308">
        <f t="shared" si="4"/>
        <v>288</v>
      </c>
      <c r="W35" s="308">
        <v>153.25</v>
      </c>
      <c r="X35" s="309">
        <f t="shared" si="5"/>
        <v>44136</v>
      </c>
      <c r="Y35" s="310" t="s">
        <v>74</v>
      </c>
      <c r="Z35" s="575"/>
      <c r="AA35" s="567"/>
    </row>
    <row r="36" spans="1:27" s="318" customFormat="1" ht="15" customHeight="1">
      <c r="A36" s="282">
        <v>32</v>
      </c>
      <c r="B36" s="282" t="s">
        <v>1</v>
      </c>
      <c r="C36" s="312" t="s">
        <v>360</v>
      </c>
      <c r="D36" s="325" t="s">
        <v>361</v>
      </c>
      <c r="E36" s="314" t="s">
        <v>267</v>
      </c>
      <c r="F36" s="553" t="str">
        <f t="shared" si="3"/>
        <v>REALCustos Diversos ‐ Escritório (B8959)</v>
      </c>
      <c r="G36" s="609">
        <f>Y36</f>
        <v>0.31666666666666665</v>
      </c>
      <c r="H36" s="315" t="s">
        <v>359</v>
      </c>
      <c r="I36" s="323">
        <v>19.200000000000003</v>
      </c>
      <c r="J36" s="323">
        <v>24</v>
      </c>
      <c r="K36" s="323">
        <v>24</v>
      </c>
      <c r="L36" s="323">
        <v>24</v>
      </c>
      <c r="M36" s="323"/>
      <c r="N36" s="323"/>
      <c r="O36" s="323"/>
      <c r="P36" s="323"/>
      <c r="Q36" s="323"/>
      <c r="R36" s="323"/>
      <c r="S36" s="323"/>
      <c r="T36" s="323"/>
      <c r="U36" s="323"/>
      <c r="V36" s="316">
        <f t="shared" si="4"/>
        <v>91.2</v>
      </c>
      <c r="W36" s="316">
        <v>153.25</v>
      </c>
      <c r="X36" s="317">
        <f t="shared" si="5"/>
        <v>13976.4</v>
      </c>
      <c r="Y36" s="310">
        <f>X36/X35</f>
        <v>0.31666666666666665</v>
      </c>
      <c r="Z36" s="575"/>
      <c r="AA36" s="567"/>
    </row>
    <row r="37" spans="1:27" s="311" customFormat="1" ht="15" customHeight="1">
      <c r="A37" s="273">
        <v>33</v>
      </c>
      <c r="B37" s="273" t="s">
        <v>0</v>
      </c>
      <c r="C37" s="305" t="s">
        <v>362</v>
      </c>
      <c r="D37" s="306" t="s">
        <v>178</v>
      </c>
      <c r="E37" s="473" t="s">
        <v>268</v>
      </c>
      <c r="F37" s="553" t="str">
        <f t="shared" si="3"/>
        <v>PREVGPS de Navegação</v>
      </c>
      <c r="G37" s="611" t="s">
        <v>74</v>
      </c>
      <c r="H37" s="307" t="s">
        <v>247</v>
      </c>
      <c r="I37" s="321">
        <v>0.8</v>
      </c>
      <c r="J37" s="321">
        <v>1</v>
      </c>
      <c r="K37" s="321">
        <v>1</v>
      </c>
      <c r="L37" s="321">
        <v>1</v>
      </c>
      <c r="M37" s="321">
        <v>1</v>
      </c>
      <c r="N37" s="321">
        <v>1</v>
      </c>
      <c r="O37" s="321">
        <v>1</v>
      </c>
      <c r="P37" s="321">
        <v>1</v>
      </c>
      <c r="Q37" s="321">
        <v>1</v>
      </c>
      <c r="R37" s="321">
        <v>1</v>
      </c>
      <c r="S37" s="321">
        <v>1</v>
      </c>
      <c r="T37" s="321">
        <v>1</v>
      </c>
      <c r="U37" s="321">
        <v>0.2</v>
      </c>
      <c r="V37" s="308">
        <f t="shared" si="4"/>
        <v>12</v>
      </c>
      <c r="W37" s="308">
        <v>50.58</v>
      </c>
      <c r="X37" s="309">
        <f t="shared" si="5"/>
        <v>606.96</v>
      </c>
      <c r="Y37" s="310" t="s">
        <v>74</v>
      </c>
      <c r="Z37" s="575"/>
      <c r="AA37" s="567"/>
    </row>
    <row r="38" spans="1:27" s="318" customFormat="1" ht="15" customHeight="1">
      <c r="A38" s="282">
        <v>34</v>
      </c>
      <c r="B38" s="282" t="s">
        <v>1</v>
      </c>
      <c r="C38" s="312" t="s">
        <v>362</v>
      </c>
      <c r="D38" s="313" t="s">
        <v>178</v>
      </c>
      <c r="E38" s="473" t="s">
        <v>268</v>
      </c>
      <c r="F38" s="553" t="str">
        <f t="shared" si="3"/>
        <v>REALGPS de Navegação</v>
      </c>
      <c r="G38" s="609">
        <f>Y38</f>
        <v>0.3166666666666666</v>
      </c>
      <c r="H38" s="315" t="s">
        <v>247</v>
      </c>
      <c r="I38" s="323">
        <v>0.8</v>
      </c>
      <c r="J38" s="323">
        <v>1</v>
      </c>
      <c r="K38" s="323">
        <v>1</v>
      </c>
      <c r="L38" s="323">
        <v>1</v>
      </c>
      <c r="M38" s="323"/>
      <c r="N38" s="323"/>
      <c r="O38" s="323"/>
      <c r="P38" s="323"/>
      <c r="Q38" s="323"/>
      <c r="R38" s="323"/>
      <c r="S38" s="323"/>
      <c r="T38" s="323"/>
      <c r="U38" s="323"/>
      <c r="V38" s="316">
        <f t="shared" si="4"/>
        <v>3.8</v>
      </c>
      <c r="W38" s="316">
        <v>50.58</v>
      </c>
      <c r="X38" s="317">
        <f t="shared" si="5"/>
        <v>192.20399999999998</v>
      </c>
      <c r="Y38" s="310">
        <f>X38/X37</f>
        <v>0.3166666666666666</v>
      </c>
      <c r="Z38" s="572">
        <v>144</v>
      </c>
      <c r="AA38" s="567"/>
    </row>
    <row r="39" spans="1:27" s="311" customFormat="1" ht="15" customHeight="1">
      <c r="A39" s="273">
        <v>35</v>
      </c>
      <c r="B39" s="273" t="s">
        <v>0</v>
      </c>
      <c r="C39" s="305" t="s">
        <v>363</v>
      </c>
      <c r="D39" s="306" t="s">
        <v>181</v>
      </c>
      <c r="E39" s="473" t="s">
        <v>269</v>
      </c>
      <c r="F39" s="553" t="str">
        <f t="shared" si="3"/>
        <v>PREVCâmera fotográfica</v>
      </c>
      <c r="G39" s="611" t="s">
        <v>74</v>
      </c>
      <c r="H39" s="307" t="s">
        <v>247</v>
      </c>
      <c r="I39" s="321">
        <v>1.6</v>
      </c>
      <c r="J39" s="321">
        <v>2</v>
      </c>
      <c r="K39" s="321">
        <v>2</v>
      </c>
      <c r="L39" s="321">
        <v>2</v>
      </c>
      <c r="M39" s="321">
        <v>2</v>
      </c>
      <c r="N39" s="321">
        <v>2</v>
      </c>
      <c r="O39" s="321">
        <v>2</v>
      </c>
      <c r="P39" s="321">
        <v>2</v>
      </c>
      <c r="Q39" s="321">
        <v>2</v>
      </c>
      <c r="R39" s="321">
        <v>2</v>
      </c>
      <c r="S39" s="321">
        <v>2</v>
      </c>
      <c r="T39" s="321">
        <v>2</v>
      </c>
      <c r="U39" s="321">
        <v>0.4</v>
      </c>
      <c r="V39" s="308">
        <f t="shared" si="4"/>
        <v>24</v>
      </c>
      <c r="W39" s="308">
        <v>10.1</v>
      </c>
      <c r="X39" s="309">
        <f t="shared" si="5"/>
        <v>242.39999999999998</v>
      </c>
      <c r="Y39" s="310" t="s">
        <v>74</v>
      </c>
      <c r="Z39" s="575"/>
      <c r="AA39" s="567"/>
    </row>
    <row r="40" spans="1:27" s="318" customFormat="1" ht="15" customHeight="1">
      <c r="A40" s="282">
        <v>36</v>
      </c>
      <c r="B40" s="282" t="s">
        <v>1</v>
      </c>
      <c r="C40" s="312" t="s">
        <v>363</v>
      </c>
      <c r="D40" s="313" t="s">
        <v>181</v>
      </c>
      <c r="E40" s="473" t="s">
        <v>269</v>
      </c>
      <c r="F40" s="553" t="str">
        <f t="shared" si="3"/>
        <v>REALCâmera fotográfica</v>
      </c>
      <c r="G40" s="609">
        <f>Y40</f>
        <v>0.31666666666666665</v>
      </c>
      <c r="H40" s="315" t="s">
        <v>247</v>
      </c>
      <c r="I40" s="323">
        <v>1.6</v>
      </c>
      <c r="J40" s="323">
        <v>2</v>
      </c>
      <c r="K40" s="323">
        <v>2</v>
      </c>
      <c r="L40" s="323">
        <v>2</v>
      </c>
      <c r="M40" s="323"/>
      <c r="N40" s="323"/>
      <c r="O40" s="323"/>
      <c r="P40" s="323"/>
      <c r="Q40" s="323"/>
      <c r="R40" s="323"/>
      <c r="S40" s="323"/>
      <c r="T40" s="323"/>
      <c r="U40" s="323"/>
      <c r="V40" s="316">
        <f t="shared" si="4"/>
        <v>7.6</v>
      </c>
      <c r="W40" s="316">
        <v>10.1</v>
      </c>
      <c r="X40" s="317">
        <f t="shared" si="5"/>
        <v>76.759999999999991</v>
      </c>
      <c r="Y40" s="310">
        <f>X40/X39</f>
        <v>0.31666666666666665</v>
      </c>
      <c r="Z40" s="572">
        <v>156</v>
      </c>
      <c r="AA40" s="567"/>
    </row>
    <row r="41" spans="1:27" s="311" customFormat="1" ht="15" customHeight="1">
      <c r="A41" s="273">
        <v>37</v>
      </c>
      <c r="B41" s="273" t="s">
        <v>0</v>
      </c>
      <c r="C41" s="305" t="s">
        <v>364</v>
      </c>
      <c r="D41" s="306" t="s">
        <v>365</v>
      </c>
      <c r="E41" s="307" t="s">
        <v>227</v>
      </c>
      <c r="F41" s="553" t="str">
        <f t="shared" si="3"/>
        <v>PREVViagens Aéreas ‐ 1 trecho (ida)</v>
      </c>
      <c r="G41" s="611" t="s">
        <v>74</v>
      </c>
      <c r="H41" s="307" t="s">
        <v>228</v>
      </c>
      <c r="I41" s="321">
        <v>6.4</v>
      </c>
      <c r="J41" s="321">
        <v>8</v>
      </c>
      <c r="K41" s="321">
        <v>8</v>
      </c>
      <c r="L41" s="321">
        <v>8</v>
      </c>
      <c r="M41" s="321">
        <v>8</v>
      </c>
      <c r="N41" s="321">
        <v>8</v>
      </c>
      <c r="O41" s="321">
        <v>8</v>
      </c>
      <c r="P41" s="321">
        <v>8</v>
      </c>
      <c r="Q41" s="321">
        <v>8</v>
      </c>
      <c r="R41" s="321">
        <v>8</v>
      </c>
      <c r="S41" s="321">
        <v>8</v>
      </c>
      <c r="T41" s="321"/>
      <c r="U41" s="321">
        <v>0</v>
      </c>
      <c r="V41" s="308">
        <f t="shared" si="4"/>
        <v>86.4</v>
      </c>
      <c r="W41" s="308">
        <v>693.79</v>
      </c>
      <c r="X41" s="309">
        <f t="shared" si="5"/>
        <v>59943.455999999998</v>
      </c>
      <c r="Y41" s="310" t="s">
        <v>74</v>
      </c>
      <c r="Z41" s="575"/>
      <c r="AA41" s="567"/>
    </row>
    <row r="42" spans="1:27" s="318" customFormat="1" ht="15" customHeight="1">
      <c r="A42" s="282">
        <v>38</v>
      </c>
      <c r="B42" s="282" t="s">
        <v>1</v>
      </c>
      <c r="C42" s="312" t="s">
        <v>364</v>
      </c>
      <c r="D42" s="313" t="s">
        <v>365</v>
      </c>
      <c r="E42" s="314" t="s">
        <v>227</v>
      </c>
      <c r="F42" s="553" t="str">
        <f t="shared" si="3"/>
        <v>REALViagens Aéreas ‐ 1 trecho (ida)</v>
      </c>
      <c r="G42" s="609">
        <f>Y42</f>
        <v>1.1574074074074073E-2</v>
      </c>
      <c r="H42" s="315" t="s">
        <v>228</v>
      </c>
      <c r="I42" s="323">
        <v>0</v>
      </c>
      <c r="J42" s="323">
        <v>0</v>
      </c>
      <c r="K42" s="323">
        <v>1</v>
      </c>
      <c r="L42" s="323">
        <v>0</v>
      </c>
      <c r="M42" s="323"/>
      <c r="N42" s="323"/>
      <c r="O42" s="323"/>
      <c r="P42" s="323"/>
      <c r="Q42" s="323"/>
      <c r="R42" s="323"/>
      <c r="S42" s="323"/>
      <c r="T42" s="323"/>
      <c r="U42" s="323"/>
      <c r="V42" s="316">
        <f t="shared" si="4"/>
        <v>1</v>
      </c>
      <c r="W42" s="316">
        <v>693.79</v>
      </c>
      <c r="X42" s="317">
        <f t="shared" si="5"/>
        <v>693.79</v>
      </c>
      <c r="Y42" s="310">
        <f>X42/X41</f>
        <v>1.1574074074074073E-2</v>
      </c>
      <c r="Z42" s="575"/>
      <c r="AA42" s="567"/>
    </row>
    <row r="43" spans="1:27" s="311" customFormat="1" ht="15" customHeight="1">
      <c r="A43" s="273">
        <v>39</v>
      </c>
      <c r="B43" s="273" t="s">
        <v>0</v>
      </c>
      <c r="C43" s="305" t="s">
        <v>366</v>
      </c>
      <c r="D43" s="306" t="s">
        <v>367</v>
      </c>
      <c r="E43" s="307" t="s">
        <v>231</v>
      </c>
      <c r="F43" s="553" t="str">
        <f t="shared" si="3"/>
        <v>PREVViagens Aéreas ‐ 1 trecho (volta)</v>
      </c>
      <c r="G43" s="611" t="s">
        <v>74</v>
      </c>
      <c r="H43" s="307" t="s">
        <v>228</v>
      </c>
      <c r="I43" s="321"/>
      <c r="J43" s="321">
        <v>8</v>
      </c>
      <c r="K43" s="321">
        <v>8</v>
      </c>
      <c r="L43" s="321">
        <v>8</v>
      </c>
      <c r="M43" s="321">
        <v>8</v>
      </c>
      <c r="N43" s="321">
        <v>8</v>
      </c>
      <c r="O43" s="321">
        <v>8</v>
      </c>
      <c r="P43" s="321">
        <v>8</v>
      </c>
      <c r="Q43" s="321">
        <v>8</v>
      </c>
      <c r="R43" s="321">
        <v>8</v>
      </c>
      <c r="S43" s="321">
        <v>8</v>
      </c>
      <c r="T43" s="321">
        <v>10</v>
      </c>
      <c r="U43" s="321">
        <v>2</v>
      </c>
      <c r="V43" s="308">
        <f t="shared" si="4"/>
        <v>92</v>
      </c>
      <c r="W43" s="308">
        <v>693.79</v>
      </c>
      <c r="X43" s="309">
        <f t="shared" si="5"/>
        <v>63828.679999999993</v>
      </c>
      <c r="Y43" s="310" t="s">
        <v>74</v>
      </c>
      <c r="Z43" s="575"/>
      <c r="AA43" s="567"/>
    </row>
    <row r="44" spans="1:27" s="318" customFormat="1" ht="15" customHeight="1">
      <c r="A44" s="282">
        <v>40</v>
      </c>
      <c r="B44" s="282" t="s">
        <v>1</v>
      </c>
      <c r="C44" s="312" t="s">
        <v>366</v>
      </c>
      <c r="D44" s="313" t="s">
        <v>367</v>
      </c>
      <c r="E44" s="314" t="s">
        <v>231</v>
      </c>
      <c r="F44" s="553" t="str">
        <f t="shared" si="3"/>
        <v>REALViagens Aéreas ‐ 1 trecho (volta)</v>
      </c>
      <c r="G44" s="609">
        <f>Y44</f>
        <v>1.0869565217391306E-2</v>
      </c>
      <c r="H44" s="315" t="s">
        <v>228</v>
      </c>
      <c r="I44" s="323">
        <v>0</v>
      </c>
      <c r="J44" s="323">
        <v>0</v>
      </c>
      <c r="K44" s="323">
        <v>1</v>
      </c>
      <c r="L44" s="323">
        <v>0</v>
      </c>
      <c r="M44" s="323"/>
      <c r="N44" s="323"/>
      <c r="O44" s="323"/>
      <c r="P44" s="323"/>
      <c r="Q44" s="323"/>
      <c r="R44" s="323"/>
      <c r="S44" s="323"/>
      <c r="T44" s="323"/>
      <c r="U44" s="323"/>
      <c r="V44" s="316">
        <f t="shared" si="4"/>
        <v>1</v>
      </c>
      <c r="W44" s="316">
        <v>693.79</v>
      </c>
      <c r="X44" s="317">
        <f t="shared" si="5"/>
        <v>693.79</v>
      </c>
      <c r="Y44" s="310">
        <f>X44/X43</f>
        <v>1.0869565217391306E-2</v>
      </c>
      <c r="Z44" s="575"/>
      <c r="AA44" s="567"/>
    </row>
    <row r="45" spans="1:27" s="311" customFormat="1" ht="15" customHeight="1">
      <c r="A45" s="273">
        <v>41</v>
      </c>
      <c r="B45" s="273" t="s">
        <v>0</v>
      </c>
      <c r="C45" s="305" t="s">
        <v>368</v>
      </c>
      <c r="D45" s="306" t="s">
        <v>369</v>
      </c>
      <c r="E45" s="307" t="s">
        <v>234</v>
      </c>
      <c r="F45" s="553" t="str">
        <f t="shared" si="3"/>
        <v>PREVViagens Terrestres ‐ 1 trecho (ida)</v>
      </c>
      <c r="G45" s="611" t="s">
        <v>74</v>
      </c>
      <c r="H45" s="307" t="s">
        <v>247</v>
      </c>
      <c r="I45" s="321">
        <v>1.6</v>
      </c>
      <c r="J45" s="321">
        <v>2</v>
      </c>
      <c r="K45" s="321">
        <v>73</v>
      </c>
      <c r="L45" s="321">
        <v>73</v>
      </c>
      <c r="M45" s="321">
        <v>73</v>
      </c>
      <c r="N45" s="321">
        <v>2</v>
      </c>
      <c r="O45" s="321">
        <v>2</v>
      </c>
      <c r="P45" s="321">
        <v>2</v>
      </c>
      <c r="Q45" s="321">
        <v>73</v>
      </c>
      <c r="R45" s="321">
        <v>2</v>
      </c>
      <c r="S45" s="321">
        <v>73</v>
      </c>
      <c r="T45" s="321">
        <v>0</v>
      </c>
      <c r="U45" s="321">
        <v>0</v>
      </c>
      <c r="V45" s="308">
        <f t="shared" si="4"/>
        <v>376.6</v>
      </c>
      <c r="W45" s="308">
        <v>183.09</v>
      </c>
      <c r="X45" s="309">
        <f t="shared" si="5"/>
        <v>68951.694000000003</v>
      </c>
      <c r="Y45" s="310" t="s">
        <v>74</v>
      </c>
      <c r="Z45" s="575"/>
      <c r="AA45" s="567"/>
    </row>
    <row r="46" spans="1:27" s="318" customFormat="1" ht="15" customHeight="1">
      <c r="A46" s="282">
        <v>42</v>
      </c>
      <c r="B46" s="282" t="s">
        <v>1</v>
      </c>
      <c r="C46" s="312" t="s">
        <v>368</v>
      </c>
      <c r="D46" s="313" t="s">
        <v>369</v>
      </c>
      <c r="E46" s="314" t="s">
        <v>234</v>
      </c>
      <c r="F46" s="553" t="str">
        <f t="shared" si="3"/>
        <v>REALViagens Terrestres ‐ 1 trecho (ida)</v>
      </c>
      <c r="G46" s="609">
        <f>Y46</f>
        <v>0</v>
      </c>
      <c r="H46" s="315" t="s">
        <v>247</v>
      </c>
      <c r="I46" s="323">
        <v>0</v>
      </c>
      <c r="J46" s="323">
        <v>0</v>
      </c>
      <c r="K46" s="323">
        <v>0</v>
      </c>
      <c r="L46" s="323">
        <v>0</v>
      </c>
      <c r="M46" s="323"/>
      <c r="N46" s="323"/>
      <c r="O46" s="323"/>
      <c r="P46" s="323"/>
      <c r="Q46" s="323"/>
      <c r="R46" s="323"/>
      <c r="S46" s="323"/>
      <c r="T46" s="323"/>
      <c r="U46" s="323"/>
      <c r="V46" s="316">
        <f t="shared" si="4"/>
        <v>0</v>
      </c>
      <c r="W46" s="316">
        <v>183.09</v>
      </c>
      <c r="X46" s="317">
        <f t="shared" si="5"/>
        <v>0</v>
      </c>
      <c r="Y46" s="310">
        <f>X46/X45</f>
        <v>0</v>
      </c>
      <c r="Z46" s="575"/>
      <c r="AA46" s="567"/>
    </row>
    <row r="47" spans="1:27" s="311" customFormat="1" ht="15" customHeight="1">
      <c r="A47" s="273">
        <v>43</v>
      </c>
      <c r="B47" s="273" t="s">
        <v>0</v>
      </c>
      <c r="C47" s="305" t="s">
        <v>370</v>
      </c>
      <c r="D47" s="306" t="s">
        <v>371</v>
      </c>
      <c r="E47" s="307" t="s">
        <v>237</v>
      </c>
      <c r="F47" s="553" t="str">
        <f t="shared" si="3"/>
        <v>PREVViagens Terrestres ‐ 1 trecho (volta)</v>
      </c>
      <c r="G47" s="611" t="s">
        <v>74</v>
      </c>
      <c r="H47" s="307" t="s">
        <v>247</v>
      </c>
      <c r="I47" s="321"/>
      <c r="J47" s="321">
        <v>2</v>
      </c>
      <c r="K47" s="321">
        <v>73</v>
      </c>
      <c r="L47" s="321">
        <v>73</v>
      </c>
      <c r="M47" s="321">
        <v>73</v>
      </c>
      <c r="N47" s="321">
        <v>2</v>
      </c>
      <c r="O47" s="321">
        <v>2</v>
      </c>
      <c r="P47" s="321">
        <v>2</v>
      </c>
      <c r="Q47" s="321">
        <v>73</v>
      </c>
      <c r="R47" s="321">
        <v>2</v>
      </c>
      <c r="S47" s="321">
        <v>73</v>
      </c>
      <c r="T47" s="321">
        <v>71</v>
      </c>
      <c r="U47" s="321">
        <v>14.200000000000001</v>
      </c>
      <c r="V47" s="308">
        <f t="shared" si="4"/>
        <v>460.2</v>
      </c>
      <c r="W47" s="308">
        <v>183.09</v>
      </c>
      <c r="X47" s="309">
        <f t="shared" si="5"/>
        <v>84258.017999999996</v>
      </c>
      <c r="Y47" s="310" t="s">
        <v>74</v>
      </c>
      <c r="Z47" s="575"/>
      <c r="AA47" s="567"/>
    </row>
    <row r="48" spans="1:27" s="318" customFormat="1" ht="15" customHeight="1">
      <c r="A48" s="282">
        <v>44</v>
      </c>
      <c r="B48" s="282" t="s">
        <v>1</v>
      </c>
      <c r="C48" s="312" t="s">
        <v>370</v>
      </c>
      <c r="D48" s="313" t="s">
        <v>371</v>
      </c>
      <c r="E48" s="314" t="s">
        <v>237</v>
      </c>
      <c r="F48" s="553" t="str">
        <f t="shared" si="3"/>
        <v>REALViagens Terrestres ‐ 1 trecho (volta)</v>
      </c>
      <c r="G48" s="609">
        <f>Y48</f>
        <v>0</v>
      </c>
      <c r="H48" s="315" t="s">
        <v>247</v>
      </c>
      <c r="I48" s="323">
        <v>0</v>
      </c>
      <c r="J48" s="323">
        <v>0</v>
      </c>
      <c r="K48" s="323">
        <v>0</v>
      </c>
      <c r="L48" s="323">
        <v>0</v>
      </c>
      <c r="M48" s="323"/>
      <c r="N48" s="323"/>
      <c r="O48" s="323"/>
      <c r="P48" s="323"/>
      <c r="Q48" s="323"/>
      <c r="R48" s="323"/>
      <c r="S48" s="323"/>
      <c r="T48" s="323"/>
      <c r="U48" s="323"/>
      <c r="V48" s="316">
        <f t="shared" si="4"/>
        <v>0</v>
      </c>
      <c r="W48" s="316">
        <v>183.09</v>
      </c>
      <c r="X48" s="317">
        <f t="shared" si="5"/>
        <v>0</v>
      </c>
      <c r="Y48" s="310">
        <f>X48/X47</f>
        <v>0</v>
      </c>
      <c r="Z48" s="575"/>
      <c r="AA48" s="567"/>
    </row>
    <row r="49" spans="1:27" s="311" customFormat="1" ht="15" customHeight="1">
      <c r="A49" s="273">
        <v>45</v>
      </c>
      <c r="B49" s="273" t="s">
        <v>0</v>
      </c>
      <c r="C49" s="305" t="s">
        <v>372</v>
      </c>
      <c r="D49" s="306" t="s">
        <v>150</v>
      </c>
      <c r="E49" s="307" t="s">
        <v>240</v>
      </c>
      <c r="F49" s="553" t="str">
        <f t="shared" si="3"/>
        <v>PREVDiárias Nacionais</v>
      </c>
      <c r="G49" s="611" t="s">
        <v>74</v>
      </c>
      <c r="H49" s="307" t="s">
        <v>247</v>
      </c>
      <c r="I49" s="321">
        <v>24</v>
      </c>
      <c r="J49" s="321">
        <v>30</v>
      </c>
      <c r="K49" s="321">
        <v>30</v>
      </c>
      <c r="L49" s="321">
        <v>30</v>
      </c>
      <c r="M49" s="321">
        <v>30</v>
      </c>
      <c r="N49" s="321">
        <v>30</v>
      </c>
      <c r="O49" s="321">
        <v>30</v>
      </c>
      <c r="P49" s="321">
        <v>30</v>
      </c>
      <c r="Q49" s="321">
        <v>30</v>
      </c>
      <c r="R49" s="321">
        <v>30</v>
      </c>
      <c r="S49" s="321">
        <v>30</v>
      </c>
      <c r="T49" s="321">
        <v>30</v>
      </c>
      <c r="U49" s="321">
        <v>6</v>
      </c>
      <c r="V49" s="407">
        <f t="shared" si="4"/>
        <v>360</v>
      </c>
      <c r="W49" s="308">
        <v>260.62</v>
      </c>
      <c r="X49" s="309">
        <f t="shared" si="5"/>
        <v>93823.2</v>
      </c>
      <c r="Y49" s="310" t="s">
        <v>74</v>
      </c>
      <c r="Z49" s="575"/>
      <c r="AA49" s="567"/>
    </row>
    <row r="50" spans="1:27" s="318" customFormat="1" ht="15" customHeight="1">
      <c r="A50" s="282">
        <v>46</v>
      </c>
      <c r="B50" s="282" t="s">
        <v>1</v>
      </c>
      <c r="C50" s="312" t="s">
        <v>372</v>
      </c>
      <c r="D50" s="313" t="s">
        <v>150</v>
      </c>
      <c r="E50" s="314" t="s">
        <v>240</v>
      </c>
      <c r="F50" s="553" t="str">
        <f t="shared" si="3"/>
        <v>REALDiárias Nacionais</v>
      </c>
      <c r="G50" s="609">
        <f>Y50</f>
        <v>0.16944444444444445</v>
      </c>
      <c r="H50" s="315" t="s">
        <v>247</v>
      </c>
      <c r="I50" s="323">
        <v>8.5</v>
      </c>
      <c r="J50" s="323">
        <v>13</v>
      </c>
      <c r="K50" s="323">
        <v>23.5</v>
      </c>
      <c r="L50" s="323">
        <v>16</v>
      </c>
      <c r="M50" s="323"/>
      <c r="N50" s="323"/>
      <c r="O50" s="323"/>
      <c r="P50" s="323"/>
      <c r="Q50" s="323"/>
      <c r="R50" s="323"/>
      <c r="S50" s="323"/>
      <c r="T50" s="323"/>
      <c r="U50" s="323"/>
      <c r="V50" s="316">
        <f t="shared" si="4"/>
        <v>61</v>
      </c>
      <c r="W50" s="316">
        <v>260.62</v>
      </c>
      <c r="X50" s="317">
        <f t="shared" si="5"/>
        <v>15897.82</v>
      </c>
      <c r="Y50" s="310">
        <f>X50/X49</f>
        <v>0.16944444444444445</v>
      </c>
      <c r="Z50" s="575"/>
      <c r="AA50" s="567"/>
    </row>
    <row r="51" spans="1:27" s="311" customFormat="1" ht="15" customHeight="1">
      <c r="A51" s="273">
        <v>47</v>
      </c>
      <c r="B51" s="273" t="s">
        <v>0</v>
      </c>
      <c r="C51" s="305" t="s">
        <v>373</v>
      </c>
      <c r="D51" s="306" t="s">
        <v>374</v>
      </c>
      <c r="E51" s="307"/>
      <c r="F51" s="553" t="str">
        <f t="shared" si="3"/>
        <v>PREVAlojamento Nível Superior (aluguel de casa + mobiliário)</v>
      </c>
      <c r="G51" s="611" t="s">
        <v>74</v>
      </c>
      <c r="H51" s="307" t="s">
        <v>228</v>
      </c>
      <c r="I51" s="321"/>
      <c r="J51" s="321"/>
      <c r="K51" s="321"/>
      <c r="L51" s="321"/>
      <c r="M51" s="321"/>
      <c r="N51" s="321"/>
      <c r="O51" s="321"/>
      <c r="P51" s="321"/>
      <c r="Q51" s="321"/>
      <c r="R51" s="321"/>
      <c r="S51" s="321"/>
      <c r="T51" s="321"/>
      <c r="U51" s="321"/>
      <c r="V51" s="308">
        <f t="shared" si="4"/>
        <v>0</v>
      </c>
      <c r="W51" s="308">
        <v>0</v>
      </c>
      <c r="X51" s="309">
        <f t="shared" si="5"/>
        <v>0</v>
      </c>
      <c r="Y51" s="310" t="s">
        <v>74</v>
      </c>
      <c r="Z51" s="575"/>
      <c r="AA51" s="567"/>
    </row>
    <row r="52" spans="1:27" s="318" customFormat="1" ht="15" customHeight="1">
      <c r="A52" s="282">
        <v>48</v>
      </c>
      <c r="B52" s="282" t="s">
        <v>1</v>
      </c>
      <c r="C52" s="312" t="s">
        <v>373</v>
      </c>
      <c r="D52" s="313" t="s">
        <v>374</v>
      </c>
      <c r="E52" s="314"/>
      <c r="F52" s="553" t="str">
        <f t="shared" si="3"/>
        <v>REALAlojamento Nível Superior (aluguel de casa + mobiliário)</v>
      </c>
      <c r="G52" s="609">
        <f>Y52</f>
        <v>0</v>
      </c>
      <c r="H52" s="315" t="s">
        <v>228</v>
      </c>
      <c r="I52" s="323">
        <v>0</v>
      </c>
      <c r="J52" s="323">
        <v>0</v>
      </c>
      <c r="K52" s="323">
        <v>0</v>
      </c>
      <c r="L52" s="323">
        <v>0</v>
      </c>
      <c r="M52" s="323"/>
      <c r="N52" s="323"/>
      <c r="O52" s="323"/>
      <c r="P52" s="323"/>
      <c r="Q52" s="323"/>
      <c r="R52" s="323"/>
      <c r="S52" s="323"/>
      <c r="T52" s="323"/>
      <c r="U52" s="323"/>
      <c r="V52" s="316">
        <f t="shared" si="4"/>
        <v>0</v>
      </c>
      <c r="W52" s="316">
        <v>0</v>
      </c>
      <c r="X52" s="317">
        <f t="shared" si="5"/>
        <v>0</v>
      </c>
      <c r="Y52" s="310"/>
      <c r="Z52" s="575"/>
      <c r="AA52" s="567"/>
    </row>
    <row r="53" spans="1:27" s="311" customFormat="1" ht="15" customHeight="1">
      <c r="A53" s="273">
        <v>49</v>
      </c>
      <c r="B53" s="273" t="s">
        <v>0</v>
      </c>
      <c r="C53" s="305" t="s">
        <v>375</v>
      </c>
      <c r="D53" s="306" t="s">
        <v>200</v>
      </c>
      <c r="E53" s="473" t="s">
        <v>282</v>
      </c>
      <c r="F53" s="553" t="str">
        <f t="shared" si="3"/>
        <v>PREVImóvel Residencial (B8952)</v>
      </c>
      <c r="G53" s="611" t="s">
        <v>74</v>
      </c>
      <c r="H53" s="327" t="s">
        <v>376</v>
      </c>
      <c r="I53" s="321">
        <v>119.136</v>
      </c>
      <c r="J53" s="321">
        <v>148.91999999999999</v>
      </c>
      <c r="K53" s="321">
        <v>148.91999999999999</v>
      </c>
      <c r="L53" s="321">
        <v>148.91999999999999</v>
      </c>
      <c r="M53" s="321">
        <v>148.91999999999999</v>
      </c>
      <c r="N53" s="321">
        <v>148.91999999999999</v>
      </c>
      <c r="O53" s="321">
        <v>148.91999999999999</v>
      </c>
      <c r="P53" s="321">
        <v>148.91999999999999</v>
      </c>
      <c r="Q53" s="321">
        <v>148.91999999999999</v>
      </c>
      <c r="R53" s="321">
        <v>148.91999999999999</v>
      </c>
      <c r="S53" s="321">
        <v>148.91999999999999</v>
      </c>
      <c r="T53" s="321">
        <v>148.91999999999999</v>
      </c>
      <c r="U53" s="321">
        <v>29.783999999999999</v>
      </c>
      <c r="V53" s="308">
        <f t="shared" si="4"/>
        <v>1787.0400000000002</v>
      </c>
      <c r="W53" s="308">
        <v>32.57</v>
      </c>
      <c r="X53" s="308">
        <f t="shared" si="5"/>
        <v>58203.892800000009</v>
      </c>
      <c r="Y53" s="322" t="s">
        <v>74</v>
      </c>
      <c r="Z53" s="575"/>
      <c r="AA53" s="567"/>
    </row>
    <row r="54" spans="1:27" s="318" customFormat="1" ht="15" customHeight="1">
      <c r="A54" s="282">
        <v>50</v>
      </c>
      <c r="B54" s="282" t="s">
        <v>1</v>
      </c>
      <c r="C54" s="312" t="s">
        <v>375</v>
      </c>
      <c r="D54" s="313" t="s">
        <v>200</v>
      </c>
      <c r="E54" s="473" t="s">
        <v>282</v>
      </c>
      <c r="F54" s="553" t="str">
        <f t="shared" si="3"/>
        <v>REALImóvel Residencial (B8952)</v>
      </c>
      <c r="G54" s="609">
        <f>Y54</f>
        <v>0.3166666666666666</v>
      </c>
      <c r="H54" s="326" t="s">
        <v>376</v>
      </c>
      <c r="I54" s="323">
        <v>119.136</v>
      </c>
      <c r="J54" s="323">
        <v>148.91999999999999</v>
      </c>
      <c r="K54" s="323">
        <v>148.91999999999999</v>
      </c>
      <c r="L54" s="323">
        <v>148.91999999999999</v>
      </c>
      <c r="M54" s="323"/>
      <c r="N54" s="323"/>
      <c r="O54" s="323"/>
      <c r="P54" s="323"/>
      <c r="Q54" s="323"/>
      <c r="R54" s="323"/>
      <c r="S54" s="323"/>
      <c r="T54" s="323"/>
      <c r="U54" s="323"/>
      <c r="V54" s="316">
        <f t="shared" si="4"/>
        <v>565.89599999999996</v>
      </c>
      <c r="W54" s="316">
        <v>32.57</v>
      </c>
      <c r="X54" s="316">
        <f t="shared" si="5"/>
        <v>18431.23272</v>
      </c>
      <c r="Y54" s="322">
        <f>X54/X53</f>
        <v>0.3166666666666666</v>
      </c>
      <c r="Z54" s="572">
        <v>12062.52</v>
      </c>
      <c r="AA54" s="567"/>
    </row>
    <row r="55" spans="1:27" s="311" customFormat="1" ht="15" customHeight="1">
      <c r="A55" s="273">
        <v>51</v>
      </c>
      <c r="B55" s="273" t="s">
        <v>0</v>
      </c>
      <c r="C55" s="305" t="s">
        <v>377</v>
      </c>
      <c r="D55" s="306" t="s">
        <v>201</v>
      </c>
      <c r="E55" s="473" t="s">
        <v>284</v>
      </c>
      <c r="F55" s="553" t="str">
        <f t="shared" si="3"/>
        <v>PREVMobiliário para Residência (B8954)</v>
      </c>
      <c r="G55" s="611" t="s">
        <v>74</v>
      </c>
      <c r="H55" s="327" t="s">
        <v>283</v>
      </c>
      <c r="I55" s="321">
        <v>9.6000000000000014</v>
      </c>
      <c r="J55" s="321">
        <v>12</v>
      </c>
      <c r="K55" s="321">
        <v>12</v>
      </c>
      <c r="L55" s="321">
        <v>12</v>
      </c>
      <c r="M55" s="321">
        <v>12</v>
      </c>
      <c r="N55" s="321">
        <v>12</v>
      </c>
      <c r="O55" s="321">
        <v>12</v>
      </c>
      <c r="P55" s="321">
        <v>12</v>
      </c>
      <c r="Q55" s="321">
        <v>12</v>
      </c>
      <c r="R55" s="321">
        <v>12</v>
      </c>
      <c r="S55" s="321">
        <v>12</v>
      </c>
      <c r="T55" s="321">
        <v>12</v>
      </c>
      <c r="U55" s="321">
        <v>2.4000000000000004</v>
      </c>
      <c r="V55" s="308">
        <f t="shared" si="4"/>
        <v>144</v>
      </c>
      <c r="W55" s="308">
        <v>42.9</v>
      </c>
      <c r="X55" s="308">
        <f t="shared" si="5"/>
        <v>6177.5999999999995</v>
      </c>
      <c r="Y55" s="322" t="s">
        <v>74</v>
      </c>
      <c r="Z55" s="575"/>
      <c r="AA55" s="567"/>
    </row>
    <row r="56" spans="1:27" s="318" customFormat="1" ht="15" customHeight="1">
      <c r="A56" s="282">
        <v>52</v>
      </c>
      <c r="B56" s="282" t="s">
        <v>1</v>
      </c>
      <c r="C56" s="312" t="s">
        <v>377</v>
      </c>
      <c r="D56" s="313" t="s">
        <v>201</v>
      </c>
      <c r="E56" s="473" t="s">
        <v>284</v>
      </c>
      <c r="F56" s="553" t="str">
        <f t="shared" si="3"/>
        <v>REALMobiliário para Residência (B8954)</v>
      </c>
      <c r="G56" s="609">
        <f>Y56</f>
        <v>0.31666666666666671</v>
      </c>
      <c r="H56" s="326" t="s">
        <v>283</v>
      </c>
      <c r="I56" s="323">
        <v>9.6</v>
      </c>
      <c r="J56" s="323">
        <v>12</v>
      </c>
      <c r="K56" s="323">
        <v>12</v>
      </c>
      <c r="L56" s="323">
        <v>12</v>
      </c>
      <c r="M56" s="323"/>
      <c r="N56" s="323"/>
      <c r="O56" s="323"/>
      <c r="P56" s="323"/>
      <c r="Q56" s="323"/>
      <c r="R56" s="323"/>
      <c r="S56" s="323"/>
      <c r="T56" s="323"/>
      <c r="U56" s="323"/>
      <c r="V56" s="316">
        <f t="shared" si="4"/>
        <v>45.6</v>
      </c>
      <c r="W56" s="316">
        <v>42.9</v>
      </c>
      <c r="X56" s="316">
        <f t="shared" si="5"/>
        <v>1956.24</v>
      </c>
      <c r="Y56" s="322">
        <f>X56/X55</f>
        <v>0.31666666666666671</v>
      </c>
      <c r="Z56" s="572">
        <v>972</v>
      </c>
      <c r="AA56" s="567"/>
    </row>
    <row r="57" spans="1:27" s="311" customFormat="1" ht="15" customHeight="1">
      <c r="A57" s="273">
        <v>53</v>
      </c>
      <c r="B57" s="273" t="s">
        <v>0</v>
      </c>
      <c r="C57" s="305" t="s">
        <v>378</v>
      </c>
      <c r="D57" s="306" t="s">
        <v>379</v>
      </c>
      <c r="E57" s="473" t="s">
        <v>285</v>
      </c>
      <c r="F57" s="553" t="str">
        <f t="shared" si="3"/>
        <v>PREVCustos Diversos ‐ Residência (B8960)</v>
      </c>
      <c r="G57" s="611" t="s">
        <v>74</v>
      </c>
      <c r="H57" s="327" t="s">
        <v>265</v>
      </c>
      <c r="I57" s="321">
        <v>9.6000000000000014</v>
      </c>
      <c r="J57" s="321">
        <v>12</v>
      </c>
      <c r="K57" s="321">
        <v>12</v>
      </c>
      <c r="L57" s="321">
        <v>12</v>
      </c>
      <c r="M57" s="321">
        <v>12</v>
      </c>
      <c r="N57" s="321">
        <v>12</v>
      </c>
      <c r="O57" s="321">
        <v>12</v>
      </c>
      <c r="P57" s="321">
        <v>12</v>
      </c>
      <c r="Q57" s="321">
        <v>12</v>
      </c>
      <c r="R57" s="321">
        <v>12</v>
      </c>
      <c r="S57" s="321">
        <v>12</v>
      </c>
      <c r="T57" s="321">
        <v>12</v>
      </c>
      <c r="U57" s="321">
        <v>2.4000000000000004</v>
      </c>
      <c r="V57" s="308">
        <f t="shared" si="4"/>
        <v>144</v>
      </c>
      <c r="W57" s="308">
        <v>257.86</v>
      </c>
      <c r="X57" s="308">
        <f t="shared" si="5"/>
        <v>37131.840000000004</v>
      </c>
      <c r="Y57" s="322" t="s">
        <v>74</v>
      </c>
      <c r="Z57" s="575"/>
      <c r="AA57" s="567"/>
    </row>
    <row r="58" spans="1:27" s="318" customFormat="1" ht="15" customHeight="1">
      <c r="A58" s="282">
        <v>54</v>
      </c>
      <c r="B58" s="282" t="s">
        <v>1</v>
      </c>
      <c r="C58" s="312" t="s">
        <v>378</v>
      </c>
      <c r="D58" s="313" t="s">
        <v>379</v>
      </c>
      <c r="E58" s="473" t="s">
        <v>285</v>
      </c>
      <c r="F58" s="553" t="str">
        <f t="shared" si="3"/>
        <v>REALCustos Diversos ‐ Residência (B8960)</v>
      </c>
      <c r="G58" s="609">
        <f>Y58</f>
        <v>0.31666666666666665</v>
      </c>
      <c r="H58" s="326" t="s">
        <v>265</v>
      </c>
      <c r="I58" s="323">
        <v>9.6</v>
      </c>
      <c r="J58" s="323">
        <v>12</v>
      </c>
      <c r="K58" s="323">
        <v>12</v>
      </c>
      <c r="L58" s="323">
        <v>12</v>
      </c>
      <c r="M58" s="323"/>
      <c r="N58" s="323"/>
      <c r="O58" s="323"/>
      <c r="P58" s="323"/>
      <c r="Q58" s="323"/>
      <c r="R58" s="323"/>
      <c r="S58" s="323"/>
      <c r="T58" s="323"/>
      <c r="U58" s="323"/>
      <c r="V58" s="316">
        <f t="shared" si="4"/>
        <v>45.6</v>
      </c>
      <c r="W58" s="316">
        <v>257.86</v>
      </c>
      <c r="X58" s="316">
        <f t="shared" si="5"/>
        <v>11758.416000000001</v>
      </c>
      <c r="Y58" s="322">
        <f>X58/X57</f>
        <v>0.31666666666666665</v>
      </c>
      <c r="Z58" s="572">
        <v>972</v>
      </c>
      <c r="AA58" s="567"/>
    </row>
    <row r="59" spans="1:27" s="311" customFormat="1" ht="15" customHeight="1">
      <c r="A59" s="273">
        <v>55</v>
      </c>
      <c r="B59" s="273" t="s">
        <v>0</v>
      </c>
      <c r="C59" s="305" t="s">
        <v>380</v>
      </c>
      <c r="D59" s="306" t="s">
        <v>381</v>
      </c>
      <c r="E59" s="307"/>
      <c r="F59" s="553" t="str">
        <f t="shared" si="3"/>
        <v>PREVAlojamento Nível Médio (aluguel de república + mobiliário)</v>
      </c>
      <c r="G59" s="611" t="s">
        <v>74</v>
      </c>
      <c r="H59" s="307"/>
      <c r="I59" s="321"/>
      <c r="J59" s="321"/>
      <c r="K59" s="321"/>
      <c r="L59" s="321"/>
      <c r="M59" s="321"/>
      <c r="N59" s="321"/>
      <c r="O59" s="321"/>
      <c r="P59" s="321"/>
      <c r="Q59" s="321"/>
      <c r="R59" s="321"/>
      <c r="S59" s="321"/>
      <c r="T59" s="321"/>
      <c r="U59" s="321"/>
      <c r="V59" s="308">
        <f t="shared" si="4"/>
        <v>0</v>
      </c>
      <c r="W59" s="308">
        <v>0</v>
      </c>
      <c r="X59" s="308">
        <f t="shared" si="5"/>
        <v>0</v>
      </c>
      <c r="Y59" s="322" t="s">
        <v>74</v>
      </c>
      <c r="Z59" s="575"/>
      <c r="AA59" s="567"/>
    </row>
    <row r="60" spans="1:27" s="318" customFormat="1" ht="15" customHeight="1">
      <c r="A60" s="282">
        <v>56</v>
      </c>
      <c r="B60" s="282" t="s">
        <v>1</v>
      </c>
      <c r="C60" s="312" t="s">
        <v>380</v>
      </c>
      <c r="D60" s="313" t="s">
        <v>381</v>
      </c>
      <c r="E60" s="314"/>
      <c r="F60" s="553" t="str">
        <f t="shared" si="3"/>
        <v>REALAlojamento Nível Médio (aluguel de república + mobiliário)</v>
      </c>
      <c r="G60" s="609">
        <f>Y60</f>
        <v>0</v>
      </c>
      <c r="H60" s="315"/>
      <c r="I60" s="323">
        <v>0</v>
      </c>
      <c r="J60" s="323">
        <v>0</v>
      </c>
      <c r="K60" s="323">
        <v>0</v>
      </c>
      <c r="L60" s="323">
        <v>0</v>
      </c>
      <c r="M60" s="323"/>
      <c r="N60" s="323"/>
      <c r="O60" s="323"/>
      <c r="P60" s="323"/>
      <c r="Q60" s="323"/>
      <c r="R60" s="323"/>
      <c r="S60" s="323"/>
      <c r="T60" s="323"/>
      <c r="U60" s="323"/>
      <c r="V60" s="316">
        <f t="shared" si="4"/>
        <v>0</v>
      </c>
      <c r="W60" s="316">
        <v>0</v>
      </c>
      <c r="X60" s="316">
        <f t="shared" si="5"/>
        <v>0</v>
      </c>
      <c r="Y60" s="322"/>
      <c r="Z60" s="575"/>
      <c r="AA60" s="567"/>
    </row>
    <row r="61" spans="1:27" s="311" customFormat="1" ht="15" customHeight="1">
      <c r="A61" s="273">
        <v>57</v>
      </c>
      <c r="B61" s="273" t="s">
        <v>0</v>
      </c>
      <c r="C61" s="305" t="s">
        <v>382</v>
      </c>
      <c r="D61" s="306" t="s">
        <v>200</v>
      </c>
      <c r="E61" s="473" t="s">
        <v>282</v>
      </c>
      <c r="F61" s="553" t="str">
        <f t="shared" si="3"/>
        <v>PREVImóvel Residencial (B8952)</v>
      </c>
      <c r="G61" s="611" t="s">
        <v>74</v>
      </c>
      <c r="H61" s="307" t="s">
        <v>376</v>
      </c>
      <c r="I61" s="321">
        <v>685.03200000000004</v>
      </c>
      <c r="J61" s="321">
        <v>856.29</v>
      </c>
      <c r="K61" s="321">
        <v>856.29</v>
      </c>
      <c r="L61" s="321">
        <v>856.29</v>
      </c>
      <c r="M61" s="321">
        <v>856.29</v>
      </c>
      <c r="N61" s="321">
        <v>856.29</v>
      </c>
      <c r="O61" s="321">
        <v>856.29</v>
      </c>
      <c r="P61" s="321">
        <v>856.29</v>
      </c>
      <c r="Q61" s="321">
        <v>856.29</v>
      </c>
      <c r="R61" s="321">
        <v>856.29</v>
      </c>
      <c r="S61" s="321">
        <v>856.29</v>
      </c>
      <c r="T61" s="321">
        <v>856.29</v>
      </c>
      <c r="U61" s="321">
        <v>171.25800000000001</v>
      </c>
      <c r="V61" s="308">
        <f t="shared" si="4"/>
        <v>10275.480000000001</v>
      </c>
      <c r="W61" s="308">
        <v>32.57</v>
      </c>
      <c r="X61" s="308">
        <f t="shared" si="5"/>
        <v>334672.38360000006</v>
      </c>
      <c r="Y61" s="322" t="s">
        <v>74</v>
      </c>
      <c r="Z61" s="575"/>
      <c r="AA61" s="567"/>
    </row>
    <row r="62" spans="1:27" s="318" customFormat="1" ht="15" customHeight="1">
      <c r="A62" s="282">
        <v>58</v>
      </c>
      <c r="B62" s="282" t="s">
        <v>1</v>
      </c>
      <c r="C62" s="312" t="s">
        <v>382</v>
      </c>
      <c r="D62" s="313" t="s">
        <v>200</v>
      </c>
      <c r="E62" s="473" t="s">
        <v>282</v>
      </c>
      <c r="F62" s="553" t="str">
        <f t="shared" si="3"/>
        <v>REALImóvel Residencial (B8952)</v>
      </c>
      <c r="G62" s="609">
        <f>Y62</f>
        <v>0.3167034532693363</v>
      </c>
      <c r="H62" s="315" t="s">
        <v>376</v>
      </c>
      <c r="I62" s="323">
        <v>685.03200000000004</v>
      </c>
      <c r="J62" s="323">
        <v>856.29</v>
      </c>
      <c r="K62" s="323">
        <v>856.5</v>
      </c>
      <c r="L62" s="323">
        <v>856.45800000000008</v>
      </c>
      <c r="M62" s="323"/>
      <c r="N62" s="323"/>
      <c r="O62" s="323"/>
      <c r="P62" s="323"/>
      <c r="Q62" s="323"/>
      <c r="R62" s="323"/>
      <c r="S62" s="323"/>
      <c r="T62" s="323"/>
      <c r="U62" s="323"/>
      <c r="V62" s="316">
        <f t="shared" si="4"/>
        <v>3254.28</v>
      </c>
      <c r="W62" s="316">
        <v>32.57</v>
      </c>
      <c r="X62" s="316">
        <f t="shared" si="5"/>
        <v>105991.8996</v>
      </c>
      <c r="Y62" s="322">
        <f>X62/X61</f>
        <v>0.3167034532693363</v>
      </c>
      <c r="Z62" s="572">
        <v>12062.52</v>
      </c>
      <c r="AA62" s="567"/>
    </row>
    <row r="63" spans="1:27" s="311" customFormat="1" ht="15" customHeight="1">
      <c r="A63" s="273">
        <v>59</v>
      </c>
      <c r="B63" s="273" t="s">
        <v>0</v>
      </c>
      <c r="C63" s="305" t="s">
        <v>383</v>
      </c>
      <c r="D63" s="306" t="s">
        <v>201</v>
      </c>
      <c r="E63" s="473" t="s">
        <v>284</v>
      </c>
      <c r="F63" s="553" t="str">
        <f t="shared" si="3"/>
        <v>PREVMobiliário para Residência (B8954)</v>
      </c>
      <c r="G63" s="611" t="s">
        <v>74</v>
      </c>
      <c r="H63" s="307" t="s">
        <v>283</v>
      </c>
      <c r="I63" s="321">
        <v>55.2</v>
      </c>
      <c r="J63" s="321">
        <v>69</v>
      </c>
      <c r="K63" s="321">
        <v>69</v>
      </c>
      <c r="L63" s="321">
        <v>69</v>
      </c>
      <c r="M63" s="321">
        <v>69</v>
      </c>
      <c r="N63" s="321">
        <v>69</v>
      </c>
      <c r="O63" s="321">
        <v>69</v>
      </c>
      <c r="P63" s="321">
        <v>69</v>
      </c>
      <c r="Q63" s="321">
        <v>69</v>
      </c>
      <c r="R63" s="321">
        <v>69</v>
      </c>
      <c r="S63" s="321">
        <v>69</v>
      </c>
      <c r="T63" s="321">
        <v>69</v>
      </c>
      <c r="U63" s="321">
        <v>13.8</v>
      </c>
      <c r="V63" s="308">
        <f t="shared" si="4"/>
        <v>828</v>
      </c>
      <c r="W63" s="308">
        <v>42.9</v>
      </c>
      <c r="X63" s="309">
        <f t="shared" si="5"/>
        <v>35521.199999999997</v>
      </c>
      <c r="Y63" s="310" t="s">
        <v>74</v>
      </c>
      <c r="Z63" s="575"/>
      <c r="AA63" s="567"/>
    </row>
    <row r="64" spans="1:27" s="318" customFormat="1" ht="15" customHeight="1">
      <c r="A64" s="282">
        <v>60</v>
      </c>
      <c r="B64" s="282" t="s">
        <v>1</v>
      </c>
      <c r="C64" s="312" t="s">
        <v>383</v>
      </c>
      <c r="D64" s="313" t="s">
        <v>201</v>
      </c>
      <c r="E64" s="473" t="s">
        <v>284</v>
      </c>
      <c r="F64" s="553" t="str">
        <f t="shared" si="3"/>
        <v>REALMobiliário para Residência (B8954)</v>
      </c>
      <c r="G64" s="609">
        <f>Y64</f>
        <v>0.31545893719806767</v>
      </c>
      <c r="H64" s="315" t="s">
        <v>283</v>
      </c>
      <c r="I64" s="323">
        <v>54.2</v>
      </c>
      <c r="J64" s="323">
        <v>69</v>
      </c>
      <c r="K64" s="323">
        <v>69</v>
      </c>
      <c r="L64" s="323">
        <v>69</v>
      </c>
      <c r="M64" s="323"/>
      <c r="N64" s="323"/>
      <c r="O64" s="323"/>
      <c r="P64" s="323"/>
      <c r="Q64" s="323"/>
      <c r="R64" s="323"/>
      <c r="S64" s="323"/>
      <c r="T64" s="323"/>
      <c r="U64" s="323"/>
      <c r="V64" s="316">
        <f t="shared" si="4"/>
        <v>261.2</v>
      </c>
      <c r="W64" s="316">
        <v>42.9</v>
      </c>
      <c r="X64" s="317">
        <f t="shared" si="5"/>
        <v>11205.48</v>
      </c>
      <c r="Y64" s="310">
        <f>X64/X63</f>
        <v>0.31545893719806767</v>
      </c>
      <c r="Z64" s="572">
        <v>972</v>
      </c>
      <c r="AA64" s="567"/>
    </row>
    <row r="65" spans="1:27" s="311" customFormat="1" ht="15" customHeight="1">
      <c r="A65" s="273">
        <v>61</v>
      </c>
      <c r="B65" s="273" t="s">
        <v>0</v>
      </c>
      <c r="C65" s="305" t="s">
        <v>384</v>
      </c>
      <c r="D65" s="306" t="s">
        <v>379</v>
      </c>
      <c r="E65" s="473" t="s">
        <v>285</v>
      </c>
      <c r="F65" s="553" t="str">
        <f t="shared" si="3"/>
        <v>PREVCustos Diversos ‐ Residência (B8960)</v>
      </c>
      <c r="G65" s="611" t="s">
        <v>74</v>
      </c>
      <c r="H65" s="414" t="s">
        <v>265</v>
      </c>
      <c r="I65" s="321">
        <v>55.2</v>
      </c>
      <c r="J65" s="321">
        <v>69</v>
      </c>
      <c r="K65" s="321">
        <v>69</v>
      </c>
      <c r="L65" s="321">
        <v>69</v>
      </c>
      <c r="M65" s="321">
        <v>69</v>
      </c>
      <c r="N65" s="321">
        <v>69</v>
      </c>
      <c r="O65" s="321">
        <v>69</v>
      </c>
      <c r="P65" s="321">
        <v>69</v>
      </c>
      <c r="Q65" s="321">
        <v>69</v>
      </c>
      <c r="R65" s="321">
        <v>69</v>
      </c>
      <c r="S65" s="321">
        <v>69</v>
      </c>
      <c r="T65" s="321">
        <v>69</v>
      </c>
      <c r="U65" s="321">
        <v>13.8</v>
      </c>
      <c r="V65" s="308">
        <f t="shared" si="4"/>
        <v>828</v>
      </c>
      <c r="W65" s="308">
        <v>257.86</v>
      </c>
      <c r="X65" s="309">
        <f t="shared" si="5"/>
        <v>213508.08000000002</v>
      </c>
      <c r="Y65" s="310" t="s">
        <v>74</v>
      </c>
      <c r="Z65" s="575"/>
      <c r="AA65" s="567"/>
    </row>
    <row r="66" spans="1:27" s="318" customFormat="1" ht="15" customHeight="1">
      <c r="A66" s="282">
        <v>62</v>
      </c>
      <c r="B66" s="282" t="s">
        <v>1</v>
      </c>
      <c r="C66" s="312" t="s">
        <v>384</v>
      </c>
      <c r="D66" s="313" t="s">
        <v>379</v>
      </c>
      <c r="E66" s="473" t="s">
        <v>285</v>
      </c>
      <c r="F66" s="553" t="str">
        <f t="shared" si="3"/>
        <v>REALCustos Diversos ‐ Residência (B8960)</v>
      </c>
      <c r="G66" s="609">
        <f>Y66</f>
        <v>0.31545893719806761</v>
      </c>
      <c r="H66" s="415" t="s">
        <v>265</v>
      </c>
      <c r="I66" s="323">
        <v>54.2</v>
      </c>
      <c r="J66" s="323">
        <v>69</v>
      </c>
      <c r="K66" s="323">
        <v>69</v>
      </c>
      <c r="L66" s="323">
        <v>69</v>
      </c>
      <c r="M66" s="323"/>
      <c r="N66" s="323"/>
      <c r="O66" s="323"/>
      <c r="P66" s="323"/>
      <c r="Q66" s="323"/>
      <c r="R66" s="323"/>
      <c r="S66" s="323"/>
      <c r="T66" s="323"/>
      <c r="U66" s="323"/>
      <c r="V66" s="316">
        <f t="shared" si="4"/>
        <v>261.2</v>
      </c>
      <c r="W66" s="316">
        <v>257.86</v>
      </c>
      <c r="X66" s="317">
        <f t="shared" si="5"/>
        <v>67353.032000000007</v>
      </c>
      <c r="Y66" s="310">
        <f>X66/X65</f>
        <v>0.31545893719806761</v>
      </c>
      <c r="Z66" s="572">
        <v>972</v>
      </c>
      <c r="AA66" s="567"/>
    </row>
    <row r="67" spans="1:27" s="311" customFormat="1" ht="15" customHeight="1">
      <c r="A67" s="273">
        <v>63</v>
      </c>
      <c r="B67" s="273" t="s">
        <v>0</v>
      </c>
      <c r="C67" s="328" t="s">
        <v>80</v>
      </c>
      <c r="D67" s="329" t="s">
        <v>272</v>
      </c>
      <c r="E67" s="330" t="s">
        <v>20</v>
      </c>
      <c r="F67" s="330"/>
      <c r="G67" s="613"/>
      <c r="H67" s="331"/>
      <c r="I67" s="333"/>
      <c r="J67" s="333"/>
      <c r="K67" s="333"/>
      <c r="L67" s="333"/>
      <c r="M67" s="333"/>
      <c r="N67" s="333"/>
      <c r="O67" s="333"/>
      <c r="P67" s="333"/>
      <c r="Q67" s="333"/>
      <c r="R67" s="333"/>
      <c r="S67" s="333"/>
      <c r="T67" s="333"/>
      <c r="U67" s="333"/>
      <c r="V67" s="332">
        <v>0</v>
      </c>
      <c r="W67" s="332">
        <v>0</v>
      </c>
      <c r="X67" s="332">
        <v>0</v>
      </c>
      <c r="Y67" s="334"/>
      <c r="Z67" s="575"/>
      <c r="AA67" s="567"/>
    </row>
    <row r="68" spans="1:27" s="318" customFormat="1" ht="15" customHeight="1">
      <c r="A68" s="282">
        <v>64</v>
      </c>
      <c r="B68" s="282" t="s">
        <v>1</v>
      </c>
      <c r="C68" s="335" t="s">
        <v>80</v>
      </c>
      <c r="D68" s="336" t="s">
        <v>272</v>
      </c>
      <c r="E68" s="337" t="s">
        <v>20</v>
      </c>
      <c r="F68" s="337"/>
      <c r="G68" s="614"/>
      <c r="H68" s="338"/>
      <c r="I68" s="340"/>
      <c r="J68" s="340"/>
      <c r="K68" s="340"/>
      <c r="L68" s="340"/>
      <c r="M68" s="340"/>
      <c r="N68" s="340"/>
      <c r="O68" s="340"/>
      <c r="P68" s="340"/>
      <c r="Q68" s="340"/>
      <c r="R68" s="340"/>
      <c r="S68" s="340"/>
      <c r="T68" s="340"/>
      <c r="U68" s="340"/>
      <c r="V68" s="339">
        <v>0</v>
      </c>
      <c r="W68" s="339">
        <v>0</v>
      </c>
      <c r="X68" s="339">
        <v>0</v>
      </c>
      <c r="Y68" s="334"/>
      <c r="Z68" s="572"/>
      <c r="AA68" s="567"/>
    </row>
    <row r="69" spans="1:27" s="311" customFormat="1" ht="15" customHeight="1">
      <c r="A69" s="273">
        <v>65</v>
      </c>
      <c r="B69" s="273" t="s">
        <v>0</v>
      </c>
      <c r="C69" s="328" t="s">
        <v>385</v>
      </c>
      <c r="D69" s="329" t="s">
        <v>386</v>
      </c>
      <c r="E69" s="330"/>
      <c r="F69" s="330"/>
      <c r="G69" s="613"/>
      <c r="H69" s="331"/>
      <c r="I69" s="333"/>
      <c r="J69" s="333"/>
      <c r="K69" s="333"/>
      <c r="L69" s="333"/>
      <c r="M69" s="333"/>
      <c r="N69" s="333"/>
      <c r="O69" s="333"/>
      <c r="P69" s="333"/>
      <c r="Q69" s="333"/>
      <c r="R69" s="333"/>
      <c r="S69" s="333"/>
      <c r="T69" s="333"/>
      <c r="U69" s="333"/>
      <c r="V69" s="332">
        <v>0</v>
      </c>
      <c r="W69" s="332">
        <v>0</v>
      </c>
      <c r="X69" s="341">
        <f>SUMIF(B71:B80,B69,X71:X80)</f>
        <v>236359.39</v>
      </c>
      <c r="Y69" s="334" t="s">
        <v>74</v>
      </c>
      <c r="Z69" s="570"/>
      <c r="AA69" s="567"/>
    </row>
    <row r="70" spans="1:27" s="318" customFormat="1" ht="15" customHeight="1">
      <c r="A70" s="282">
        <v>66</v>
      </c>
      <c r="B70" s="282" t="s">
        <v>1</v>
      </c>
      <c r="C70" s="335" t="s">
        <v>385</v>
      </c>
      <c r="D70" s="336" t="s">
        <v>386</v>
      </c>
      <c r="E70" s="337"/>
      <c r="F70" s="337"/>
      <c r="G70" s="614"/>
      <c r="H70" s="338"/>
      <c r="I70" s="340"/>
      <c r="J70" s="340"/>
      <c r="K70" s="340"/>
      <c r="L70" s="340"/>
      <c r="M70" s="340"/>
      <c r="N70" s="340"/>
      <c r="O70" s="340"/>
      <c r="P70" s="340"/>
      <c r="Q70" s="340"/>
      <c r="R70" s="340"/>
      <c r="S70" s="340"/>
      <c r="T70" s="340"/>
      <c r="U70" s="340"/>
      <c r="V70" s="339">
        <v>0</v>
      </c>
      <c r="W70" s="339">
        <v>0</v>
      </c>
      <c r="X70" s="342">
        <f>SUMIF(B71:B80,B70,X71:X80)</f>
        <v>60826.471999999994</v>
      </c>
      <c r="Y70" s="334">
        <f>X70/X69</f>
        <v>0.25734738949867825</v>
      </c>
      <c r="Z70" s="576"/>
      <c r="AA70" s="567"/>
    </row>
    <row r="71" spans="1:27" s="311" customFormat="1" ht="15" customHeight="1">
      <c r="A71" s="273">
        <v>67</v>
      </c>
      <c r="B71" s="273" t="s">
        <v>0</v>
      </c>
      <c r="C71" s="305" t="s">
        <v>387</v>
      </c>
      <c r="D71" s="343" t="s">
        <v>388</v>
      </c>
      <c r="E71" s="473" t="s">
        <v>273</v>
      </c>
      <c r="F71" s="553" t="str">
        <f t="shared" ref="F71:F80" si="6">B71&amp;D71</f>
        <v>PREVSistema de repetidoras VHF interligadas com link UHF ‐ 4 antenas</v>
      </c>
      <c r="G71" s="611" t="s">
        <v>74</v>
      </c>
      <c r="H71" s="344" t="s">
        <v>274</v>
      </c>
      <c r="I71" s="321">
        <v>0.8</v>
      </c>
      <c r="J71" s="345">
        <v>1</v>
      </c>
      <c r="K71" s="345">
        <v>1</v>
      </c>
      <c r="L71" s="345">
        <v>1</v>
      </c>
      <c r="M71" s="345">
        <v>1</v>
      </c>
      <c r="N71" s="345">
        <v>1</v>
      </c>
      <c r="O71" s="345">
        <v>1</v>
      </c>
      <c r="P71" s="345">
        <v>1</v>
      </c>
      <c r="Q71" s="345">
        <v>1</v>
      </c>
      <c r="R71" s="345">
        <v>1</v>
      </c>
      <c r="S71" s="345">
        <v>1</v>
      </c>
      <c r="T71" s="345">
        <v>1</v>
      </c>
      <c r="U71" s="345">
        <v>0.2</v>
      </c>
      <c r="V71" s="309">
        <f t="shared" ref="V71:V80" si="7">SUM(I71:U71)</f>
        <v>12</v>
      </c>
      <c r="W71" s="309">
        <v>13317.48</v>
      </c>
      <c r="X71" s="309">
        <f t="shared" ref="X71:X78" si="8">W71*V71</f>
        <v>159809.76</v>
      </c>
      <c r="Y71" s="310" t="s">
        <v>74</v>
      </c>
      <c r="Z71" s="575"/>
      <c r="AA71" s="567"/>
    </row>
    <row r="72" spans="1:27" s="318" customFormat="1" ht="15" customHeight="1">
      <c r="A72" s="282">
        <v>68</v>
      </c>
      <c r="B72" s="282" t="s">
        <v>1</v>
      </c>
      <c r="C72" s="312" t="s">
        <v>387</v>
      </c>
      <c r="D72" s="346" t="s">
        <v>388</v>
      </c>
      <c r="E72" s="473" t="s">
        <v>273</v>
      </c>
      <c r="F72" s="553" t="str">
        <f t="shared" si="6"/>
        <v>REALSistema de repetidoras VHF interligadas com link UHF ‐ 4 antenas</v>
      </c>
      <c r="G72" s="609">
        <f>Y72</f>
        <v>0.16666666666666666</v>
      </c>
      <c r="H72" s="347" t="s">
        <v>274</v>
      </c>
      <c r="I72" s="323">
        <v>0</v>
      </c>
      <c r="J72" s="323">
        <v>0</v>
      </c>
      <c r="K72" s="323">
        <v>1</v>
      </c>
      <c r="L72" s="323">
        <v>1</v>
      </c>
      <c r="M72" s="323"/>
      <c r="N72" s="323"/>
      <c r="O72" s="323"/>
      <c r="P72" s="323"/>
      <c r="Q72" s="348"/>
      <c r="R72" s="348"/>
      <c r="S72" s="323"/>
      <c r="T72" s="348"/>
      <c r="U72" s="348"/>
      <c r="V72" s="317">
        <f t="shared" si="7"/>
        <v>2</v>
      </c>
      <c r="W72" s="317">
        <v>13317.48</v>
      </c>
      <c r="X72" s="317">
        <f t="shared" si="8"/>
        <v>26634.959999999999</v>
      </c>
      <c r="Y72" s="310">
        <f>X72/X71</f>
        <v>0.16666666666666666</v>
      </c>
      <c r="Z72" s="572">
        <v>24</v>
      </c>
      <c r="AA72" s="567"/>
    </row>
    <row r="73" spans="1:27" s="311" customFormat="1" ht="15" customHeight="1">
      <c r="A73" s="273">
        <v>69</v>
      </c>
      <c r="B73" s="273" t="s">
        <v>0</v>
      </c>
      <c r="C73" s="305" t="s">
        <v>389</v>
      </c>
      <c r="D73" s="343" t="s">
        <v>190</v>
      </c>
      <c r="E73" s="473" t="s">
        <v>276</v>
      </c>
      <c r="F73" s="553" t="str">
        <f t="shared" si="6"/>
        <v>PREVRádio VHF portátil EP 450</v>
      </c>
      <c r="G73" s="611" t="s">
        <v>74</v>
      </c>
      <c r="H73" s="344" t="s">
        <v>247</v>
      </c>
      <c r="I73" s="321">
        <v>8</v>
      </c>
      <c r="J73" s="345">
        <v>10</v>
      </c>
      <c r="K73" s="345">
        <v>10</v>
      </c>
      <c r="L73" s="345">
        <v>10</v>
      </c>
      <c r="M73" s="345">
        <v>10</v>
      </c>
      <c r="N73" s="345">
        <v>10</v>
      </c>
      <c r="O73" s="345">
        <v>10</v>
      </c>
      <c r="P73" s="345">
        <v>10</v>
      </c>
      <c r="Q73" s="345">
        <v>10</v>
      </c>
      <c r="R73" s="345">
        <v>10</v>
      </c>
      <c r="S73" s="345">
        <v>10</v>
      </c>
      <c r="T73" s="345">
        <v>10</v>
      </c>
      <c r="U73" s="345">
        <v>2</v>
      </c>
      <c r="V73" s="309">
        <f t="shared" si="7"/>
        <v>120</v>
      </c>
      <c r="W73" s="309">
        <v>119.86</v>
      </c>
      <c r="X73" s="309">
        <f t="shared" si="8"/>
        <v>14383.2</v>
      </c>
      <c r="Y73" s="310" t="s">
        <v>74</v>
      </c>
      <c r="Z73" s="575"/>
      <c r="AA73" s="567"/>
    </row>
    <row r="74" spans="1:27" s="318" customFormat="1" ht="15" customHeight="1">
      <c r="A74" s="282">
        <v>70</v>
      </c>
      <c r="B74" s="282" t="s">
        <v>1</v>
      </c>
      <c r="C74" s="312" t="s">
        <v>389</v>
      </c>
      <c r="D74" s="346" t="s">
        <v>190</v>
      </c>
      <c r="E74" s="473" t="s">
        <v>276</v>
      </c>
      <c r="F74" s="553" t="str">
        <f t="shared" si="6"/>
        <v>REALRádio VHF portátil EP 450</v>
      </c>
      <c r="G74" s="609">
        <f>Y74</f>
        <v>0.32333333333333325</v>
      </c>
      <c r="H74" s="347" t="s">
        <v>247</v>
      </c>
      <c r="I74" s="323">
        <v>8.8000000000000007</v>
      </c>
      <c r="J74" s="323">
        <v>10</v>
      </c>
      <c r="K74" s="323">
        <v>10</v>
      </c>
      <c r="L74" s="323">
        <v>10</v>
      </c>
      <c r="M74" s="323"/>
      <c r="N74" s="323"/>
      <c r="O74" s="323"/>
      <c r="P74" s="323"/>
      <c r="Q74" s="348"/>
      <c r="R74" s="348"/>
      <c r="S74" s="323"/>
      <c r="T74" s="348"/>
      <c r="U74" s="348"/>
      <c r="V74" s="317">
        <f t="shared" si="7"/>
        <v>38.799999999999997</v>
      </c>
      <c r="W74" s="317">
        <v>119.86</v>
      </c>
      <c r="X74" s="317">
        <f t="shared" si="8"/>
        <v>4650.5679999999993</v>
      </c>
      <c r="Y74" s="310">
        <f>X74/X73</f>
        <v>0.32333333333333325</v>
      </c>
      <c r="Z74" s="572">
        <v>240</v>
      </c>
      <c r="AA74" s="567"/>
    </row>
    <row r="75" spans="1:27" s="311" customFormat="1" ht="15" customHeight="1">
      <c r="A75" s="273">
        <v>71</v>
      </c>
      <c r="B75" s="273" t="s">
        <v>0</v>
      </c>
      <c r="C75" s="305" t="s">
        <v>390</v>
      </c>
      <c r="D75" s="343" t="s">
        <v>391</v>
      </c>
      <c r="E75" s="473" t="s">
        <v>277</v>
      </c>
      <c r="F75" s="553" t="str">
        <f t="shared" si="6"/>
        <v>PREVRádio VHF móvel digital para viatura (eixo norte)</v>
      </c>
      <c r="G75" s="611" t="s">
        <v>74</v>
      </c>
      <c r="H75" s="344" t="s">
        <v>247</v>
      </c>
      <c r="I75" s="321">
        <v>7.2</v>
      </c>
      <c r="J75" s="345">
        <v>9</v>
      </c>
      <c r="K75" s="345">
        <v>9</v>
      </c>
      <c r="L75" s="345">
        <v>9</v>
      </c>
      <c r="M75" s="345">
        <v>9</v>
      </c>
      <c r="N75" s="345">
        <v>9</v>
      </c>
      <c r="O75" s="345">
        <v>9</v>
      </c>
      <c r="P75" s="345">
        <v>9</v>
      </c>
      <c r="Q75" s="345">
        <v>9</v>
      </c>
      <c r="R75" s="345">
        <v>9</v>
      </c>
      <c r="S75" s="345">
        <v>9</v>
      </c>
      <c r="T75" s="345">
        <v>9</v>
      </c>
      <c r="U75" s="345">
        <v>1.8</v>
      </c>
      <c r="V75" s="309">
        <f t="shared" si="7"/>
        <v>108</v>
      </c>
      <c r="W75" s="309">
        <v>279.67</v>
      </c>
      <c r="X75" s="309">
        <f t="shared" si="8"/>
        <v>30204.36</v>
      </c>
      <c r="Y75" s="310" t="s">
        <v>74</v>
      </c>
      <c r="Z75" s="575"/>
      <c r="AA75" s="567"/>
    </row>
    <row r="76" spans="1:27" s="318" customFormat="1" ht="15" customHeight="1">
      <c r="A76" s="282">
        <v>72</v>
      </c>
      <c r="B76" s="282" t="s">
        <v>1</v>
      </c>
      <c r="C76" s="312" t="s">
        <v>390</v>
      </c>
      <c r="D76" s="346" t="s">
        <v>391</v>
      </c>
      <c r="E76" s="473" t="s">
        <v>277</v>
      </c>
      <c r="F76" s="553" t="str">
        <f t="shared" si="6"/>
        <v>REALRádio VHF móvel digital para viatura (eixo norte)</v>
      </c>
      <c r="G76" s="609">
        <f>Y76</f>
        <v>0.31666666666666671</v>
      </c>
      <c r="H76" s="347" t="s">
        <v>247</v>
      </c>
      <c r="I76" s="323">
        <v>7.2</v>
      </c>
      <c r="J76" s="323">
        <v>9</v>
      </c>
      <c r="K76" s="323">
        <v>9</v>
      </c>
      <c r="L76" s="323">
        <v>9</v>
      </c>
      <c r="M76" s="323"/>
      <c r="N76" s="323"/>
      <c r="O76" s="323"/>
      <c r="P76" s="323"/>
      <c r="Q76" s="348"/>
      <c r="R76" s="348"/>
      <c r="S76" s="323"/>
      <c r="T76" s="348"/>
      <c r="U76" s="348"/>
      <c r="V76" s="317">
        <f t="shared" si="7"/>
        <v>34.200000000000003</v>
      </c>
      <c r="W76" s="317">
        <v>279.67</v>
      </c>
      <c r="X76" s="317">
        <f t="shared" si="8"/>
        <v>9564.7140000000018</v>
      </c>
      <c r="Y76" s="310">
        <f>X76/X75</f>
        <v>0.31666666666666671</v>
      </c>
      <c r="Z76" s="572">
        <v>228</v>
      </c>
      <c r="AA76" s="567"/>
    </row>
    <row r="77" spans="1:27" s="311" customFormat="1" ht="15" customHeight="1">
      <c r="A77" s="273">
        <v>73</v>
      </c>
      <c r="B77" s="273" t="s">
        <v>0</v>
      </c>
      <c r="C77" s="305" t="s">
        <v>392</v>
      </c>
      <c r="D77" s="343" t="s">
        <v>194</v>
      </c>
      <c r="E77" s="473" t="s">
        <v>278</v>
      </c>
      <c r="F77" s="553" t="str">
        <f t="shared" si="6"/>
        <v>PREVRádio VHF para instalação nas SEs, composto por rádio base e sistema irradiante</v>
      </c>
      <c r="G77" s="611" t="s">
        <v>74</v>
      </c>
      <c r="H77" s="344" t="s">
        <v>247</v>
      </c>
      <c r="I77" s="321">
        <v>2.4000000000000004</v>
      </c>
      <c r="J77" s="345">
        <v>3</v>
      </c>
      <c r="K77" s="345">
        <v>3</v>
      </c>
      <c r="L77" s="345">
        <v>3</v>
      </c>
      <c r="M77" s="345">
        <v>3</v>
      </c>
      <c r="N77" s="345">
        <v>3</v>
      </c>
      <c r="O77" s="345">
        <v>3</v>
      </c>
      <c r="P77" s="345">
        <v>3</v>
      </c>
      <c r="Q77" s="345">
        <v>3</v>
      </c>
      <c r="R77" s="345">
        <v>3</v>
      </c>
      <c r="S77" s="345">
        <v>3</v>
      </c>
      <c r="T77" s="345">
        <v>3</v>
      </c>
      <c r="U77" s="345">
        <v>0.60000000000000009</v>
      </c>
      <c r="V77" s="309">
        <f t="shared" si="7"/>
        <v>36</v>
      </c>
      <c r="W77" s="309">
        <v>332.94</v>
      </c>
      <c r="X77" s="309">
        <f t="shared" si="8"/>
        <v>11985.84</v>
      </c>
      <c r="Y77" s="310" t="s">
        <v>74</v>
      </c>
      <c r="Z77" s="575"/>
      <c r="AA77" s="567"/>
    </row>
    <row r="78" spans="1:27" s="318" customFormat="1" ht="15" customHeight="1">
      <c r="A78" s="282">
        <v>74</v>
      </c>
      <c r="B78" s="282" t="s">
        <v>1</v>
      </c>
      <c r="C78" s="312" t="s">
        <v>392</v>
      </c>
      <c r="D78" s="346" t="s">
        <v>194</v>
      </c>
      <c r="E78" s="473" t="s">
        <v>278</v>
      </c>
      <c r="F78" s="553" t="str">
        <f t="shared" si="6"/>
        <v>REALRádio VHF para instalação nas SEs, composto por rádio base e sistema irradiante</v>
      </c>
      <c r="G78" s="609">
        <f>Y78</f>
        <v>0</v>
      </c>
      <c r="H78" s="347" t="s">
        <v>247</v>
      </c>
      <c r="I78" s="323">
        <v>0</v>
      </c>
      <c r="J78" s="323">
        <v>0</v>
      </c>
      <c r="K78" s="323">
        <v>0</v>
      </c>
      <c r="L78" s="323">
        <v>0</v>
      </c>
      <c r="M78" s="323"/>
      <c r="N78" s="323"/>
      <c r="O78" s="323"/>
      <c r="P78" s="323"/>
      <c r="Q78" s="348"/>
      <c r="R78" s="348"/>
      <c r="S78" s="323"/>
      <c r="T78" s="348"/>
      <c r="U78" s="348"/>
      <c r="V78" s="317">
        <f t="shared" si="7"/>
        <v>0</v>
      </c>
      <c r="W78" s="317">
        <v>332.94</v>
      </c>
      <c r="X78" s="317">
        <f t="shared" si="8"/>
        <v>0</v>
      </c>
      <c r="Y78" s="310">
        <f>X78/X77</f>
        <v>0</v>
      </c>
      <c r="Z78" s="572">
        <v>108</v>
      </c>
      <c r="AA78" s="567"/>
    </row>
    <row r="79" spans="1:27" s="311" customFormat="1" ht="15" customHeight="1">
      <c r="A79" s="273">
        <v>75</v>
      </c>
      <c r="B79" s="273" t="s">
        <v>0</v>
      </c>
      <c r="C79" s="305" t="s">
        <v>393</v>
      </c>
      <c r="D79" s="343" t="s">
        <v>394</v>
      </c>
      <c r="E79" s="473" t="s">
        <v>279</v>
      </c>
      <c r="F79" s="553" t="str">
        <f t="shared" si="6"/>
        <v>PREVServiço de instalação e configuração de sistema de repetidoras e infraestrutura ‐ 4 antenas</v>
      </c>
      <c r="G79" s="611" t="s">
        <v>74</v>
      </c>
      <c r="H79" s="344" t="s">
        <v>228</v>
      </c>
      <c r="I79" s="321">
        <v>1</v>
      </c>
      <c r="J79" s="345"/>
      <c r="K79" s="345"/>
      <c r="L79" s="345"/>
      <c r="M79" s="345"/>
      <c r="N79" s="345"/>
      <c r="O79" s="345"/>
      <c r="P79" s="345"/>
      <c r="Q79" s="345"/>
      <c r="R79" s="345"/>
      <c r="S79" s="345"/>
      <c r="T79" s="345"/>
      <c r="U79" s="345"/>
      <c r="V79" s="309">
        <f t="shared" si="7"/>
        <v>1</v>
      </c>
      <c r="W79" s="309">
        <v>19976.23</v>
      </c>
      <c r="X79" s="309">
        <f>W79*I79</f>
        <v>19976.23</v>
      </c>
      <c r="Y79" s="310" t="s">
        <v>74</v>
      </c>
      <c r="Z79" s="575"/>
      <c r="AA79" s="567"/>
    </row>
    <row r="80" spans="1:27" s="318" customFormat="1" ht="15" customHeight="1">
      <c r="A80" s="282">
        <v>76</v>
      </c>
      <c r="B80" s="282" t="s">
        <v>1</v>
      </c>
      <c r="C80" s="312" t="s">
        <v>393</v>
      </c>
      <c r="D80" s="346" t="s">
        <v>394</v>
      </c>
      <c r="E80" s="473" t="s">
        <v>279</v>
      </c>
      <c r="F80" s="553" t="str">
        <f t="shared" si="6"/>
        <v>REALServiço de instalação e configuração de sistema de repetidoras e infraestrutura ‐ 4 antenas</v>
      </c>
      <c r="G80" s="609">
        <f>Y80</f>
        <v>1</v>
      </c>
      <c r="H80" s="347" t="s">
        <v>228</v>
      </c>
      <c r="I80" s="323">
        <v>0</v>
      </c>
      <c r="J80" s="323">
        <v>0</v>
      </c>
      <c r="K80" s="323">
        <v>1</v>
      </c>
      <c r="L80" s="323">
        <v>0</v>
      </c>
      <c r="M80" s="323"/>
      <c r="N80" s="323"/>
      <c r="O80" s="323"/>
      <c r="P80" s="323"/>
      <c r="Q80" s="348"/>
      <c r="R80" s="348"/>
      <c r="S80" s="323"/>
      <c r="T80" s="348"/>
      <c r="U80" s="348"/>
      <c r="V80" s="317">
        <f t="shared" si="7"/>
        <v>1</v>
      </c>
      <c r="W80" s="317">
        <v>19976.23</v>
      </c>
      <c r="X80" s="317">
        <f>W80*V80</f>
        <v>19976.23</v>
      </c>
      <c r="Y80" s="310">
        <f>X80/X79</f>
        <v>1</v>
      </c>
      <c r="Z80" s="572">
        <v>2</v>
      </c>
      <c r="AA80" s="567"/>
    </row>
    <row r="81" spans="1:27" s="311" customFormat="1" ht="15" customHeight="1">
      <c r="A81" s="273">
        <v>77</v>
      </c>
      <c r="B81" s="273" t="s">
        <v>0</v>
      </c>
      <c r="C81" s="328" t="s">
        <v>395</v>
      </c>
      <c r="D81" s="349" t="s">
        <v>396</v>
      </c>
      <c r="E81" s="330"/>
      <c r="F81" s="330"/>
      <c r="G81" s="613"/>
      <c r="H81" s="331"/>
      <c r="I81" s="333"/>
      <c r="J81" s="333"/>
      <c r="K81" s="333"/>
      <c r="L81" s="333"/>
      <c r="M81" s="333"/>
      <c r="N81" s="333"/>
      <c r="O81" s="333"/>
      <c r="P81" s="333"/>
      <c r="Q81" s="333"/>
      <c r="R81" s="333"/>
      <c r="S81" s="333"/>
      <c r="T81" s="333"/>
      <c r="U81" s="333"/>
      <c r="V81" s="332">
        <v>0</v>
      </c>
      <c r="W81" s="332">
        <v>0</v>
      </c>
      <c r="X81" s="341">
        <f>SUMIF(B83:B96,B81,X83:X96)</f>
        <v>342260.13</v>
      </c>
      <c r="Y81" s="334" t="s">
        <v>74</v>
      </c>
      <c r="Z81" s="570"/>
      <c r="AA81" s="567"/>
    </row>
    <row r="82" spans="1:27" s="318" customFormat="1" ht="15" customHeight="1">
      <c r="A82" s="282">
        <v>78</v>
      </c>
      <c r="B82" s="282" t="s">
        <v>1</v>
      </c>
      <c r="C82" s="335" t="s">
        <v>395</v>
      </c>
      <c r="D82" s="350" t="s">
        <v>396</v>
      </c>
      <c r="E82" s="337"/>
      <c r="F82" s="337"/>
      <c r="G82" s="614"/>
      <c r="H82" s="338"/>
      <c r="I82" s="340"/>
      <c r="J82" s="340"/>
      <c r="K82" s="340"/>
      <c r="L82" s="340"/>
      <c r="M82" s="340"/>
      <c r="N82" s="340"/>
      <c r="O82" s="340"/>
      <c r="P82" s="340"/>
      <c r="Q82" s="340"/>
      <c r="R82" s="340"/>
      <c r="S82" s="340"/>
      <c r="T82" s="340"/>
      <c r="U82" s="340"/>
      <c r="V82" s="339">
        <v>0</v>
      </c>
      <c r="W82" s="339">
        <v>0</v>
      </c>
      <c r="X82" s="342">
        <f>SUMIF(B83:B96,B82,X83:X96)</f>
        <v>86968.694000000003</v>
      </c>
      <c r="Y82" s="334">
        <f>X82/X81</f>
        <v>0.25410115399652305</v>
      </c>
      <c r="Z82" s="576"/>
      <c r="AA82" s="567"/>
    </row>
    <row r="83" spans="1:27" s="311" customFormat="1" ht="15" customHeight="1">
      <c r="A83" s="273">
        <v>79</v>
      </c>
      <c r="B83" s="273" t="s">
        <v>0</v>
      </c>
      <c r="C83" s="305" t="s">
        <v>397</v>
      </c>
      <c r="D83" s="306" t="s">
        <v>388</v>
      </c>
      <c r="E83" s="473" t="s">
        <v>273</v>
      </c>
      <c r="F83" s="553" t="str">
        <f t="shared" ref="F83:F96" si="9">B83&amp;D83</f>
        <v>PREVSistema de repetidoras VHF interligadas com link UHF ‐ 4 antenas</v>
      </c>
      <c r="G83" s="611" t="s">
        <v>74</v>
      </c>
      <c r="H83" s="307" t="s">
        <v>274</v>
      </c>
      <c r="I83" s="321">
        <v>0.8</v>
      </c>
      <c r="J83" s="321">
        <v>1</v>
      </c>
      <c r="K83" s="321">
        <v>1</v>
      </c>
      <c r="L83" s="321">
        <v>1</v>
      </c>
      <c r="M83" s="321">
        <v>1</v>
      </c>
      <c r="N83" s="321">
        <v>1</v>
      </c>
      <c r="O83" s="321">
        <v>1</v>
      </c>
      <c r="P83" s="321">
        <v>1</v>
      </c>
      <c r="Q83" s="321">
        <v>1</v>
      </c>
      <c r="R83" s="321">
        <v>1</v>
      </c>
      <c r="S83" s="321">
        <v>1</v>
      </c>
      <c r="T83" s="321">
        <v>1</v>
      </c>
      <c r="U83" s="321">
        <v>0.2</v>
      </c>
      <c r="V83" s="308">
        <f t="shared" ref="V83:V96" si="10">SUM(I83:U83)</f>
        <v>12</v>
      </c>
      <c r="W83" s="308">
        <v>13317.48</v>
      </c>
      <c r="X83" s="309">
        <f t="shared" ref="X83:X96" si="11">W83*V83</f>
        <v>159809.76</v>
      </c>
      <c r="Y83" s="310" t="s">
        <v>74</v>
      </c>
      <c r="Z83" s="575"/>
      <c r="AA83" s="567"/>
    </row>
    <row r="84" spans="1:27" s="318" customFormat="1" ht="15" customHeight="1">
      <c r="A84" s="282">
        <v>80</v>
      </c>
      <c r="B84" s="282" t="s">
        <v>1</v>
      </c>
      <c r="C84" s="312" t="s">
        <v>397</v>
      </c>
      <c r="D84" s="313" t="s">
        <v>388</v>
      </c>
      <c r="E84" s="473" t="s">
        <v>273</v>
      </c>
      <c r="F84" s="553" t="str">
        <f t="shared" si="9"/>
        <v>REALSistema de repetidoras VHF interligadas com link UHF ‐ 4 antenas</v>
      </c>
      <c r="G84" s="609">
        <f>Y84</f>
        <v>0.16666666666666666</v>
      </c>
      <c r="H84" s="315" t="s">
        <v>274</v>
      </c>
      <c r="I84" s="323">
        <v>0</v>
      </c>
      <c r="J84" s="323">
        <v>0</v>
      </c>
      <c r="K84" s="323">
        <v>1</v>
      </c>
      <c r="L84" s="323">
        <v>1</v>
      </c>
      <c r="M84" s="323"/>
      <c r="N84" s="323"/>
      <c r="O84" s="323"/>
      <c r="P84" s="323"/>
      <c r="Q84" s="323"/>
      <c r="R84" s="323"/>
      <c r="S84" s="323"/>
      <c r="T84" s="323"/>
      <c r="U84" s="323"/>
      <c r="V84" s="316">
        <f t="shared" si="10"/>
        <v>2</v>
      </c>
      <c r="W84" s="316">
        <v>13317.48</v>
      </c>
      <c r="X84" s="317">
        <f t="shared" si="11"/>
        <v>26634.959999999999</v>
      </c>
      <c r="Y84" s="310">
        <f>X84/X83</f>
        <v>0.16666666666666666</v>
      </c>
      <c r="Z84" s="572">
        <v>24</v>
      </c>
      <c r="AA84" s="567"/>
    </row>
    <row r="85" spans="1:27" s="311" customFormat="1" ht="15" customHeight="1">
      <c r="A85" s="273">
        <v>81</v>
      </c>
      <c r="B85" s="273" t="s">
        <v>0</v>
      </c>
      <c r="C85" s="305" t="s">
        <v>398</v>
      </c>
      <c r="D85" s="343" t="s">
        <v>399</v>
      </c>
      <c r="E85" s="307" t="s">
        <v>275</v>
      </c>
      <c r="F85" s="553" t="str">
        <f t="shared" si="9"/>
        <v>PREVSistema de repetidoras VHF interligadas com link UHF ‐ 2 antenas</v>
      </c>
      <c r="G85" s="611" t="s">
        <v>74</v>
      </c>
      <c r="H85" s="344" t="s">
        <v>274</v>
      </c>
      <c r="I85" s="321">
        <v>0.8</v>
      </c>
      <c r="J85" s="345">
        <v>1</v>
      </c>
      <c r="K85" s="345">
        <v>1</v>
      </c>
      <c r="L85" s="345">
        <v>1</v>
      </c>
      <c r="M85" s="345">
        <v>1</v>
      </c>
      <c r="N85" s="345">
        <v>1</v>
      </c>
      <c r="O85" s="345">
        <v>1</v>
      </c>
      <c r="P85" s="345">
        <v>1</v>
      </c>
      <c r="Q85" s="345">
        <v>1</v>
      </c>
      <c r="R85" s="345">
        <v>1</v>
      </c>
      <c r="S85" s="345">
        <v>1</v>
      </c>
      <c r="T85" s="345">
        <v>1</v>
      </c>
      <c r="U85" s="345">
        <v>0.2</v>
      </c>
      <c r="V85" s="309">
        <f t="shared" si="10"/>
        <v>12</v>
      </c>
      <c r="W85" s="309">
        <v>6658.74</v>
      </c>
      <c r="X85" s="309">
        <f t="shared" si="11"/>
        <v>79904.88</v>
      </c>
      <c r="Y85" s="310" t="s">
        <v>74</v>
      </c>
      <c r="Z85" s="575"/>
      <c r="AA85" s="567"/>
    </row>
    <row r="86" spans="1:27" s="318" customFormat="1" ht="15" customHeight="1">
      <c r="A86" s="282">
        <v>82</v>
      </c>
      <c r="B86" s="282" t="s">
        <v>1</v>
      </c>
      <c r="C86" s="312" t="s">
        <v>398</v>
      </c>
      <c r="D86" s="346" t="s">
        <v>399</v>
      </c>
      <c r="E86" s="314" t="s">
        <v>275</v>
      </c>
      <c r="F86" s="553" t="str">
        <f t="shared" si="9"/>
        <v>REALSistema de repetidoras VHF interligadas com link UHF ‐ 2 antenas</v>
      </c>
      <c r="G86" s="609">
        <f>Y86</f>
        <v>0.31666666666666665</v>
      </c>
      <c r="H86" s="347" t="s">
        <v>274</v>
      </c>
      <c r="I86" s="323">
        <v>0.8</v>
      </c>
      <c r="J86" s="323">
        <v>1</v>
      </c>
      <c r="K86" s="323">
        <v>1</v>
      </c>
      <c r="L86" s="323">
        <v>1</v>
      </c>
      <c r="M86" s="323"/>
      <c r="N86" s="323"/>
      <c r="O86" s="323"/>
      <c r="P86" s="323"/>
      <c r="Q86" s="348"/>
      <c r="R86" s="348"/>
      <c r="S86" s="323"/>
      <c r="T86" s="348"/>
      <c r="U86" s="348"/>
      <c r="V86" s="317">
        <f t="shared" si="10"/>
        <v>3.8</v>
      </c>
      <c r="W86" s="317">
        <v>6658.74</v>
      </c>
      <c r="X86" s="317">
        <f t="shared" si="11"/>
        <v>25303.212</v>
      </c>
      <c r="Y86" s="310">
        <f>X86/X85</f>
        <v>0.31666666666666665</v>
      </c>
      <c r="Z86" s="575"/>
      <c r="AA86" s="567"/>
    </row>
    <row r="87" spans="1:27" s="311" customFormat="1" ht="15" customHeight="1">
      <c r="A87" s="273">
        <v>83</v>
      </c>
      <c r="B87" s="273" t="s">
        <v>0</v>
      </c>
      <c r="C87" s="305" t="s">
        <v>400</v>
      </c>
      <c r="D87" s="343" t="s">
        <v>190</v>
      </c>
      <c r="E87" s="473" t="s">
        <v>276</v>
      </c>
      <c r="F87" s="553" t="str">
        <f t="shared" si="9"/>
        <v>PREVRádio VHF portátil EP 450</v>
      </c>
      <c r="G87" s="611" t="s">
        <v>74</v>
      </c>
      <c r="H87" s="344" t="s">
        <v>247</v>
      </c>
      <c r="I87" s="321">
        <v>8</v>
      </c>
      <c r="J87" s="345">
        <v>10</v>
      </c>
      <c r="K87" s="345">
        <v>10</v>
      </c>
      <c r="L87" s="345">
        <v>10</v>
      </c>
      <c r="M87" s="345">
        <v>10</v>
      </c>
      <c r="N87" s="345">
        <v>10</v>
      </c>
      <c r="O87" s="345">
        <v>10</v>
      </c>
      <c r="P87" s="345">
        <v>10</v>
      </c>
      <c r="Q87" s="345">
        <v>10</v>
      </c>
      <c r="R87" s="345">
        <v>10</v>
      </c>
      <c r="S87" s="345">
        <v>10</v>
      </c>
      <c r="T87" s="345">
        <v>10</v>
      </c>
      <c r="U87" s="345">
        <v>2</v>
      </c>
      <c r="V87" s="309">
        <f t="shared" si="10"/>
        <v>120</v>
      </c>
      <c r="W87" s="309">
        <v>119.86</v>
      </c>
      <c r="X87" s="309">
        <f t="shared" si="11"/>
        <v>14383.2</v>
      </c>
      <c r="Y87" s="310" t="s">
        <v>74</v>
      </c>
      <c r="Z87" s="575"/>
      <c r="AA87" s="567"/>
    </row>
    <row r="88" spans="1:27" s="318" customFormat="1" ht="15" customHeight="1">
      <c r="A88" s="282">
        <v>84</v>
      </c>
      <c r="B88" s="282" t="s">
        <v>1</v>
      </c>
      <c r="C88" s="312" t="s">
        <v>400</v>
      </c>
      <c r="D88" s="346" t="s">
        <v>190</v>
      </c>
      <c r="E88" s="473" t="s">
        <v>276</v>
      </c>
      <c r="F88" s="553" t="str">
        <f t="shared" si="9"/>
        <v>REALRádio VHF portátil EP 450</v>
      </c>
      <c r="G88" s="609">
        <f>Y88</f>
        <v>0.32333333333333325</v>
      </c>
      <c r="H88" s="347" t="s">
        <v>247</v>
      </c>
      <c r="I88" s="323">
        <v>8.8000000000000007</v>
      </c>
      <c r="J88" s="323">
        <v>10</v>
      </c>
      <c r="K88" s="323">
        <v>10</v>
      </c>
      <c r="L88" s="323">
        <v>10</v>
      </c>
      <c r="M88" s="323"/>
      <c r="N88" s="323"/>
      <c r="O88" s="323"/>
      <c r="P88" s="323"/>
      <c r="Q88" s="348"/>
      <c r="R88" s="348"/>
      <c r="S88" s="323"/>
      <c r="T88" s="348"/>
      <c r="U88" s="348"/>
      <c r="V88" s="317">
        <f t="shared" si="10"/>
        <v>38.799999999999997</v>
      </c>
      <c r="W88" s="317">
        <v>119.86</v>
      </c>
      <c r="X88" s="317">
        <f t="shared" si="11"/>
        <v>4650.5679999999993</v>
      </c>
      <c r="Y88" s="310">
        <f>X88/X87</f>
        <v>0.32333333333333325</v>
      </c>
      <c r="Z88" s="572">
        <v>240</v>
      </c>
      <c r="AA88" s="567"/>
    </row>
    <row r="89" spans="1:27" s="311" customFormat="1" ht="15" customHeight="1">
      <c r="A89" s="273">
        <v>85</v>
      </c>
      <c r="B89" s="273" t="s">
        <v>0</v>
      </c>
      <c r="C89" s="305" t="s">
        <v>401</v>
      </c>
      <c r="D89" s="343" t="s">
        <v>402</v>
      </c>
      <c r="E89" s="473" t="s">
        <v>277</v>
      </c>
      <c r="F89" s="553" t="str">
        <f t="shared" si="9"/>
        <v>PREVRádio VHF móvel digital para viatura (eixo leste)</v>
      </c>
      <c r="G89" s="611" t="s">
        <v>74</v>
      </c>
      <c r="H89" s="344" t="s">
        <v>247</v>
      </c>
      <c r="I89" s="321">
        <v>8</v>
      </c>
      <c r="J89" s="345">
        <v>10</v>
      </c>
      <c r="K89" s="345">
        <v>10</v>
      </c>
      <c r="L89" s="345">
        <v>10</v>
      </c>
      <c r="M89" s="345">
        <v>10</v>
      </c>
      <c r="N89" s="345">
        <v>10</v>
      </c>
      <c r="O89" s="345">
        <v>10</v>
      </c>
      <c r="P89" s="345">
        <v>10</v>
      </c>
      <c r="Q89" s="345">
        <v>10</v>
      </c>
      <c r="R89" s="345">
        <v>10</v>
      </c>
      <c r="S89" s="345">
        <v>10</v>
      </c>
      <c r="T89" s="345">
        <v>10</v>
      </c>
      <c r="U89" s="345">
        <v>2</v>
      </c>
      <c r="V89" s="309">
        <f t="shared" si="10"/>
        <v>120</v>
      </c>
      <c r="W89" s="309">
        <v>279.67</v>
      </c>
      <c r="X89" s="309">
        <f t="shared" si="11"/>
        <v>33560.400000000001</v>
      </c>
      <c r="Y89" s="310" t="s">
        <v>74</v>
      </c>
      <c r="Z89" s="575"/>
      <c r="AA89" s="567"/>
    </row>
    <row r="90" spans="1:27" s="318" customFormat="1" ht="15" customHeight="1">
      <c r="A90" s="282">
        <v>86</v>
      </c>
      <c r="B90" s="282" t="s">
        <v>1</v>
      </c>
      <c r="C90" s="312" t="s">
        <v>401</v>
      </c>
      <c r="D90" s="346" t="s">
        <v>402</v>
      </c>
      <c r="E90" s="473" t="s">
        <v>277</v>
      </c>
      <c r="F90" s="553" t="str">
        <f t="shared" si="9"/>
        <v>REALRádio VHF móvel digital para viatura (eixo leste)</v>
      </c>
      <c r="G90" s="609">
        <f>Y90</f>
        <v>0.31000000000000005</v>
      </c>
      <c r="H90" s="347" t="s">
        <v>247</v>
      </c>
      <c r="I90" s="323">
        <v>7.2</v>
      </c>
      <c r="J90" s="323">
        <v>10</v>
      </c>
      <c r="K90" s="323">
        <v>10</v>
      </c>
      <c r="L90" s="323">
        <v>10</v>
      </c>
      <c r="M90" s="323"/>
      <c r="N90" s="323"/>
      <c r="O90" s="323"/>
      <c r="P90" s="323"/>
      <c r="Q90" s="348"/>
      <c r="R90" s="348"/>
      <c r="S90" s="323"/>
      <c r="T90" s="348"/>
      <c r="U90" s="348"/>
      <c r="V90" s="317">
        <f t="shared" si="10"/>
        <v>37.200000000000003</v>
      </c>
      <c r="W90" s="317">
        <v>279.67</v>
      </c>
      <c r="X90" s="317">
        <f t="shared" si="11"/>
        <v>10403.724000000002</v>
      </c>
      <c r="Y90" s="310">
        <f>X90/X89</f>
        <v>0.31000000000000005</v>
      </c>
      <c r="Z90" s="572">
        <v>228</v>
      </c>
      <c r="AA90" s="567"/>
    </row>
    <row r="91" spans="1:27" s="311" customFormat="1" ht="15" customHeight="1">
      <c r="A91" s="273">
        <v>87</v>
      </c>
      <c r="B91" s="273" t="s">
        <v>0</v>
      </c>
      <c r="C91" s="305" t="s">
        <v>403</v>
      </c>
      <c r="D91" s="343" t="s">
        <v>404</v>
      </c>
      <c r="E91" s="473" t="s">
        <v>278</v>
      </c>
      <c r="F91" s="553" t="str">
        <f t="shared" si="9"/>
        <v>PREVRádio VHF para instalação nas EB's, composto por rádio base e sistema irradiante</v>
      </c>
      <c r="G91" s="611" t="s">
        <v>74</v>
      </c>
      <c r="H91" s="344" t="s">
        <v>247</v>
      </c>
      <c r="I91" s="321">
        <v>4.8000000000000007</v>
      </c>
      <c r="J91" s="345">
        <v>6</v>
      </c>
      <c r="K91" s="345">
        <v>6</v>
      </c>
      <c r="L91" s="345">
        <v>6</v>
      </c>
      <c r="M91" s="345">
        <v>6</v>
      </c>
      <c r="N91" s="345">
        <v>6</v>
      </c>
      <c r="O91" s="345">
        <v>6</v>
      </c>
      <c r="P91" s="345">
        <v>6</v>
      </c>
      <c r="Q91" s="345">
        <v>6</v>
      </c>
      <c r="R91" s="345">
        <v>6</v>
      </c>
      <c r="S91" s="345">
        <v>6</v>
      </c>
      <c r="T91" s="345">
        <v>6</v>
      </c>
      <c r="U91" s="345">
        <v>1.2000000000000002</v>
      </c>
      <c r="V91" s="309">
        <f t="shared" si="10"/>
        <v>72</v>
      </c>
      <c r="W91" s="309">
        <v>332.94</v>
      </c>
      <c r="X91" s="309">
        <f t="shared" si="11"/>
        <v>23971.68</v>
      </c>
      <c r="Y91" s="310" t="s">
        <v>74</v>
      </c>
      <c r="Z91" s="575"/>
      <c r="AA91" s="567"/>
    </row>
    <row r="92" spans="1:27" s="318" customFormat="1" ht="15" customHeight="1">
      <c r="A92" s="282">
        <v>88</v>
      </c>
      <c r="B92" s="282" t="s">
        <v>1</v>
      </c>
      <c r="C92" s="312" t="s">
        <v>403</v>
      </c>
      <c r="D92" s="346" t="s">
        <v>404</v>
      </c>
      <c r="E92" s="473" t="s">
        <v>278</v>
      </c>
      <c r="F92" s="553" t="str">
        <f t="shared" si="9"/>
        <v>REALRádio VHF para instalação nas EB's, composto por rádio base e sistema irradiante</v>
      </c>
      <c r="G92" s="609">
        <f>Y92</f>
        <v>0</v>
      </c>
      <c r="H92" s="347" t="s">
        <v>247</v>
      </c>
      <c r="I92" s="323">
        <v>0</v>
      </c>
      <c r="J92" s="323">
        <v>0</v>
      </c>
      <c r="K92" s="323">
        <v>0</v>
      </c>
      <c r="L92" s="323">
        <v>0</v>
      </c>
      <c r="M92" s="323"/>
      <c r="N92" s="323"/>
      <c r="O92" s="323"/>
      <c r="P92" s="323"/>
      <c r="Q92" s="348"/>
      <c r="R92" s="348"/>
      <c r="S92" s="323"/>
      <c r="T92" s="348"/>
      <c r="U92" s="348"/>
      <c r="V92" s="317">
        <f t="shared" si="10"/>
        <v>0</v>
      </c>
      <c r="W92" s="317">
        <v>332.94</v>
      </c>
      <c r="X92" s="317">
        <f t="shared" si="11"/>
        <v>0</v>
      </c>
      <c r="Y92" s="310">
        <f>X92/X91</f>
        <v>0</v>
      </c>
      <c r="Z92" s="572">
        <v>108</v>
      </c>
      <c r="AA92" s="567"/>
    </row>
    <row r="93" spans="1:27" s="311" customFormat="1" ht="15" customHeight="1">
      <c r="A93" s="273">
        <v>89</v>
      </c>
      <c r="B93" s="273" t="s">
        <v>0</v>
      </c>
      <c r="C93" s="305" t="s">
        <v>405</v>
      </c>
      <c r="D93" s="343" t="s">
        <v>394</v>
      </c>
      <c r="E93" s="473" t="s">
        <v>279</v>
      </c>
      <c r="F93" s="553" t="str">
        <f t="shared" si="9"/>
        <v>PREVServiço de instalação e configuração de sistema de repetidoras e infraestrutura ‐ 4 antenas</v>
      </c>
      <c r="G93" s="611" t="s">
        <v>74</v>
      </c>
      <c r="H93" s="344" t="s">
        <v>228</v>
      </c>
      <c r="I93" s="345">
        <v>1</v>
      </c>
      <c r="J93" s="345"/>
      <c r="K93" s="345"/>
      <c r="L93" s="345"/>
      <c r="M93" s="345"/>
      <c r="N93" s="345"/>
      <c r="O93" s="345"/>
      <c r="P93" s="345"/>
      <c r="Q93" s="345"/>
      <c r="R93" s="345"/>
      <c r="S93" s="345"/>
      <c r="T93" s="345"/>
      <c r="U93" s="345"/>
      <c r="V93" s="309">
        <f t="shared" si="10"/>
        <v>1</v>
      </c>
      <c r="W93" s="309">
        <v>19976.23</v>
      </c>
      <c r="X93" s="309">
        <f t="shared" si="11"/>
        <v>19976.23</v>
      </c>
      <c r="Y93" s="310" t="s">
        <v>74</v>
      </c>
      <c r="Z93" s="575"/>
      <c r="AA93" s="567"/>
    </row>
    <row r="94" spans="1:27" s="318" customFormat="1" ht="15" customHeight="1">
      <c r="A94" s="282">
        <v>90</v>
      </c>
      <c r="B94" s="282" t="s">
        <v>1</v>
      </c>
      <c r="C94" s="312" t="s">
        <v>405</v>
      </c>
      <c r="D94" s="346" t="s">
        <v>406</v>
      </c>
      <c r="E94" s="473" t="s">
        <v>279</v>
      </c>
      <c r="F94" s="553" t="str">
        <f t="shared" si="9"/>
        <v xml:space="preserve">REAL </v>
      </c>
      <c r="G94" s="609">
        <f>Y94</f>
        <v>1</v>
      </c>
      <c r="H94" s="347" t="s">
        <v>228</v>
      </c>
      <c r="I94" s="323">
        <v>0</v>
      </c>
      <c r="J94" s="323">
        <v>0</v>
      </c>
      <c r="K94" s="323">
        <v>1</v>
      </c>
      <c r="L94" s="323">
        <v>0</v>
      </c>
      <c r="M94" s="323"/>
      <c r="N94" s="323"/>
      <c r="O94" s="323"/>
      <c r="P94" s="323"/>
      <c r="Q94" s="348"/>
      <c r="R94" s="348"/>
      <c r="S94" s="323"/>
      <c r="T94" s="348"/>
      <c r="U94" s="348"/>
      <c r="V94" s="317">
        <f t="shared" si="10"/>
        <v>1</v>
      </c>
      <c r="W94" s="317">
        <v>19976.23</v>
      </c>
      <c r="X94" s="317">
        <f t="shared" si="11"/>
        <v>19976.23</v>
      </c>
      <c r="Y94" s="310">
        <f>X94/X93</f>
        <v>1</v>
      </c>
      <c r="Z94" s="572">
        <v>2</v>
      </c>
      <c r="AA94" s="567"/>
    </row>
    <row r="95" spans="1:27" s="311" customFormat="1" ht="15" customHeight="1">
      <c r="A95" s="273">
        <v>91</v>
      </c>
      <c r="B95" s="273" t="s">
        <v>0</v>
      </c>
      <c r="C95" s="305" t="s">
        <v>407</v>
      </c>
      <c r="D95" s="343" t="s">
        <v>408</v>
      </c>
      <c r="E95" s="307" t="s">
        <v>280</v>
      </c>
      <c r="F95" s="553" t="str">
        <f t="shared" si="9"/>
        <v>PREVServiço de instalação e configuração de sistema de repetidoras e infraestrutura ‐ 2 antenas</v>
      </c>
      <c r="G95" s="611" t="s">
        <v>74</v>
      </c>
      <c r="H95" s="344" t="s">
        <v>228</v>
      </c>
      <c r="I95" s="345">
        <v>1</v>
      </c>
      <c r="J95" s="345"/>
      <c r="K95" s="345"/>
      <c r="L95" s="345"/>
      <c r="M95" s="345"/>
      <c r="N95" s="345"/>
      <c r="O95" s="345"/>
      <c r="P95" s="345"/>
      <c r="Q95" s="345"/>
      <c r="R95" s="345"/>
      <c r="S95" s="345"/>
      <c r="T95" s="345"/>
      <c r="U95" s="345"/>
      <c r="V95" s="309">
        <f t="shared" si="10"/>
        <v>1</v>
      </c>
      <c r="W95" s="309">
        <v>10653.98</v>
      </c>
      <c r="X95" s="309">
        <f t="shared" si="11"/>
        <v>10653.98</v>
      </c>
      <c r="Y95" s="310" t="s">
        <v>74</v>
      </c>
      <c r="Z95" s="575"/>
      <c r="AA95" s="567"/>
    </row>
    <row r="96" spans="1:27" s="318" customFormat="1" ht="15" customHeight="1">
      <c r="A96" s="282">
        <v>92</v>
      </c>
      <c r="B96" s="282" t="s">
        <v>1</v>
      </c>
      <c r="C96" s="312" t="s">
        <v>407</v>
      </c>
      <c r="D96" s="346" t="s">
        <v>408</v>
      </c>
      <c r="E96" s="314" t="s">
        <v>280</v>
      </c>
      <c r="F96" s="553" t="str">
        <f t="shared" si="9"/>
        <v>REALServiço de instalação e configuração de sistema de repetidoras e infraestrutura ‐ 2 antenas</v>
      </c>
      <c r="G96" s="609">
        <f>Y96</f>
        <v>0</v>
      </c>
      <c r="H96" s="347" t="s">
        <v>228</v>
      </c>
      <c r="I96" s="323">
        <v>0</v>
      </c>
      <c r="J96" s="323">
        <v>0</v>
      </c>
      <c r="K96" s="323">
        <v>0</v>
      </c>
      <c r="L96" s="323">
        <v>0</v>
      </c>
      <c r="M96" s="323"/>
      <c r="N96" s="323"/>
      <c r="O96" s="323"/>
      <c r="P96" s="323"/>
      <c r="Q96" s="348"/>
      <c r="R96" s="348"/>
      <c r="S96" s="323"/>
      <c r="T96" s="348"/>
      <c r="U96" s="348"/>
      <c r="V96" s="317">
        <f t="shared" si="10"/>
        <v>0</v>
      </c>
      <c r="W96" s="317">
        <v>10653.98</v>
      </c>
      <c r="X96" s="317">
        <f t="shared" si="11"/>
        <v>0</v>
      </c>
      <c r="Y96" s="310">
        <f>X96/X95</f>
        <v>0</v>
      </c>
      <c r="Z96" s="575"/>
      <c r="AA96" s="567"/>
    </row>
    <row r="97" spans="1:30" s="311" customFormat="1" ht="15" customHeight="1">
      <c r="A97" s="273">
        <v>93</v>
      </c>
      <c r="B97" s="273" t="s">
        <v>0</v>
      </c>
      <c r="C97" s="351" t="s">
        <v>409</v>
      </c>
      <c r="D97" s="352"/>
      <c r="E97" s="353"/>
      <c r="F97" s="354"/>
      <c r="G97" s="615"/>
      <c r="H97" s="354"/>
      <c r="I97" s="356"/>
      <c r="J97" s="356"/>
      <c r="K97" s="356"/>
      <c r="L97" s="356"/>
      <c r="M97" s="356"/>
      <c r="N97" s="356"/>
      <c r="O97" s="356"/>
      <c r="P97" s="356"/>
      <c r="Q97" s="356"/>
      <c r="R97" s="356">
        <v>0</v>
      </c>
      <c r="S97" s="356"/>
      <c r="T97" s="356"/>
      <c r="U97" s="356">
        <v>0</v>
      </c>
      <c r="V97" s="357"/>
      <c r="W97" s="357"/>
      <c r="X97" s="358"/>
      <c r="Y97" s="322"/>
      <c r="Z97" s="575"/>
      <c r="AA97" s="567"/>
    </row>
    <row r="98" spans="1:30" s="318" customFormat="1" ht="15" customHeight="1">
      <c r="A98" s="282">
        <v>94</v>
      </c>
      <c r="B98" s="282" t="s">
        <v>1</v>
      </c>
      <c r="C98" s="359" t="s">
        <v>409</v>
      </c>
      <c r="D98" s="360"/>
      <c r="E98" s="361"/>
      <c r="F98" s="552"/>
      <c r="G98" s="616"/>
      <c r="H98" s="362"/>
      <c r="I98" s="364"/>
      <c r="J98" s="364"/>
      <c r="K98" s="364"/>
      <c r="L98" s="364"/>
      <c r="M98" s="364"/>
      <c r="N98" s="364"/>
      <c r="O98" s="364"/>
      <c r="P98" s="364"/>
      <c r="Q98" s="364"/>
      <c r="R98" s="364"/>
      <c r="S98" s="364"/>
      <c r="T98" s="364"/>
      <c r="U98" s="364"/>
      <c r="V98" s="365"/>
      <c r="W98" s="365"/>
      <c r="X98" s="366"/>
      <c r="Y98" s="322"/>
      <c r="Z98" s="575"/>
      <c r="AA98" s="567"/>
    </row>
    <row r="99" spans="1:30" s="281" customFormat="1" ht="15" customHeight="1">
      <c r="A99" s="273">
        <v>95</v>
      </c>
      <c r="B99" s="273" t="s">
        <v>0</v>
      </c>
      <c r="C99" s="274">
        <v>2</v>
      </c>
      <c r="D99" s="275" t="s">
        <v>410</v>
      </c>
      <c r="E99" s="276"/>
      <c r="F99" s="276"/>
      <c r="G99" s="617"/>
      <c r="H99" s="277"/>
      <c r="I99" s="394"/>
      <c r="J99" s="394"/>
      <c r="K99" s="394"/>
      <c r="L99" s="394"/>
      <c r="M99" s="394"/>
      <c r="N99" s="394"/>
      <c r="O99" s="394"/>
      <c r="P99" s="394"/>
      <c r="Q99" s="394"/>
      <c r="R99" s="394"/>
      <c r="S99" s="394"/>
      <c r="T99" s="394"/>
      <c r="U99" s="394"/>
      <c r="V99" s="278">
        <v>0</v>
      </c>
      <c r="W99" s="278">
        <v>0</v>
      </c>
      <c r="X99" s="279">
        <v>0</v>
      </c>
      <c r="Y99" s="280"/>
      <c r="Z99" s="566"/>
      <c r="AA99" s="567"/>
      <c r="AB99" s="311"/>
      <c r="AC99" s="311"/>
      <c r="AD99" s="311"/>
    </row>
    <row r="100" spans="1:30" s="288" customFormat="1" ht="15" customHeight="1">
      <c r="A100" s="282">
        <v>96</v>
      </c>
      <c r="B100" s="282" t="s">
        <v>1</v>
      </c>
      <c r="C100" s="283">
        <v>2</v>
      </c>
      <c r="D100" s="284" t="s">
        <v>410</v>
      </c>
      <c r="E100" s="367"/>
      <c r="F100" s="367"/>
      <c r="G100" s="618"/>
      <c r="H100" s="286"/>
      <c r="I100" s="398"/>
      <c r="J100" s="398"/>
      <c r="K100" s="398"/>
      <c r="L100" s="398"/>
      <c r="M100" s="398"/>
      <c r="N100" s="398"/>
      <c r="O100" s="398"/>
      <c r="P100" s="398"/>
      <c r="Q100" s="398"/>
      <c r="R100" s="398"/>
      <c r="S100" s="398"/>
      <c r="T100" s="398"/>
      <c r="U100" s="398"/>
      <c r="V100" s="368">
        <v>0</v>
      </c>
      <c r="W100" s="368">
        <v>0</v>
      </c>
      <c r="X100" s="369">
        <v>0</v>
      </c>
      <c r="Y100" s="280"/>
      <c r="Z100" s="577"/>
      <c r="AA100" s="567"/>
      <c r="AB100" s="318"/>
      <c r="AC100" s="318"/>
      <c r="AD100" s="318"/>
    </row>
    <row r="101" spans="1:30" s="296" customFormat="1" ht="15" customHeight="1">
      <c r="A101" s="273">
        <v>97</v>
      </c>
      <c r="B101" s="273" t="s">
        <v>0</v>
      </c>
      <c r="C101" s="289" t="s">
        <v>16</v>
      </c>
      <c r="D101" s="290" t="s">
        <v>339</v>
      </c>
      <c r="E101" s="291"/>
      <c r="F101" s="291"/>
      <c r="G101" s="610"/>
      <c r="H101" s="292"/>
      <c r="I101" s="396"/>
      <c r="J101" s="396"/>
      <c r="K101" s="396"/>
      <c r="L101" s="396"/>
      <c r="M101" s="396"/>
      <c r="N101" s="396"/>
      <c r="O101" s="396"/>
      <c r="P101" s="396"/>
      <c r="Q101" s="396"/>
      <c r="R101" s="396"/>
      <c r="S101" s="396"/>
      <c r="T101" s="396"/>
      <c r="U101" s="396"/>
      <c r="V101" s="319">
        <v>0</v>
      </c>
      <c r="W101" s="319">
        <v>0</v>
      </c>
      <c r="X101" s="370">
        <f>SUMIF(B103:B108,B101,X103:X108)</f>
        <v>336006.48</v>
      </c>
      <c r="Y101" s="295" t="s">
        <v>74</v>
      </c>
      <c r="Z101" s="578"/>
      <c r="AA101" s="567"/>
      <c r="AB101" s="311"/>
      <c r="AC101" s="311"/>
      <c r="AD101" s="311"/>
    </row>
    <row r="102" spans="1:30" s="304" customFormat="1" ht="15" customHeight="1">
      <c r="A102" s="282">
        <v>98</v>
      </c>
      <c r="B102" s="282" t="s">
        <v>1</v>
      </c>
      <c r="C102" s="297" t="s">
        <v>16</v>
      </c>
      <c r="D102" s="298" t="s">
        <v>339</v>
      </c>
      <c r="E102" s="320"/>
      <c r="F102" s="320"/>
      <c r="G102" s="612"/>
      <c r="H102" s="300"/>
      <c r="I102" s="397"/>
      <c r="J102" s="397"/>
      <c r="K102" s="397"/>
      <c r="L102" s="397"/>
      <c r="M102" s="397"/>
      <c r="N102" s="397"/>
      <c r="O102" s="397"/>
      <c r="P102" s="397"/>
      <c r="Q102" s="397"/>
      <c r="R102" s="397"/>
      <c r="S102" s="397"/>
      <c r="T102" s="397"/>
      <c r="U102" s="397"/>
      <c r="V102" s="302">
        <v>0</v>
      </c>
      <c r="W102" s="302">
        <v>0</v>
      </c>
      <c r="X102" s="303">
        <f>SUMIF(B104:B109,B102,X104:X109)</f>
        <v>106402.052</v>
      </c>
      <c r="Y102" s="295">
        <f>X102/X101</f>
        <v>0.31666666666666665</v>
      </c>
      <c r="Z102" s="571"/>
      <c r="AA102" s="567"/>
      <c r="AB102" s="318"/>
      <c r="AC102" s="318"/>
      <c r="AD102" s="318"/>
    </row>
    <row r="103" spans="1:30" s="311" customFormat="1" ht="15" customHeight="1">
      <c r="A103" s="273">
        <v>99</v>
      </c>
      <c r="B103" s="273" t="s">
        <v>0</v>
      </c>
      <c r="C103" s="305" t="s">
        <v>227</v>
      </c>
      <c r="D103" s="306" t="s">
        <v>343</v>
      </c>
      <c r="E103" s="473" t="s">
        <v>257</v>
      </c>
      <c r="F103" s="553" t="str">
        <f t="shared" ref="F103:F108" si="12">B103&amp;D103</f>
        <v>PREVVeículo ‐ caminhonete 4x4 cabine dupla</v>
      </c>
      <c r="G103" s="611" t="s">
        <v>74</v>
      </c>
      <c r="H103" s="307" t="s">
        <v>247</v>
      </c>
      <c r="I103" s="321">
        <v>0.8</v>
      </c>
      <c r="J103" s="321">
        <v>1</v>
      </c>
      <c r="K103" s="321">
        <v>1</v>
      </c>
      <c r="L103" s="321">
        <v>1</v>
      </c>
      <c r="M103" s="321">
        <v>1</v>
      </c>
      <c r="N103" s="321">
        <v>1</v>
      </c>
      <c r="O103" s="321">
        <v>1</v>
      </c>
      <c r="P103" s="321">
        <v>1</v>
      </c>
      <c r="Q103" s="321">
        <v>1</v>
      </c>
      <c r="R103" s="321">
        <v>1</v>
      </c>
      <c r="S103" s="321">
        <v>1</v>
      </c>
      <c r="T103" s="321">
        <v>1</v>
      </c>
      <c r="U103" s="321">
        <v>0.2</v>
      </c>
      <c r="V103" s="308">
        <f t="shared" ref="V103:V108" si="13">SUM(I103:U103)</f>
        <v>12</v>
      </c>
      <c r="W103" s="308">
        <v>7919.19</v>
      </c>
      <c r="X103" s="309">
        <f t="shared" ref="X103:X108" si="14">W103*V103</f>
        <v>95030.28</v>
      </c>
      <c r="Y103" s="310" t="s">
        <v>74</v>
      </c>
      <c r="Z103" s="572"/>
      <c r="AA103" s="567"/>
      <c r="AB103" s="573"/>
    </row>
    <row r="104" spans="1:30" s="318" customFormat="1" ht="15" customHeight="1">
      <c r="A104" s="282">
        <v>100</v>
      </c>
      <c r="B104" s="282" t="s">
        <v>1</v>
      </c>
      <c r="C104" s="312" t="s">
        <v>227</v>
      </c>
      <c r="D104" s="313" t="s">
        <v>343</v>
      </c>
      <c r="E104" s="473" t="s">
        <v>257</v>
      </c>
      <c r="F104" s="553" t="str">
        <f t="shared" si="12"/>
        <v>REALVeículo ‐ caminhonete 4x4 cabine dupla</v>
      </c>
      <c r="G104" s="609">
        <f>Y104</f>
        <v>0.31666666666666665</v>
      </c>
      <c r="H104" s="315" t="s">
        <v>247</v>
      </c>
      <c r="I104" s="323">
        <v>0.8</v>
      </c>
      <c r="J104" s="323">
        <v>1</v>
      </c>
      <c r="K104" s="323">
        <v>1</v>
      </c>
      <c r="L104" s="323">
        <v>1</v>
      </c>
      <c r="M104" s="323"/>
      <c r="N104" s="323"/>
      <c r="O104" s="323"/>
      <c r="P104" s="323"/>
      <c r="Q104" s="323"/>
      <c r="R104" s="323"/>
      <c r="S104" s="323"/>
      <c r="T104" s="323"/>
      <c r="U104" s="323"/>
      <c r="V104" s="316">
        <f t="shared" si="13"/>
        <v>3.8</v>
      </c>
      <c r="W104" s="316">
        <v>7919.19</v>
      </c>
      <c r="X104" s="317">
        <f t="shared" si="14"/>
        <v>30092.921999999999</v>
      </c>
      <c r="Y104" s="310">
        <f>X104/X103</f>
        <v>0.31666666666666665</v>
      </c>
      <c r="Z104" s="572">
        <v>84</v>
      </c>
      <c r="AA104" s="567">
        <f>V103/Z104</f>
        <v>0.14285714285714285</v>
      </c>
      <c r="AB104" s="574">
        <f>AA104*I104</f>
        <v>0.11428571428571428</v>
      </c>
    </row>
    <row r="105" spans="1:30" s="311" customFormat="1" ht="15" customHeight="1">
      <c r="A105" s="273">
        <v>101</v>
      </c>
      <c r="B105" s="273" t="s">
        <v>0</v>
      </c>
      <c r="C105" s="305" t="s">
        <v>231</v>
      </c>
      <c r="D105" s="306" t="s">
        <v>345</v>
      </c>
      <c r="E105" s="473" t="s">
        <v>259</v>
      </c>
      <c r="F105" s="553" t="str">
        <f t="shared" si="12"/>
        <v>PREVVeículo ‐ pick up 4x4 (E8891) ‐ Operativo + Improdutivo</v>
      </c>
      <c r="G105" s="611" t="s">
        <v>74</v>
      </c>
      <c r="H105" s="307" t="s">
        <v>247</v>
      </c>
      <c r="I105" s="321">
        <v>0.8</v>
      </c>
      <c r="J105" s="321">
        <v>1</v>
      </c>
      <c r="K105" s="321">
        <v>1</v>
      </c>
      <c r="L105" s="321">
        <v>1</v>
      </c>
      <c r="M105" s="321">
        <v>1</v>
      </c>
      <c r="N105" s="321">
        <v>1</v>
      </c>
      <c r="O105" s="321">
        <v>1</v>
      </c>
      <c r="P105" s="321">
        <v>1</v>
      </c>
      <c r="Q105" s="321">
        <v>1</v>
      </c>
      <c r="R105" s="321">
        <v>1</v>
      </c>
      <c r="S105" s="321">
        <v>1</v>
      </c>
      <c r="T105" s="321">
        <v>1</v>
      </c>
      <c r="U105" s="321">
        <v>0.2</v>
      </c>
      <c r="V105" s="308">
        <f t="shared" si="13"/>
        <v>12</v>
      </c>
      <c r="W105" s="308">
        <v>7459.55</v>
      </c>
      <c r="X105" s="309">
        <f t="shared" si="14"/>
        <v>89514.6</v>
      </c>
      <c r="Y105" s="310" t="s">
        <v>74</v>
      </c>
      <c r="Z105" s="572"/>
      <c r="AA105" s="567"/>
      <c r="AB105" s="573"/>
    </row>
    <row r="106" spans="1:30" s="318" customFormat="1" ht="15" customHeight="1">
      <c r="A106" s="282">
        <v>102</v>
      </c>
      <c r="B106" s="282" t="s">
        <v>1</v>
      </c>
      <c r="C106" s="312" t="s">
        <v>231</v>
      </c>
      <c r="D106" s="313" t="s">
        <v>345</v>
      </c>
      <c r="E106" s="473" t="s">
        <v>259</v>
      </c>
      <c r="F106" s="553" t="str">
        <f t="shared" si="12"/>
        <v>REALVeículo ‐ pick up 4x4 (E8891) ‐ Operativo + Improdutivo</v>
      </c>
      <c r="G106" s="609">
        <f>Y106</f>
        <v>0.31666666666666665</v>
      </c>
      <c r="H106" s="315" t="s">
        <v>247</v>
      </c>
      <c r="I106" s="323">
        <v>0.8</v>
      </c>
      <c r="J106" s="323">
        <v>1</v>
      </c>
      <c r="K106" s="323">
        <v>1</v>
      </c>
      <c r="L106" s="323">
        <v>1</v>
      </c>
      <c r="M106" s="323"/>
      <c r="N106" s="323"/>
      <c r="O106" s="323"/>
      <c r="P106" s="323"/>
      <c r="Q106" s="323"/>
      <c r="R106" s="323"/>
      <c r="S106" s="323"/>
      <c r="T106" s="323"/>
      <c r="U106" s="323"/>
      <c r="V106" s="316">
        <f t="shared" si="13"/>
        <v>3.8</v>
      </c>
      <c r="W106" s="316">
        <v>7459.55</v>
      </c>
      <c r="X106" s="317">
        <f t="shared" si="14"/>
        <v>28346.29</v>
      </c>
      <c r="Y106" s="310">
        <f>X106/X105</f>
        <v>0.31666666666666665</v>
      </c>
      <c r="Z106" s="572">
        <v>108</v>
      </c>
      <c r="AA106" s="567">
        <f>V105/Z106</f>
        <v>0.1111111111111111</v>
      </c>
      <c r="AB106" s="574">
        <f>AA106*I106</f>
        <v>8.8888888888888892E-2</v>
      </c>
    </row>
    <row r="107" spans="1:30" s="311" customFormat="1" ht="15" customHeight="1">
      <c r="A107" s="273">
        <v>103</v>
      </c>
      <c r="B107" s="273" t="s">
        <v>0</v>
      </c>
      <c r="C107" s="305" t="s">
        <v>234</v>
      </c>
      <c r="D107" s="306" t="s">
        <v>347</v>
      </c>
      <c r="E107" s="473" t="s">
        <v>260</v>
      </c>
      <c r="F107" s="553" t="str">
        <f t="shared" si="12"/>
        <v>PREVVeículo ‐ sedan 1.6 flex ‐ 115CV (E8889) ‐ Operativo + Improdutivo</v>
      </c>
      <c r="G107" s="611" t="s">
        <v>74</v>
      </c>
      <c r="H107" s="307" t="s">
        <v>247</v>
      </c>
      <c r="I107" s="321">
        <v>3.2</v>
      </c>
      <c r="J107" s="321">
        <v>4</v>
      </c>
      <c r="K107" s="321">
        <v>4</v>
      </c>
      <c r="L107" s="321">
        <v>4</v>
      </c>
      <c r="M107" s="321">
        <v>4</v>
      </c>
      <c r="N107" s="321">
        <v>4</v>
      </c>
      <c r="O107" s="321">
        <v>4</v>
      </c>
      <c r="P107" s="321">
        <v>4</v>
      </c>
      <c r="Q107" s="321">
        <v>4</v>
      </c>
      <c r="R107" s="321">
        <v>4</v>
      </c>
      <c r="S107" s="321">
        <v>4</v>
      </c>
      <c r="T107" s="321">
        <v>4</v>
      </c>
      <c r="U107" s="321">
        <v>0.8</v>
      </c>
      <c r="V107" s="308">
        <f t="shared" si="13"/>
        <v>48</v>
      </c>
      <c r="W107" s="308">
        <v>3155.45</v>
      </c>
      <c r="X107" s="309">
        <f t="shared" si="14"/>
        <v>151461.59999999998</v>
      </c>
      <c r="Y107" s="310" t="s">
        <v>74</v>
      </c>
      <c r="Z107" s="572"/>
      <c r="AA107" s="567"/>
      <c r="AB107" s="573"/>
    </row>
    <row r="108" spans="1:30" s="318" customFormat="1" ht="15" customHeight="1">
      <c r="A108" s="282">
        <v>104</v>
      </c>
      <c r="B108" s="282" t="s">
        <v>1</v>
      </c>
      <c r="C108" s="312" t="s">
        <v>234</v>
      </c>
      <c r="D108" s="313" t="s">
        <v>347</v>
      </c>
      <c r="E108" s="473" t="s">
        <v>260</v>
      </c>
      <c r="F108" s="553" t="str">
        <f t="shared" si="12"/>
        <v>REALVeículo ‐ sedan 1.6 flex ‐ 115CV (E8889) ‐ Operativo + Improdutivo</v>
      </c>
      <c r="G108" s="609">
        <f>Y108</f>
        <v>0.31666666666666671</v>
      </c>
      <c r="H108" s="315" t="s">
        <v>247</v>
      </c>
      <c r="I108" s="323">
        <v>3.2</v>
      </c>
      <c r="J108" s="323">
        <v>4</v>
      </c>
      <c r="K108" s="323">
        <v>4</v>
      </c>
      <c r="L108" s="323">
        <v>4</v>
      </c>
      <c r="M108" s="323"/>
      <c r="N108" s="323"/>
      <c r="O108" s="323"/>
      <c r="P108" s="323"/>
      <c r="Q108" s="323"/>
      <c r="R108" s="323"/>
      <c r="S108" s="323"/>
      <c r="T108" s="323"/>
      <c r="U108" s="323"/>
      <c r="V108" s="316">
        <f t="shared" si="13"/>
        <v>15.2</v>
      </c>
      <c r="W108" s="316">
        <v>3155.45</v>
      </c>
      <c r="X108" s="317">
        <f t="shared" si="14"/>
        <v>47962.84</v>
      </c>
      <c r="Y108" s="310">
        <f>X108/X107</f>
        <v>0.31666666666666671</v>
      </c>
      <c r="Z108" s="572">
        <v>180</v>
      </c>
      <c r="AA108" s="567">
        <f>V107/Z108</f>
        <v>0.26666666666666666</v>
      </c>
      <c r="AB108" s="574">
        <f>AA108*I108</f>
        <v>0.85333333333333339</v>
      </c>
    </row>
    <row r="109" spans="1:30" s="296" customFormat="1" ht="15" customHeight="1">
      <c r="A109" s="273">
        <v>105</v>
      </c>
      <c r="B109" s="273" t="s">
        <v>0</v>
      </c>
      <c r="C109" s="289" t="s">
        <v>13</v>
      </c>
      <c r="D109" s="290" t="s">
        <v>263</v>
      </c>
      <c r="E109" s="291" t="s">
        <v>19</v>
      </c>
      <c r="F109" s="291"/>
      <c r="G109" s="610"/>
      <c r="H109" s="292"/>
      <c r="I109" s="396"/>
      <c r="J109" s="396"/>
      <c r="K109" s="396"/>
      <c r="L109" s="396"/>
      <c r="M109" s="396"/>
      <c r="N109" s="396"/>
      <c r="O109" s="396"/>
      <c r="P109" s="396"/>
      <c r="Q109" s="396"/>
      <c r="R109" s="396"/>
      <c r="S109" s="396"/>
      <c r="T109" s="396"/>
      <c r="U109" s="396"/>
      <c r="V109" s="319">
        <v>0</v>
      </c>
      <c r="W109" s="319">
        <v>0</v>
      </c>
      <c r="X109" s="370">
        <f>SUMIF(B111:B118,B109,X111:X118)</f>
        <v>60667.92</v>
      </c>
      <c r="Y109" s="295" t="s">
        <v>74</v>
      </c>
      <c r="Z109" s="578"/>
      <c r="AA109" s="567"/>
      <c r="AB109" s="311"/>
      <c r="AC109" s="311"/>
      <c r="AD109" s="311"/>
    </row>
    <row r="110" spans="1:30" s="304" customFormat="1" ht="15" customHeight="1">
      <c r="A110" s="282">
        <v>106</v>
      </c>
      <c r="B110" s="282" t="s">
        <v>1</v>
      </c>
      <c r="C110" s="297" t="s">
        <v>13</v>
      </c>
      <c r="D110" s="298" t="s">
        <v>263</v>
      </c>
      <c r="E110" s="320" t="s">
        <v>19</v>
      </c>
      <c r="F110" s="320"/>
      <c r="G110" s="612"/>
      <c r="H110" s="300"/>
      <c r="I110" s="397"/>
      <c r="J110" s="397"/>
      <c r="K110" s="397"/>
      <c r="L110" s="397"/>
      <c r="M110" s="397"/>
      <c r="N110" s="397"/>
      <c r="O110" s="397"/>
      <c r="P110" s="397"/>
      <c r="Q110" s="397"/>
      <c r="R110" s="397"/>
      <c r="S110" s="397"/>
      <c r="T110" s="397"/>
      <c r="U110" s="397"/>
      <c r="V110" s="302">
        <v>0</v>
      </c>
      <c r="W110" s="302">
        <v>0</v>
      </c>
      <c r="X110" s="303">
        <f>SUMIF(B111:B118,B110,X111:X118)</f>
        <v>19211.508000000002</v>
      </c>
      <c r="Y110" s="295">
        <f>X110/X109</f>
        <v>0.31666666666666671</v>
      </c>
      <c r="Z110" s="571"/>
      <c r="AA110" s="567"/>
      <c r="AB110" s="318"/>
      <c r="AC110" s="318"/>
      <c r="AD110" s="318"/>
    </row>
    <row r="111" spans="1:30" s="311" customFormat="1" ht="15" customHeight="1" outlineLevel="1">
      <c r="A111" s="273">
        <v>107</v>
      </c>
      <c r="B111" s="273" t="s">
        <v>0</v>
      </c>
      <c r="C111" s="305" t="s">
        <v>246</v>
      </c>
      <c r="D111" s="306" t="s">
        <v>411</v>
      </c>
      <c r="E111" s="473" t="s">
        <v>246</v>
      </c>
      <c r="F111" s="553" t="str">
        <f t="shared" ref="F111:F118" si="15">B111&amp;D111</f>
        <v>PREVAluguel Notebook ‐ com software ‐ tipo 2 (i7, HD 1Tb, Memória RAM 8Gb, Tela 15,6" + Sist. Operacional Windows 10)</v>
      </c>
      <c r="G111" s="611" t="s">
        <v>74</v>
      </c>
      <c r="H111" s="307" t="s">
        <v>247</v>
      </c>
      <c r="I111" s="321">
        <v>15.200000000000001</v>
      </c>
      <c r="J111" s="321">
        <v>19</v>
      </c>
      <c r="K111" s="321">
        <v>19</v>
      </c>
      <c r="L111" s="321">
        <v>19</v>
      </c>
      <c r="M111" s="321">
        <v>19</v>
      </c>
      <c r="N111" s="321">
        <v>19</v>
      </c>
      <c r="O111" s="321">
        <v>19</v>
      </c>
      <c r="P111" s="321">
        <v>19</v>
      </c>
      <c r="Q111" s="321">
        <v>19</v>
      </c>
      <c r="R111" s="321">
        <v>19</v>
      </c>
      <c r="S111" s="321">
        <v>19</v>
      </c>
      <c r="T111" s="321">
        <v>19</v>
      </c>
      <c r="U111" s="321">
        <v>3.8000000000000003</v>
      </c>
      <c r="V111" s="308">
        <f t="shared" ref="V111:V118" si="16">SUM(I111:U111)</f>
        <v>228</v>
      </c>
      <c r="W111" s="308">
        <v>247.15</v>
      </c>
      <c r="X111" s="308">
        <f t="shared" ref="X111:X118" si="17">W111*V111</f>
        <v>56350.200000000004</v>
      </c>
      <c r="Y111" s="322" t="s">
        <v>74</v>
      </c>
      <c r="Z111" s="575"/>
      <c r="AA111" s="567"/>
    </row>
    <row r="112" spans="1:30" s="318" customFormat="1" ht="15" customHeight="1" outlineLevel="1">
      <c r="A112" s="282">
        <v>108</v>
      </c>
      <c r="B112" s="282" t="s">
        <v>1</v>
      </c>
      <c r="C112" s="312" t="s">
        <v>246</v>
      </c>
      <c r="D112" s="313" t="s">
        <v>411</v>
      </c>
      <c r="E112" s="473" t="s">
        <v>246</v>
      </c>
      <c r="F112" s="553" t="str">
        <f t="shared" si="15"/>
        <v>REALAluguel Notebook ‐ com software ‐ tipo 2 (i7, HD 1Tb, Memória RAM 8Gb, Tela 15,6" + Sist. Operacional Windows 10)</v>
      </c>
      <c r="G112" s="609">
        <f>Y112</f>
        <v>0.31666666666666665</v>
      </c>
      <c r="H112" s="315" t="s">
        <v>247</v>
      </c>
      <c r="I112" s="323">
        <v>15.2</v>
      </c>
      <c r="J112" s="323">
        <v>19</v>
      </c>
      <c r="K112" s="323">
        <v>19</v>
      </c>
      <c r="L112" s="323">
        <v>19</v>
      </c>
      <c r="M112" s="323"/>
      <c r="N112" s="323"/>
      <c r="O112" s="323"/>
      <c r="P112" s="323"/>
      <c r="Q112" s="323"/>
      <c r="R112" s="323"/>
      <c r="S112" s="323"/>
      <c r="T112" s="323"/>
      <c r="U112" s="323"/>
      <c r="V112" s="316">
        <f t="shared" si="16"/>
        <v>72.2</v>
      </c>
      <c r="W112" s="316">
        <v>247.15</v>
      </c>
      <c r="X112" s="316">
        <f t="shared" si="17"/>
        <v>17844.23</v>
      </c>
      <c r="Y112" s="322">
        <f>X112/X111</f>
        <v>0.31666666666666665</v>
      </c>
      <c r="Z112" s="572">
        <v>396</v>
      </c>
      <c r="AA112" s="567"/>
    </row>
    <row r="113" spans="1:30" s="311" customFormat="1" ht="15" customHeight="1" outlineLevel="1">
      <c r="A113" s="273">
        <v>109</v>
      </c>
      <c r="B113" s="273" t="s">
        <v>0</v>
      </c>
      <c r="C113" s="305" t="s">
        <v>250</v>
      </c>
      <c r="D113" s="306" t="s">
        <v>154</v>
      </c>
      <c r="E113" s="473" t="s">
        <v>250</v>
      </c>
      <c r="F113" s="553" t="str">
        <f t="shared" si="15"/>
        <v>PREVAluguel de Impressora A3</v>
      </c>
      <c r="G113" s="611" t="s">
        <v>74</v>
      </c>
      <c r="H113" s="307" t="s">
        <v>247</v>
      </c>
      <c r="I113" s="321">
        <v>0.8</v>
      </c>
      <c r="J113" s="321">
        <v>1</v>
      </c>
      <c r="K113" s="321">
        <v>1</v>
      </c>
      <c r="L113" s="321">
        <v>1</v>
      </c>
      <c r="M113" s="321">
        <v>1</v>
      </c>
      <c r="N113" s="321">
        <v>1</v>
      </c>
      <c r="O113" s="321">
        <v>1</v>
      </c>
      <c r="P113" s="321">
        <v>1</v>
      </c>
      <c r="Q113" s="321">
        <v>1</v>
      </c>
      <c r="R113" s="321">
        <v>1</v>
      </c>
      <c r="S113" s="321">
        <v>1</v>
      </c>
      <c r="T113" s="321">
        <v>1</v>
      </c>
      <c r="U113" s="321">
        <v>0.2</v>
      </c>
      <c r="V113" s="308">
        <f t="shared" si="16"/>
        <v>12</v>
      </c>
      <c r="W113" s="308">
        <v>177.77</v>
      </c>
      <c r="X113" s="308">
        <f t="shared" si="17"/>
        <v>2133.2400000000002</v>
      </c>
      <c r="Y113" s="322" t="s">
        <v>74</v>
      </c>
      <c r="Z113" s="575"/>
      <c r="AA113" s="567"/>
    </row>
    <row r="114" spans="1:30" s="318" customFormat="1" ht="15" customHeight="1" outlineLevel="1">
      <c r="A114" s="282">
        <v>110</v>
      </c>
      <c r="B114" s="282" t="s">
        <v>1</v>
      </c>
      <c r="C114" s="312" t="s">
        <v>250</v>
      </c>
      <c r="D114" s="313" t="s">
        <v>154</v>
      </c>
      <c r="E114" s="473" t="s">
        <v>250</v>
      </c>
      <c r="F114" s="553" t="str">
        <f t="shared" si="15"/>
        <v>REALAluguel de Impressora A3</v>
      </c>
      <c r="G114" s="609">
        <f>Y114</f>
        <v>0.3166666666666666</v>
      </c>
      <c r="H114" s="315" t="s">
        <v>247</v>
      </c>
      <c r="I114" s="323">
        <v>0.8</v>
      </c>
      <c r="J114" s="323">
        <v>1</v>
      </c>
      <c r="K114" s="323">
        <v>1</v>
      </c>
      <c r="L114" s="323">
        <v>1</v>
      </c>
      <c r="M114" s="323"/>
      <c r="N114" s="323"/>
      <c r="O114" s="323"/>
      <c r="P114" s="323"/>
      <c r="Q114" s="323"/>
      <c r="R114" s="323"/>
      <c r="S114" s="323"/>
      <c r="T114" s="323"/>
      <c r="U114" s="323"/>
      <c r="V114" s="316">
        <f t="shared" si="16"/>
        <v>3.8</v>
      </c>
      <c r="W114" s="316">
        <v>177.77</v>
      </c>
      <c r="X114" s="316">
        <f t="shared" si="17"/>
        <v>675.52599999999995</v>
      </c>
      <c r="Y114" s="322">
        <f>X114/X113</f>
        <v>0.3166666666666666</v>
      </c>
      <c r="Z114" s="572">
        <v>36</v>
      </c>
      <c r="AA114" s="567"/>
    </row>
    <row r="115" spans="1:30" s="311" customFormat="1" ht="15" customHeight="1" outlineLevel="1">
      <c r="A115" s="273">
        <v>111</v>
      </c>
      <c r="B115" s="273" t="s">
        <v>0</v>
      </c>
      <c r="C115" s="305" t="s">
        <v>253</v>
      </c>
      <c r="D115" s="306" t="s">
        <v>178</v>
      </c>
      <c r="E115" s="473" t="s">
        <v>268</v>
      </c>
      <c r="F115" s="553" t="str">
        <f t="shared" si="15"/>
        <v>PREVGPS de Navegação</v>
      </c>
      <c r="G115" s="611" t="s">
        <v>74</v>
      </c>
      <c r="H115" s="307" t="s">
        <v>247</v>
      </c>
      <c r="I115" s="321">
        <v>2.4000000000000004</v>
      </c>
      <c r="J115" s="321">
        <v>3</v>
      </c>
      <c r="K115" s="321">
        <v>3</v>
      </c>
      <c r="L115" s="321">
        <v>3</v>
      </c>
      <c r="M115" s="321">
        <v>3</v>
      </c>
      <c r="N115" s="321">
        <v>3</v>
      </c>
      <c r="O115" s="321">
        <v>3</v>
      </c>
      <c r="P115" s="321">
        <v>3</v>
      </c>
      <c r="Q115" s="321">
        <v>3</v>
      </c>
      <c r="R115" s="321">
        <v>3</v>
      </c>
      <c r="S115" s="321">
        <v>3</v>
      </c>
      <c r="T115" s="321">
        <v>3</v>
      </c>
      <c r="U115" s="321">
        <v>0.60000000000000009</v>
      </c>
      <c r="V115" s="308">
        <f t="shared" si="16"/>
        <v>36</v>
      </c>
      <c r="W115" s="308">
        <v>50.58</v>
      </c>
      <c r="X115" s="308">
        <f t="shared" si="17"/>
        <v>1820.8799999999999</v>
      </c>
      <c r="Y115" s="322" t="s">
        <v>74</v>
      </c>
      <c r="Z115" s="575"/>
      <c r="AA115" s="567"/>
    </row>
    <row r="116" spans="1:30" s="318" customFormat="1" ht="15" customHeight="1" outlineLevel="1">
      <c r="A116" s="282">
        <v>112</v>
      </c>
      <c r="B116" s="282" t="s">
        <v>1</v>
      </c>
      <c r="C116" s="312" t="s">
        <v>253</v>
      </c>
      <c r="D116" s="313" t="s">
        <v>178</v>
      </c>
      <c r="E116" s="473" t="s">
        <v>268</v>
      </c>
      <c r="F116" s="553" t="str">
        <f t="shared" si="15"/>
        <v>REALGPS de Navegação</v>
      </c>
      <c r="G116" s="609">
        <f>Y116</f>
        <v>0.31666666666666665</v>
      </c>
      <c r="H116" s="315" t="s">
        <v>247</v>
      </c>
      <c r="I116" s="323">
        <v>2.4</v>
      </c>
      <c r="J116" s="323">
        <v>3</v>
      </c>
      <c r="K116" s="323">
        <v>3</v>
      </c>
      <c r="L116" s="323">
        <v>3</v>
      </c>
      <c r="M116" s="323"/>
      <c r="N116" s="323"/>
      <c r="O116" s="323"/>
      <c r="P116" s="323"/>
      <c r="Q116" s="323"/>
      <c r="R116" s="323"/>
      <c r="S116" s="323"/>
      <c r="T116" s="323"/>
      <c r="U116" s="323"/>
      <c r="V116" s="316">
        <f t="shared" si="16"/>
        <v>11.4</v>
      </c>
      <c r="W116" s="316">
        <v>50.58</v>
      </c>
      <c r="X116" s="316">
        <f t="shared" si="17"/>
        <v>576.61199999999997</v>
      </c>
      <c r="Y116" s="322">
        <f>X116/X115</f>
        <v>0.31666666666666665</v>
      </c>
      <c r="Z116" s="572">
        <v>144</v>
      </c>
      <c r="AA116" s="567"/>
    </row>
    <row r="117" spans="1:30" s="311" customFormat="1" ht="15" customHeight="1" outlineLevel="1">
      <c r="A117" s="273">
        <v>113</v>
      </c>
      <c r="B117" s="273" t="s">
        <v>0</v>
      </c>
      <c r="C117" s="305" t="s">
        <v>255</v>
      </c>
      <c r="D117" s="306" t="s">
        <v>181</v>
      </c>
      <c r="E117" s="473" t="s">
        <v>269</v>
      </c>
      <c r="F117" s="553" t="str">
        <f t="shared" si="15"/>
        <v>PREVCâmera fotográfica</v>
      </c>
      <c r="G117" s="611" t="s">
        <v>74</v>
      </c>
      <c r="H117" s="307" t="s">
        <v>247</v>
      </c>
      <c r="I117" s="321">
        <v>2.4000000000000004</v>
      </c>
      <c r="J117" s="321">
        <v>3</v>
      </c>
      <c r="K117" s="321">
        <v>3</v>
      </c>
      <c r="L117" s="321">
        <v>3</v>
      </c>
      <c r="M117" s="321">
        <v>3</v>
      </c>
      <c r="N117" s="321">
        <v>3</v>
      </c>
      <c r="O117" s="321">
        <v>3</v>
      </c>
      <c r="P117" s="321">
        <v>3</v>
      </c>
      <c r="Q117" s="321">
        <v>3</v>
      </c>
      <c r="R117" s="321">
        <v>3</v>
      </c>
      <c r="S117" s="321">
        <v>3</v>
      </c>
      <c r="T117" s="321">
        <v>3</v>
      </c>
      <c r="U117" s="321">
        <v>0.60000000000000009</v>
      </c>
      <c r="V117" s="308">
        <f t="shared" si="16"/>
        <v>36</v>
      </c>
      <c r="W117" s="308">
        <v>10.1</v>
      </c>
      <c r="X117" s="308">
        <f t="shared" si="17"/>
        <v>363.59999999999997</v>
      </c>
      <c r="Y117" s="322" t="s">
        <v>74</v>
      </c>
      <c r="Z117" s="575"/>
      <c r="AA117" s="567"/>
    </row>
    <row r="118" spans="1:30" s="318" customFormat="1" ht="15" customHeight="1" outlineLevel="1">
      <c r="A118" s="282">
        <v>114</v>
      </c>
      <c r="B118" s="282" t="s">
        <v>1</v>
      </c>
      <c r="C118" s="312" t="s">
        <v>255</v>
      </c>
      <c r="D118" s="313" t="s">
        <v>181</v>
      </c>
      <c r="E118" s="473" t="s">
        <v>269</v>
      </c>
      <c r="F118" s="553" t="str">
        <f t="shared" si="15"/>
        <v>REALCâmera fotográfica</v>
      </c>
      <c r="G118" s="609">
        <f>Y118</f>
        <v>0.31666666666666671</v>
      </c>
      <c r="H118" s="315" t="s">
        <v>247</v>
      </c>
      <c r="I118" s="323">
        <v>2.4</v>
      </c>
      <c r="J118" s="323">
        <v>3</v>
      </c>
      <c r="K118" s="323">
        <v>3</v>
      </c>
      <c r="L118" s="323">
        <v>3</v>
      </c>
      <c r="M118" s="323"/>
      <c r="N118" s="323"/>
      <c r="O118" s="323"/>
      <c r="P118" s="323"/>
      <c r="Q118" s="323"/>
      <c r="R118" s="323"/>
      <c r="S118" s="323"/>
      <c r="T118" s="323"/>
      <c r="U118" s="323"/>
      <c r="V118" s="316">
        <f t="shared" si="16"/>
        <v>11.4</v>
      </c>
      <c r="W118" s="316">
        <v>10.1</v>
      </c>
      <c r="X118" s="316">
        <f t="shared" si="17"/>
        <v>115.14</v>
      </c>
      <c r="Y118" s="322">
        <f>X118/X117</f>
        <v>0.31666666666666671</v>
      </c>
      <c r="Z118" s="572">
        <v>156</v>
      </c>
      <c r="AA118" s="567"/>
    </row>
    <row r="119" spans="1:30" s="311" customFormat="1" ht="15" customHeight="1">
      <c r="A119" s="273">
        <v>115</v>
      </c>
      <c r="B119" s="273" t="s">
        <v>0</v>
      </c>
      <c r="C119" s="351" t="s">
        <v>412</v>
      </c>
      <c r="D119" s="352"/>
      <c r="E119" s="353"/>
      <c r="F119" s="354"/>
      <c r="G119" s="615"/>
      <c r="H119" s="354"/>
      <c r="I119" s="356"/>
      <c r="J119" s="356"/>
      <c r="K119" s="356"/>
      <c r="L119" s="356"/>
      <c r="M119" s="356"/>
      <c r="N119" s="356"/>
      <c r="O119" s="356"/>
      <c r="P119" s="356"/>
      <c r="Q119" s="356"/>
      <c r="R119" s="356">
        <v>0</v>
      </c>
      <c r="S119" s="356"/>
      <c r="T119" s="356"/>
      <c r="U119" s="356">
        <v>0</v>
      </c>
      <c r="V119" s="357"/>
      <c r="W119" s="357"/>
      <c r="X119" s="358"/>
      <c r="Y119" s="322"/>
      <c r="Z119" s="575"/>
      <c r="AA119" s="567"/>
    </row>
    <row r="120" spans="1:30" s="318" customFormat="1" ht="15" customHeight="1">
      <c r="A120" s="282">
        <v>116</v>
      </c>
      <c r="B120" s="282" t="s">
        <v>1</v>
      </c>
      <c r="C120" s="359" t="s">
        <v>412</v>
      </c>
      <c r="D120" s="360"/>
      <c r="E120" s="361"/>
      <c r="F120" s="552"/>
      <c r="G120" s="616"/>
      <c r="H120" s="362"/>
      <c r="I120" s="364"/>
      <c r="J120" s="364"/>
      <c r="K120" s="364"/>
      <c r="L120" s="364"/>
      <c r="M120" s="364"/>
      <c r="N120" s="364"/>
      <c r="O120" s="364"/>
      <c r="P120" s="364"/>
      <c r="Q120" s="364"/>
      <c r="R120" s="364"/>
      <c r="S120" s="364"/>
      <c r="T120" s="364"/>
      <c r="U120" s="364"/>
      <c r="V120" s="365"/>
      <c r="W120" s="365"/>
      <c r="X120" s="366"/>
      <c r="Y120" s="322"/>
      <c r="Z120" s="576"/>
      <c r="AA120" s="567"/>
    </row>
    <row r="121" spans="1:30" s="281" customFormat="1" ht="15" customHeight="1">
      <c r="A121" s="273">
        <v>117</v>
      </c>
      <c r="B121" s="273" t="s">
        <v>0</v>
      </c>
      <c r="C121" s="274">
        <v>3</v>
      </c>
      <c r="D121" s="275" t="s">
        <v>413</v>
      </c>
      <c r="E121" s="276"/>
      <c r="F121" s="276"/>
      <c r="G121" s="617"/>
      <c r="H121" s="277"/>
      <c r="I121" s="394"/>
      <c r="J121" s="394"/>
      <c r="K121" s="394"/>
      <c r="L121" s="394"/>
      <c r="M121" s="394"/>
      <c r="N121" s="394"/>
      <c r="O121" s="394"/>
      <c r="P121" s="394"/>
      <c r="Q121" s="394"/>
      <c r="R121" s="394"/>
      <c r="S121" s="394"/>
      <c r="T121" s="394"/>
      <c r="U121" s="394"/>
      <c r="V121" s="278">
        <v>0</v>
      </c>
      <c r="W121" s="278">
        <v>0</v>
      </c>
      <c r="X121" s="279">
        <v>0</v>
      </c>
      <c r="Y121" s="280"/>
      <c r="Z121" s="566"/>
      <c r="AA121" s="567"/>
      <c r="AB121" s="311"/>
      <c r="AC121" s="311"/>
      <c r="AD121" s="311"/>
    </row>
    <row r="122" spans="1:30" s="288" customFormat="1" ht="15" customHeight="1">
      <c r="A122" s="282">
        <v>118</v>
      </c>
      <c r="B122" s="282" t="s">
        <v>1</v>
      </c>
      <c r="C122" s="283">
        <v>3</v>
      </c>
      <c r="D122" s="284" t="s">
        <v>413</v>
      </c>
      <c r="E122" s="367"/>
      <c r="F122" s="367"/>
      <c r="G122" s="618"/>
      <c r="H122" s="286"/>
      <c r="I122" s="398"/>
      <c r="J122" s="398"/>
      <c r="K122" s="398"/>
      <c r="L122" s="398"/>
      <c r="M122" s="398"/>
      <c r="N122" s="398"/>
      <c r="O122" s="398"/>
      <c r="P122" s="398"/>
      <c r="Q122" s="398"/>
      <c r="R122" s="398"/>
      <c r="S122" s="398"/>
      <c r="T122" s="398"/>
      <c r="U122" s="398"/>
      <c r="V122" s="368">
        <v>0</v>
      </c>
      <c r="W122" s="368">
        <v>0</v>
      </c>
      <c r="X122" s="369">
        <v>0</v>
      </c>
      <c r="Y122" s="280"/>
      <c r="Z122" s="577"/>
      <c r="AA122" s="567"/>
      <c r="AB122" s="318"/>
      <c r="AC122" s="318"/>
      <c r="AD122" s="318"/>
    </row>
    <row r="123" spans="1:30" s="296" customFormat="1" ht="15" customHeight="1">
      <c r="A123" s="273">
        <v>119</v>
      </c>
      <c r="B123" s="273" t="s">
        <v>0</v>
      </c>
      <c r="C123" s="289" t="s">
        <v>328</v>
      </c>
      <c r="D123" s="290" t="s">
        <v>339</v>
      </c>
      <c r="E123" s="291"/>
      <c r="F123" s="291"/>
      <c r="G123" s="610"/>
      <c r="H123" s="292"/>
      <c r="I123" s="396"/>
      <c r="J123" s="396"/>
      <c r="K123" s="396"/>
      <c r="L123" s="396"/>
      <c r="M123" s="396"/>
      <c r="N123" s="396"/>
      <c r="O123" s="396"/>
      <c r="P123" s="396"/>
      <c r="Q123" s="396"/>
      <c r="R123" s="396"/>
      <c r="S123" s="396"/>
      <c r="T123" s="396"/>
      <c r="U123" s="396"/>
      <c r="V123" s="319">
        <v>0</v>
      </c>
      <c r="W123" s="319">
        <v>0</v>
      </c>
      <c r="X123" s="370">
        <f>SUMIF(B125:B132,B123,X125:X132)</f>
        <v>2050876.3199999998</v>
      </c>
      <c r="Y123" s="295" t="s">
        <v>74</v>
      </c>
      <c r="Z123" s="578"/>
      <c r="AA123" s="567"/>
      <c r="AB123" s="311"/>
      <c r="AC123" s="311"/>
      <c r="AD123" s="311"/>
    </row>
    <row r="124" spans="1:30" s="304" customFormat="1" ht="15" customHeight="1">
      <c r="A124" s="282">
        <v>120</v>
      </c>
      <c r="B124" s="282" t="s">
        <v>1</v>
      </c>
      <c r="C124" s="297" t="s">
        <v>328</v>
      </c>
      <c r="D124" s="298" t="s">
        <v>339</v>
      </c>
      <c r="E124" s="320"/>
      <c r="F124" s="320"/>
      <c r="G124" s="612"/>
      <c r="H124" s="300"/>
      <c r="I124" s="397"/>
      <c r="J124" s="397"/>
      <c r="K124" s="397"/>
      <c r="L124" s="397"/>
      <c r="M124" s="397"/>
      <c r="N124" s="397"/>
      <c r="O124" s="397"/>
      <c r="P124" s="397"/>
      <c r="Q124" s="397"/>
      <c r="R124" s="397"/>
      <c r="S124" s="397"/>
      <c r="T124" s="397"/>
      <c r="U124" s="397"/>
      <c r="V124" s="302">
        <v>0</v>
      </c>
      <c r="W124" s="302">
        <v>0</v>
      </c>
      <c r="X124" s="303">
        <f>SUMIF(B125:B132,B124,X125:X132)</f>
        <v>637453.4580000001</v>
      </c>
      <c r="Y124" s="295">
        <f>X124/X123</f>
        <v>0.31082003911381656</v>
      </c>
      <c r="Z124" s="571"/>
      <c r="AA124" s="567"/>
      <c r="AB124" s="318"/>
      <c r="AC124" s="318"/>
      <c r="AD124" s="318"/>
    </row>
    <row r="125" spans="1:30" s="311" customFormat="1" ht="15" customHeight="1" outlineLevel="1">
      <c r="A125" s="273">
        <v>121</v>
      </c>
      <c r="B125" s="273" t="s">
        <v>0</v>
      </c>
      <c r="C125" s="305" t="s">
        <v>414</v>
      </c>
      <c r="D125" s="306" t="s">
        <v>343</v>
      </c>
      <c r="E125" s="473" t="s">
        <v>257</v>
      </c>
      <c r="F125" s="553" t="str">
        <f t="shared" ref="F125:F132" si="18">B125&amp;D125</f>
        <v>PREVVeículo ‐ caminhonete 4x4 cabine dupla</v>
      </c>
      <c r="G125" s="611" t="s">
        <v>74</v>
      </c>
      <c r="H125" s="307" t="s">
        <v>247</v>
      </c>
      <c r="I125" s="321">
        <v>4</v>
      </c>
      <c r="J125" s="321">
        <v>5</v>
      </c>
      <c r="K125" s="321">
        <v>5</v>
      </c>
      <c r="L125" s="321">
        <v>5</v>
      </c>
      <c r="M125" s="321">
        <v>5</v>
      </c>
      <c r="N125" s="321">
        <v>5</v>
      </c>
      <c r="O125" s="321">
        <v>5</v>
      </c>
      <c r="P125" s="321">
        <v>5</v>
      </c>
      <c r="Q125" s="321">
        <v>5</v>
      </c>
      <c r="R125" s="321">
        <v>5</v>
      </c>
      <c r="S125" s="321">
        <v>5</v>
      </c>
      <c r="T125" s="321">
        <v>5</v>
      </c>
      <c r="U125" s="321">
        <v>1</v>
      </c>
      <c r="V125" s="407">
        <f t="shared" ref="V125:V132" si="19">SUM(I125:U125)</f>
        <v>60</v>
      </c>
      <c r="W125" s="308">
        <v>7919.19</v>
      </c>
      <c r="X125" s="309">
        <f t="shared" ref="X125:X132" si="20">W125*V125</f>
        <v>475151.39999999997</v>
      </c>
      <c r="Y125" s="310" t="s">
        <v>74</v>
      </c>
      <c r="Z125" s="572"/>
      <c r="AA125" s="567"/>
      <c r="AB125" s="573"/>
    </row>
    <row r="126" spans="1:30" s="318" customFormat="1" ht="15" customHeight="1" outlineLevel="1">
      <c r="A126" s="282">
        <v>122</v>
      </c>
      <c r="B126" s="282" t="s">
        <v>1</v>
      </c>
      <c r="C126" s="312" t="s">
        <v>414</v>
      </c>
      <c r="D126" s="313" t="s">
        <v>343</v>
      </c>
      <c r="E126" s="473" t="s">
        <v>257</v>
      </c>
      <c r="F126" s="553" t="str">
        <f t="shared" si="18"/>
        <v>REALVeículo ‐ caminhonete 4x4 cabine dupla</v>
      </c>
      <c r="G126" s="609">
        <f>Y126</f>
        <v>0.31666666666666665</v>
      </c>
      <c r="H126" s="315" t="s">
        <v>247</v>
      </c>
      <c r="I126" s="323">
        <v>4</v>
      </c>
      <c r="J126" s="323">
        <v>5</v>
      </c>
      <c r="K126" s="323">
        <v>5</v>
      </c>
      <c r="L126" s="323">
        <v>5</v>
      </c>
      <c r="M126" s="323"/>
      <c r="N126" s="323"/>
      <c r="O126" s="323"/>
      <c r="P126" s="323"/>
      <c r="Q126" s="323"/>
      <c r="R126" s="323"/>
      <c r="S126" s="323"/>
      <c r="T126" s="323"/>
      <c r="U126" s="323"/>
      <c r="V126" s="316">
        <f t="shared" si="19"/>
        <v>19</v>
      </c>
      <c r="W126" s="316">
        <v>7919.19</v>
      </c>
      <c r="X126" s="317">
        <f t="shared" si="20"/>
        <v>150464.60999999999</v>
      </c>
      <c r="Y126" s="310">
        <f>X126/X125</f>
        <v>0.31666666666666665</v>
      </c>
      <c r="Z126" s="572">
        <v>84</v>
      </c>
      <c r="AA126" s="567">
        <f>V125/Z126</f>
        <v>0.7142857142857143</v>
      </c>
      <c r="AB126" s="574">
        <f>AA126*I126</f>
        <v>2.8571428571428572</v>
      </c>
    </row>
    <row r="127" spans="1:30" s="311" customFormat="1" ht="15" customHeight="1" outlineLevel="1">
      <c r="A127" s="273">
        <v>123</v>
      </c>
      <c r="B127" s="273" t="s">
        <v>0</v>
      </c>
      <c r="C127" s="305" t="s">
        <v>415</v>
      </c>
      <c r="D127" s="306" t="s">
        <v>345</v>
      </c>
      <c r="E127" s="473" t="s">
        <v>259</v>
      </c>
      <c r="F127" s="553" t="str">
        <f t="shared" si="18"/>
        <v>PREVVeículo ‐ pick up 4x4 (E8891) ‐ Operativo + Improdutivo</v>
      </c>
      <c r="G127" s="611" t="s">
        <v>74</v>
      </c>
      <c r="H127" s="307" t="s">
        <v>247</v>
      </c>
      <c r="I127" s="321">
        <v>4</v>
      </c>
      <c r="J127" s="321">
        <v>5</v>
      </c>
      <c r="K127" s="321">
        <v>5</v>
      </c>
      <c r="L127" s="321">
        <v>5</v>
      </c>
      <c r="M127" s="321">
        <v>5</v>
      </c>
      <c r="N127" s="321">
        <v>5</v>
      </c>
      <c r="O127" s="321">
        <v>5</v>
      </c>
      <c r="P127" s="321">
        <v>5</v>
      </c>
      <c r="Q127" s="321">
        <v>5</v>
      </c>
      <c r="R127" s="321">
        <v>5</v>
      </c>
      <c r="S127" s="321">
        <v>5</v>
      </c>
      <c r="T127" s="321">
        <v>5</v>
      </c>
      <c r="U127" s="321">
        <v>1</v>
      </c>
      <c r="V127" s="308">
        <f t="shared" si="19"/>
        <v>60</v>
      </c>
      <c r="W127" s="308">
        <v>7459.55</v>
      </c>
      <c r="X127" s="309">
        <f t="shared" si="20"/>
        <v>447573</v>
      </c>
      <c r="Y127" s="310" t="s">
        <v>74</v>
      </c>
      <c r="Z127" s="572"/>
      <c r="AA127" s="567"/>
      <c r="AB127" s="573"/>
    </row>
    <row r="128" spans="1:30" s="318" customFormat="1" ht="15" customHeight="1" outlineLevel="1">
      <c r="A128" s="282">
        <v>124</v>
      </c>
      <c r="B128" s="282" t="s">
        <v>1</v>
      </c>
      <c r="C128" s="312" t="s">
        <v>415</v>
      </c>
      <c r="D128" s="313" t="s">
        <v>345</v>
      </c>
      <c r="E128" s="473" t="s">
        <v>259</v>
      </c>
      <c r="F128" s="553" t="str">
        <f t="shared" si="18"/>
        <v>REALVeículo ‐ pick up 4x4 (E8891) ‐ Operativo + Improdutivo</v>
      </c>
      <c r="G128" s="609">
        <f>Y128</f>
        <v>0.31666666666666671</v>
      </c>
      <c r="H128" s="315" t="s">
        <v>247</v>
      </c>
      <c r="I128" s="323">
        <v>4</v>
      </c>
      <c r="J128" s="323">
        <v>5</v>
      </c>
      <c r="K128" s="323">
        <v>5</v>
      </c>
      <c r="L128" s="323">
        <v>5</v>
      </c>
      <c r="M128" s="323"/>
      <c r="N128" s="323"/>
      <c r="O128" s="323"/>
      <c r="P128" s="323"/>
      <c r="Q128" s="323"/>
      <c r="R128" s="323"/>
      <c r="S128" s="323"/>
      <c r="T128" s="323"/>
      <c r="U128" s="323"/>
      <c r="V128" s="316">
        <f t="shared" si="19"/>
        <v>19</v>
      </c>
      <c r="W128" s="316">
        <v>7459.55</v>
      </c>
      <c r="X128" s="317">
        <f t="shared" si="20"/>
        <v>141731.45000000001</v>
      </c>
      <c r="Y128" s="310">
        <f>X128/X127</f>
        <v>0.31666666666666671</v>
      </c>
      <c r="Z128" s="572">
        <v>108</v>
      </c>
      <c r="AA128" s="567">
        <f>V127/Z128</f>
        <v>0.55555555555555558</v>
      </c>
      <c r="AB128" s="574">
        <f>AA128*I128</f>
        <v>2.2222222222222223</v>
      </c>
    </row>
    <row r="129" spans="1:30" s="311" customFormat="1" ht="15" customHeight="1" outlineLevel="1">
      <c r="A129" s="273">
        <v>125</v>
      </c>
      <c r="B129" s="273" t="s">
        <v>0</v>
      </c>
      <c r="C129" s="305" t="s">
        <v>416</v>
      </c>
      <c r="D129" s="306" t="s">
        <v>347</v>
      </c>
      <c r="E129" s="473" t="s">
        <v>260</v>
      </c>
      <c r="F129" s="553" t="str">
        <f t="shared" si="18"/>
        <v>PREVVeículo ‐ sedan 1.6 flex ‐ 115CV (E8889) ‐ Operativo + Improdutivo</v>
      </c>
      <c r="G129" s="611" t="s">
        <v>74</v>
      </c>
      <c r="H129" s="307" t="s">
        <v>247</v>
      </c>
      <c r="I129" s="321">
        <v>5.6000000000000005</v>
      </c>
      <c r="J129" s="321">
        <v>7</v>
      </c>
      <c r="K129" s="321">
        <v>7</v>
      </c>
      <c r="L129" s="321">
        <v>7</v>
      </c>
      <c r="M129" s="321">
        <v>7</v>
      </c>
      <c r="N129" s="321">
        <v>7</v>
      </c>
      <c r="O129" s="321">
        <v>7</v>
      </c>
      <c r="P129" s="321">
        <v>7</v>
      </c>
      <c r="Q129" s="321">
        <v>7</v>
      </c>
      <c r="R129" s="321">
        <v>7</v>
      </c>
      <c r="S129" s="321">
        <v>7</v>
      </c>
      <c r="T129" s="321">
        <v>7</v>
      </c>
      <c r="U129" s="321">
        <v>1.4000000000000001</v>
      </c>
      <c r="V129" s="308">
        <f t="shared" si="19"/>
        <v>84</v>
      </c>
      <c r="W129" s="308">
        <v>3155.45</v>
      </c>
      <c r="X129" s="309">
        <f t="shared" si="20"/>
        <v>265057.8</v>
      </c>
      <c r="Y129" s="310" t="s">
        <v>74</v>
      </c>
      <c r="Z129" s="572"/>
      <c r="AA129" s="567"/>
      <c r="AB129" s="573"/>
    </row>
    <row r="130" spans="1:30" s="318" customFormat="1" ht="15" customHeight="1" outlineLevel="1">
      <c r="A130" s="282">
        <v>126</v>
      </c>
      <c r="B130" s="282" t="s">
        <v>1</v>
      </c>
      <c r="C130" s="312" t="s">
        <v>416</v>
      </c>
      <c r="D130" s="313" t="s">
        <v>347</v>
      </c>
      <c r="E130" s="473" t="s">
        <v>260</v>
      </c>
      <c r="F130" s="553" t="str">
        <f t="shared" si="18"/>
        <v>REALVeículo ‐ sedan 1.6 flex ‐ 115CV (E8889) ‐ Operativo + Improdutivo</v>
      </c>
      <c r="G130" s="609">
        <f>Y130</f>
        <v>0.27142857142857141</v>
      </c>
      <c r="H130" s="315" t="s">
        <v>247</v>
      </c>
      <c r="I130" s="323">
        <v>4.8</v>
      </c>
      <c r="J130" s="323">
        <v>6</v>
      </c>
      <c r="K130" s="323">
        <v>7</v>
      </c>
      <c r="L130" s="323">
        <v>5</v>
      </c>
      <c r="M130" s="323"/>
      <c r="N130" s="323"/>
      <c r="O130" s="323"/>
      <c r="P130" s="323"/>
      <c r="Q130" s="323"/>
      <c r="R130" s="323"/>
      <c r="S130" s="323"/>
      <c r="T130" s="323"/>
      <c r="U130" s="323"/>
      <c r="V130" s="316">
        <f t="shared" si="19"/>
        <v>22.8</v>
      </c>
      <c r="W130" s="316">
        <v>3155.45</v>
      </c>
      <c r="X130" s="317">
        <f t="shared" si="20"/>
        <v>71944.259999999995</v>
      </c>
      <c r="Y130" s="310">
        <f>X130/X129</f>
        <v>0.27142857142857141</v>
      </c>
      <c r="Z130" s="572">
        <v>180</v>
      </c>
      <c r="AA130" s="567">
        <f>V129/Z130</f>
        <v>0.46666666666666667</v>
      </c>
      <c r="AB130" s="574"/>
    </row>
    <row r="131" spans="1:30" s="311" customFormat="1" ht="15" customHeight="1" outlineLevel="1">
      <c r="A131" s="273">
        <v>127</v>
      </c>
      <c r="B131" s="273" t="s">
        <v>0</v>
      </c>
      <c r="C131" s="305" t="s">
        <v>417</v>
      </c>
      <c r="D131" s="306" t="s">
        <v>418</v>
      </c>
      <c r="E131" s="307" t="s">
        <v>261</v>
      </c>
      <c r="F131" s="553" t="str">
        <f t="shared" si="18"/>
        <v>PREVVeículo ‐ van com motorista tipo furgão (E8887) ‐ Operativo + Improdutivo</v>
      </c>
      <c r="G131" s="611" t="s">
        <v>74</v>
      </c>
      <c r="H131" s="307" t="s">
        <v>247</v>
      </c>
      <c r="I131" s="321">
        <v>5.6000000000000005</v>
      </c>
      <c r="J131" s="321">
        <v>7</v>
      </c>
      <c r="K131" s="321">
        <v>7</v>
      </c>
      <c r="L131" s="321">
        <v>7</v>
      </c>
      <c r="M131" s="321">
        <v>7</v>
      </c>
      <c r="N131" s="321">
        <v>7</v>
      </c>
      <c r="O131" s="321">
        <v>7</v>
      </c>
      <c r="P131" s="321">
        <v>7</v>
      </c>
      <c r="Q131" s="321">
        <v>7</v>
      </c>
      <c r="R131" s="321">
        <v>7</v>
      </c>
      <c r="S131" s="321">
        <v>7</v>
      </c>
      <c r="T131" s="321">
        <v>7</v>
      </c>
      <c r="U131" s="321">
        <v>1.4000000000000001</v>
      </c>
      <c r="V131" s="308">
        <f t="shared" si="19"/>
        <v>84</v>
      </c>
      <c r="W131" s="308">
        <v>10274.93</v>
      </c>
      <c r="X131" s="309">
        <f t="shared" si="20"/>
        <v>863094.12</v>
      </c>
      <c r="Y131" s="310" t="s">
        <v>74</v>
      </c>
      <c r="Z131" s="572"/>
      <c r="AA131" s="567"/>
      <c r="AB131" s="573"/>
    </row>
    <row r="132" spans="1:30" s="318" customFormat="1" ht="15" customHeight="1" outlineLevel="1">
      <c r="A132" s="282">
        <v>128</v>
      </c>
      <c r="B132" s="282" t="s">
        <v>1</v>
      </c>
      <c r="C132" s="312" t="s">
        <v>417</v>
      </c>
      <c r="D132" s="313" t="s">
        <v>418</v>
      </c>
      <c r="E132" s="314" t="s">
        <v>261</v>
      </c>
      <c r="F132" s="553" t="str">
        <f t="shared" si="18"/>
        <v>REALVeículo ‐ van com motorista tipo furgão (E8887) ‐ Operativo + Improdutivo</v>
      </c>
      <c r="G132" s="609">
        <f>Y132</f>
        <v>0.31666666666666671</v>
      </c>
      <c r="H132" s="315" t="s">
        <v>247</v>
      </c>
      <c r="I132" s="323">
        <v>5.6000000000000005</v>
      </c>
      <c r="J132" s="323">
        <v>7</v>
      </c>
      <c r="K132" s="323">
        <v>7</v>
      </c>
      <c r="L132" s="323">
        <v>7</v>
      </c>
      <c r="M132" s="323"/>
      <c r="N132" s="323"/>
      <c r="O132" s="323"/>
      <c r="P132" s="323"/>
      <c r="Q132" s="323"/>
      <c r="R132" s="323"/>
      <c r="S132" s="323"/>
      <c r="T132" s="323"/>
      <c r="U132" s="323"/>
      <c r="V132" s="316">
        <f t="shared" si="19"/>
        <v>26.6</v>
      </c>
      <c r="W132" s="316">
        <v>10274.93</v>
      </c>
      <c r="X132" s="317">
        <f t="shared" si="20"/>
        <v>273313.13800000004</v>
      </c>
      <c r="Y132" s="310">
        <f>X132/X131</f>
        <v>0.31666666666666671</v>
      </c>
      <c r="Z132" s="572"/>
      <c r="AA132" s="567"/>
      <c r="AB132" s="574"/>
    </row>
    <row r="133" spans="1:30" s="296" customFormat="1" ht="15" customHeight="1">
      <c r="A133" s="273">
        <v>129</v>
      </c>
      <c r="B133" s="273" t="s">
        <v>0</v>
      </c>
      <c r="C133" s="289" t="s">
        <v>419</v>
      </c>
      <c r="D133" s="371" t="s">
        <v>263</v>
      </c>
      <c r="E133" s="291" t="s">
        <v>19</v>
      </c>
      <c r="F133" s="291"/>
      <c r="G133" s="610"/>
      <c r="H133" s="292"/>
      <c r="I133" s="396"/>
      <c r="J133" s="396"/>
      <c r="K133" s="396"/>
      <c r="L133" s="396"/>
      <c r="M133" s="396"/>
      <c r="N133" s="396"/>
      <c r="O133" s="396"/>
      <c r="P133" s="396"/>
      <c r="Q133" s="396"/>
      <c r="R133" s="396"/>
      <c r="S133" s="396"/>
      <c r="T133" s="396"/>
      <c r="U133" s="396"/>
      <c r="V133" s="319">
        <v>0</v>
      </c>
      <c r="W133" s="319">
        <v>0</v>
      </c>
      <c r="X133" s="370">
        <f>SUMIF(B135:B142,B133,X135:X142)</f>
        <v>49479.72</v>
      </c>
      <c r="Y133" s="295" t="s">
        <v>74</v>
      </c>
      <c r="Z133" s="578"/>
      <c r="AA133" s="567"/>
      <c r="AB133" s="311"/>
      <c r="AC133" s="311"/>
      <c r="AD133" s="311"/>
    </row>
    <row r="134" spans="1:30" s="304" customFormat="1" ht="15" customHeight="1">
      <c r="A134" s="282">
        <v>130</v>
      </c>
      <c r="B134" s="282" t="s">
        <v>1</v>
      </c>
      <c r="C134" s="297" t="s">
        <v>419</v>
      </c>
      <c r="D134" s="372" t="s">
        <v>263</v>
      </c>
      <c r="E134" s="320" t="s">
        <v>19</v>
      </c>
      <c r="F134" s="320"/>
      <c r="G134" s="612"/>
      <c r="H134" s="300"/>
      <c r="I134" s="397"/>
      <c r="J134" s="397"/>
      <c r="K134" s="397"/>
      <c r="L134" s="397"/>
      <c r="M134" s="397"/>
      <c r="N134" s="397"/>
      <c r="O134" s="397"/>
      <c r="P134" s="397"/>
      <c r="Q134" s="397"/>
      <c r="R134" s="397"/>
      <c r="S134" s="397"/>
      <c r="T134" s="397"/>
      <c r="U134" s="397"/>
      <c r="V134" s="302">
        <v>0</v>
      </c>
      <c r="W134" s="302">
        <v>0</v>
      </c>
      <c r="X134" s="303">
        <f>SUMIF(B135:B142,B134,X135:X142)</f>
        <v>15856.726000000001</v>
      </c>
      <c r="Y134" s="295">
        <f>X134/X133</f>
        <v>0.32046919424766351</v>
      </c>
      <c r="Z134" s="571"/>
      <c r="AA134" s="567"/>
      <c r="AB134" s="318"/>
      <c r="AC134" s="318"/>
      <c r="AD134" s="318"/>
    </row>
    <row r="135" spans="1:30" s="311" customFormat="1" ht="15" customHeight="1" outlineLevel="1">
      <c r="A135" s="273">
        <v>131</v>
      </c>
      <c r="B135" s="273" t="s">
        <v>0</v>
      </c>
      <c r="C135" s="305" t="s">
        <v>420</v>
      </c>
      <c r="D135" s="306" t="s">
        <v>411</v>
      </c>
      <c r="E135" s="473" t="s">
        <v>246</v>
      </c>
      <c r="F135" s="553" t="str">
        <f t="shared" ref="F135:F142" si="21">B135&amp;D135</f>
        <v>PREVAluguel Notebook ‐ com software ‐ tipo 2 (i7, HD 1Tb, Memória RAM 8Gb, Tela 15,6" + Sist. Operacional Windows 10)</v>
      </c>
      <c r="G135" s="611" t="s">
        <v>74</v>
      </c>
      <c r="H135" s="307" t="s">
        <v>247</v>
      </c>
      <c r="I135" s="321">
        <v>11.200000000000001</v>
      </c>
      <c r="J135" s="321">
        <v>14</v>
      </c>
      <c r="K135" s="321">
        <v>14</v>
      </c>
      <c r="L135" s="321">
        <v>14</v>
      </c>
      <c r="M135" s="321">
        <v>14</v>
      </c>
      <c r="N135" s="321">
        <v>14</v>
      </c>
      <c r="O135" s="321">
        <v>14</v>
      </c>
      <c r="P135" s="321">
        <v>14</v>
      </c>
      <c r="Q135" s="321">
        <v>14</v>
      </c>
      <c r="R135" s="321">
        <v>14</v>
      </c>
      <c r="S135" s="321">
        <v>14</v>
      </c>
      <c r="T135" s="321">
        <v>14</v>
      </c>
      <c r="U135" s="321">
        <v>2.8000000000000003</v>
      </c>
      <c r="V135" s="308">
        <f t="shared" ref="V135:V142" si="22">SUM(I135:U135)</f>
        <v>168</v>
      </c>
      <c r="W135" s="308">
        <v>247.15</v>
      </c>
      <c r="X135" s="308">
        <f t="shared" ref="X135:X142" si="23">W135*V135</f>
        <v>41521.200000000004</v>
      </c>
      <c r="Y135" s="322" t="s">
        <v>74</v>
      </c>
      <c r="Z135" s="575"/>
      <c r="AA135" s="567"/>
    </row>
    <row r="136" spans="1:30" s="318" customFormat="1" ht="15" customHeight="1" outlineLevel="1">
      <c r="A136" s="282">
        <v>132</v>
      </c>
      <c r="B136" s="282" t="s">
        <v>1</v>
      </c>
      <c r="C136" s="312" t="s">
        <v>420</v>
      </c>
      <c r="D136" s="313" t="s">
        <v>411</v>
      </c>
      <c r="E136" s="473" t="s">
        <v>246</v>
      </c>
      <c r="F136" s="553" t="str">
        <f t="shared" si="21"/>
        <v>REALAluguel Notebook ‐ com software ‐ tipo 2 (i7, HD 1Tb, Memória RAM 8Gb, Tela 15,6" + Sist. Operacional Windows 10)</v>
      </c>
      <c r="G136" s="609">
        <f>Y136</f>
        <v>0.31666666666666665</v>
      </c>
      <c r="H136" s="315" t="s">
        <v>247</v>
      </c>
      <c r="I136" s="323">
        <v>11.2</v>
      </c>
      <c r="J136" s="323">
        <v>14</v>
      </c>
      <c r="K136" s="323">
        <v>14</v>
      </c>
      <c r="L136" s="323">
        <v>14</v>
      </c>
      <c r="M136" s="323"/>
      <c r="N136" s="323"/>
      <c r="O136" s="323"/>
      <c r="P136" s="323"/>
      <c r="Q136" s="323"/>
      <c r="R136" s="323"/>
      <c r="S136" s="323"/>
      <c r="T136" s="323"/>
      <c r="U136" s="323"/>
      <c r="V136" s="316">
        <f t="shared" si="22"/>
        <v>53.2</v>
      </c>
      <c r="W136" s="316">
        <v>247.15</v>
      </c>
      <c r="X136" s="316">
        <f t="shared" si="23"/>
        <v>13148.380000000001</v>
      </c>
      <c r="Y136" s="322">
        <f>X136/X135</f>
        <v>0.31666666666666665</v>
      </c>
      <c r="Z136" s="572">
        <v>396</v>
      </c>
      <c r="AA136" s="567"/>
    </row>
    <row r="137" spans="1:30" s="311" customFormat="1" ht="15" customHeight="1" outlineLevel="1">
      <c r="A137" s="273">
        <v>133</v>
      </c>
      <c r="B137" s="273" t="s">
        <v>0</v>
      </c>
      <c r="C137" s="305" t="s">
        <v>421</v>
      </c>
      <c r="D137" s="306" t="s">
        <v>154</v>
      </c>
      <c r="E137" s="473" t="s">
        <v>250</v>
      </c>
      <c r="F137" s="553" t="str">
        <f t="shared" si="21"/>
        <v>PREVAluguel de Impressora A3</v>
      </c>
      <c r="G137" s="611" t="s">
        <v>74</v>
      </c>
      <c r="H137" s="307" t="s">
        <v>247</v>
      </c>
      <c r="I137" s="321">
        <v>0.8</v>
      </c>
      <c r="J137" s="321">
        <v>1</v>
      </c>
      <c r="K137" s="321">
        <v>1</v>
      </c>
      <c r="L137" s="321">
        <v>1</v>
      </c>
      <c r="M137" s="321">
        <v>1</v>
      </c>
      <c r="N137" s="321">
        <v>1</v>
      </c>
      <c r="O137" s="321">
        <v>1</v>
      </c>
      <c r="P137" s="321">
        <v>1</v>
      </c>
      <c r="Q137" s="321">
        <v>1</v>
      </c>
      <c r="R137" s="321">
        <v>1</v>
      </c>
      <c r="S137" s="321">
        <v>1</v>
      </c>
      <c r="T137" s="321">
        <v>1</v>
      </c>
      <c r="U137" s="321">
        <v>0.2</v>
      </c>
      <c r="V137" s="308">
        <f t="shared" si="22"/>
        <v>12</v>
      </c>
      <c r="W137" s="308">
        <v>177.77</v>
      </c>
      <c r="X137" s="308">
        <f t="shared" si="23"/>
        <v>2133.2400000000002</v>
      </c>
      <c r="Y137" s="322" t="s">
        <v>74</v>
      </c>
      <c r="Z137" s="575"/>
      <c r="AA137" s="567"/>
    </row>
    <row r="138" spans="1:30" s="318" customFormat="1" ht="15" customHeight="1" outlineLevel="1">
      <c r="A138" s="282">
        <v>134</v>
      </c>
      <c r="B138" s="282" t="s">
        <v>1</v>
      </c>
      <c r="C138" s="312" t="s">
        <v>421</v>
      </c>
      <c r="D138" s="313" t="s">
        <v>154</v>
      </c>
      <c r="E138" s="473" t="s">
        <v>250</v>
      </c>
      <c r="F138" s="553" t="str">
        <f t="shared" si="21"/>
        <v>REALAluguel de Impressora A3</v>
      </c>
      <c r="G138" s="609">
        <f>Y138</f>
        <v>0.3166666666666666</v>
      </c>
      <c r="H138" s="315" t="s">
        <v>247</v>
      </c>
      <c r="I138" s="323">
        <v>0.8</v>
      </c>
      <c r="J138" s="323">
        <v>1</v>
      </c>
      <c r="K138" s="323">
        <v>1</v>
      </c>
      <c r="L138" s="323">
        <v>1</v>
      </c>
      <c r="M138" s="323"/>
      <c r="N138" s="323"/>
      <c r="O138" s="323"/>
      <c r="P138" s="323"/>
      <c r="Q138" s="323"/>
      <c r="R138" s="323"/>
      <c r="S138" s="323"/>
      <c r="T138" s="323"/>
      <c r="U138" s="323"/>
      <c r="V138" s="316">
        <f t="shared" si="22"/>
        <v>3.8</v>
      </c>
      <c r="W138" s="316">
        <v>177.77</v>
      </c>
      <c r="X138" s="316">
        <f t="shared" si="23"/>
        <v>675.52599999999995</v>
      </c>
      <c r="Y138" s="322">
        <f>X138/X137</f>
        <v>0.3166666666666666</v>
      </c>
      <c r="Z138" s="572">
        <v>36</v>
      </c>
      <c r="AA138" s="567"/>
    </row>
    <row r="139" spans="1:30" s="311" customFormat="1" ht="15" customHeight="1" outlineLevel="1">
      <c r="A139" s="273">
        <v>135</v>
      </c>
      <c r="B139" s="273" t="s">
        <v>0</v>
      </c>
      <c r="C139" s="305" t="s">
        <v>422</v>
      </c>
      <c r="D139" s="306" t="s">
        <v>178</v>
      </c>
      <c r="E139" s="473" t="s">
        <v>268</v>
      </c>
      <c r="F139" s="553" t="str">
        <f t="shared" si="21"/>
        <v>PREVGPS de Navegação</v>
      </c>
      <c r="G139" s="611" t="s">
        <v>74</v>
      </c>
      <c r="H139" s="307" t="s">
        <v>247</v>
      </c>
      <c r="I139" s="321">
        <v>6.4</v>
      </c>
      <c r="J139" s="321">
        <v>8</v>
      </c>
      <c r="K139" s="321">
        <v>8</v>
      </c>
      <c r="L139" s="321">
        <v>8</v>
      </c>
      <c r="M139" s="321">
        <v>8</v>
      </c>
      <c r="N139" s="321">
        <v>8</v>
      </c>
      <c r="O139" s="321">
        <v>8</v>
      </c>
      <c r="P139" s="321">
        <v>8</v>
      </c>
      <c r="Q139" s="321">
        <v>8</v>
      </c>
      <c r="R139" s="321">
        <v>8</v>
      </c>
      <c r="S139" s="321">
        <v>8</v>
      </c>
      <c r="T139" s="321">
        <v>8</v>
      </c>
      <c r="U139" s="321">
        <v>1.6</v>
      </c>
      <c r="V139" s="308">
        <f t="shared" si="22"/>
        <v>96</v>
      </c>
      <c r="W139" s="308">
        <v>50.58</v>
      </c>
      <c r="X139" s="308">
        <f t="shared" si="23"/>
        <v>4855.68</v>
      </c>
      <c r="Y139" s="322" t="s">
        <v>74</v>
      </c>
      <c r="Z139" s="575"/>
      <c r="AA139" s="567"/>
    </row>
    <row r="140" spans="1:30" s="318" customFormat="1" ht="15" customHeight="1" outlineLevel="1">
      <c r="A140" s="282">
        <v>136</v>
      </c>
      <c r="B140" s="282" t="s">
        <v>1</v>
      </c>
      <c r="C140" s="312" t="s">
        <v>422</v>
      </c>
      <c r="D140" s="313" t="s">
        <v>178</v>
      </c>
      <c r="E140" s="473" t="s">
        <v>268</v>
      </c>
      <c r="F140" s="553" t="str">
        <f t="shared" si="21"/>
        <v>REALGPS de Navegação</v>
      </c>
      <c r="G140" s="609">
        <f>Y140</f>
        <v>0.35416666666666663</v>
      </c>
      <c r="H140" s="315" t="s">
        <v>247</v>
      </c>
      <c r="I140" s="323">
        <v>8</v>
      </c>
      <c r="J140" s="323">
        <v>6</v>
      </c>
      <c r="K140" s="323">
        <v>10</v>
      </c>
      <c r="L140" s="323">
        <v>10</v>
      </c>
      <c r="M140" s="323"/>
      <c r="N140" s="323"/>
      <c r="O140" s="323"/>
      <c r="P140" s="323"/>
      <c r="Q140" s="323"/>
      <c r="R140" s="323"/>
      <c r="S140" s="323"/>
      <c r="T140" s="323"/>
      <c r="U140" s="323"/>
      <c r="V140" s="316">
        <f t="shared" si="22"/>
        <v>34</v>
      </c>
      <c r="W140" s="316">
        <v>50.58</v>
      </c>
      <c r="X140" s="316">
        <f t="shared" si="23"/>
        <v>1719.72</v>
      </c>
      <c r="Y140" s="322">
        <f>X140/X139</f>
        <v>0.35416666666666663</v>
      </c>
      <c r="Z140" s="572">
        <v>144</v>
      </c>
      <c r="AA140" s="567"/>
    </row>
    <row r="141" spans="1:30" s="311" customFormat="1" ht="15" customHeight="1" outlineLevel="1">
      <c r="A141" s="273">
        <v>137</v>
      </c>
      <c r="B141" s="273" t="s">
        <v>0</v>
      </c>
      <c r="C141" s="305" t="s">
        <v>423</v>
      </c>
      <c r="D141" s="306" t="s">
        <v>181</v>
      </c>
      <c r="E141" s="473" t="s">
        <v>269</v>
      </c>
      <c r="F141" s="553" t="str">
        <f t="shared" si="21"/>
        <v>PREVCâmera fotográfica</v>
      </c>
      <c r="G141" s="611" t="s">
        <v>74</v>
      </c>
      <c r="H141" s="307" t="s">
        <v>247</v>
      </c>
      <c r="I141" s="321">
        <v>6.4</v>
      </c>
      <c r="J141" s="321">
        <v>8</v>
      </c>
      <c r="K141" s="321">
        <v>8</v>
      </c>
      <c r="L141" s="321">
        <v>8</v>
      </c>
      <c r="M141" s="321">
        <v>8</v>
      </c>
      <c r="N141" s="321">
        <v>8</v>
      </c>
      <c r="O141" s="321">
        <v>8</v>
      </c>
      <c r="P141" s="321">
        <v>8</v>
      </c>
      <c r="Q141" s="321">
        <v>8</v>
      </c>
      <c r="R141" s="321">
        <v>8</v>
      </c>
      <c r="S141" s="321">
        <v>8</v>
      </c>
      <c r="T141" s="321">
        <v>8</v>
      </c>
      <c r="U141" s="321">
        <v>1.6</v>
      </c>
      <c r="V141" s="308">
        <f t="shared" si="22"/>
        <v>96</v>
      </c>
      <c r="W141" s="308">
        <v>10.1</v>
      </c>
      <c r="X141" s="308">
        <f t="shared" si="23"/>
        <v>969.59999999999991</v>
      </c>
      <c r="Y141" s="322" t="s">
        <v>74</v>
      </c>
      <c r="Z141" s="575"/>
      <c r="AA141" s="567"/>
    </row>
    <row r="142" spans="1:30" s="318" customFormat="1" ht="15" customHeight="1" outlineLevel="1">
      <c r="A142" s="282">
        <v>138</v>
      </c>
      <c r="B142" s="282" t="s">
        <v>1</v>
      </c>
      <c r="C142" s="312" t="s">
        <v>423</v>
      </c>
      <c r="D142" s="313" t="s">
        <v>181</v>
      </c>
      <c r="E142" s="473" t="s">
        <v>269</v>
      </c>
      <c r="F142" s="553" t="str">
        <f t="shared" si="21"/>
        <v>REALCâmera fotográfica</v>
      </c>
      <c r="G142" s="609">
        <f>Y142</f>
        <v>0.32291666666666669</v>
      </c>
      <c r="H142" s="315" t="s">
        <v>247</v>
      </c>
      <c r="I142" s="323">
        <v>4</v>
      </c>
      <c r="J142" s="323">
        <v>5</v>
      </c>
      <c r="K142" s="323">
        <v>11</v>
      </c>
      <c r="L142" s="323">
        <v>11</v>
      </c>
      <c r="M142" s="323"/>
      <c r="N142" s="323"/>
      <c r="O142" s="323"/>
      <c r="P142" s="323"/>
      <c r="Q142" s="323"/>
      <c r="R142" s="323"/>
      <c r="S142" s="323"/>
      <c r="T142" s="323"/>
      <c r="U142" s="323"/>
      <c r="V142" s="316">
        <f t="shared" si="22"/>
        <v>31</v>
      </c>
      <c r="W142" s="316">
        <v>10.1</v>
      </c>
      <c r="X142" s="316">
        <f t="shared" si="23"/>
        <v>313.09999999999997</v>
      </c>
      <c r="Y142" s="322">
        <f>X142/X141</f>
        <v>0.32291666666666669</v>
      </c>
      <c r="Z142" s="572">
        <v>156</v>
      </c>
      <c r="AA142" s="567"/>
    </row>
    <row r="143" spans="1:30" s="311" customFormat="1" ht="15" customHeight="1">
      <c r="A143" s="273">
        <v>139</v>
      </c>
      <c r="B143" s="273" t="s">
        <v>0</v>
      </c>
      <c r="C143" s="289" t="s">
        <v>424</v>
      </c>
      <c r="D143" s="290" t="s">
        <v>425</v>
      </c>
      <c r="E143" s="291"/>
      <c r="F143" s="291"/>
      <c r="G143" s="610"/>
      <c r="H143" s="292"/>
      <c r="I143" s="396"/>
      <c r="J143" s="396"/>
      <c r="K143" s="396"/>
      <c r="L143" s="396"/>
      <c r="M143" s="396"/>
      <c r="N143" s="396"/>
      <c r="O143" s="396"/>
      <c r="P143" s="396"/>
      <c r="Q143" s="396"/>
      <c r="R143" s="396"/>
      <c r="S143" s="396"/>
      <c r="T143" s="396"/>
      <c r="U143" s="396"/>
      <c r="V143" s="319">
        <v>0</v>
      </c>
      <c r="W143" s="319">
        <v>0</v>
      </c>
      <c r="X143" s="370">
        <f>SUMIF(B145:B156,B143,X145:X156)</f>
        <v>70204</v>
      </c>
      <c r="Y143" s="295" t="s">
        <v>74</v>
      </c>
      <c r="Z143" s="578"/>
      <c r="AA143" s="567"/>
    </row>
    <row r="144" spans="1:30" s="318" customFormat="1" ht="15" customHeight="1">
      <c r="A144" s="282">
        <v>140</v>
      </c>
      <c r="B144" s="282" t="s">
        <v>1</v>
      </c>
      <c r="C144" s="297" t="s">
        <v>424</v>
      </c>
      <c r="D144" s="298" t="s">
        <v>425</v>
      </c>
      <c r="E144" s="320"/>
      <c r="F144" s="320"/>
      <c r="G144" s="612"/>
      <c r="H144" s="300"/>
      <c r="I144" s="397"/>
      <c r="J144" s="397"/>
      <c r="K144" s="397"/>
      <c r="L144" s="397"/>
      <c r="M144" s="397"/>
      <c r="N144" s="397"/>
      <c r="O144" s="397"/>
      <c r="P144" s="397"/>
      <c r="Q144" s="397"/>
      <c r="R144" s="397"/>
      <c r="S144" s="397"/>
      <c r="T144" s="397"/>
      <c r="U144" s="397"/>
      <c r="V144" s="302">
        <v>0</v>
      </c>
      <c r="W144" s="302">
        <v>0</v>
      </c>
      <c r="X144" s="303">
        <f>SUMIF(B145:B156,B144,X145:X157)</f>
        <v>22231.266666666663</v>
      </c>
      <c r="Y144" s="295">
        <f>X144/X143</f>
        <v>0.3166666666666666</v>
      </c>
      <c r="Z144" s="571"/>
      <c r="AA144" s="567"/>
    </row>
    <row r="145" spans="1:27" s="311" customFormat="1" ht="15" customHeight="1" outlineLevel="1">
      <c r="A145" s="273">
        <v>141</v>
      </c>
      <c r="B145" s="273" t="s">
        <v>0</v>
      </c>
      <c r="C145" s="305" t="s">
        <v>426</v>
      </c>
      <c r="D145" s="306" t="s">
        <v>244</v>
      </c>
      <c r="E145" s="307" t="s">
        <v>320</v>
      </c>
      <c r="F145" s="553" t="str">
        <f t="shared" ref="F145:F156" si="24">B145&amp;D145</f>
        <v>PREVLocação de Container 2,30x6,00m, alt.2,50m, s/div. int e s/sanitários</v>
      </c>
      <c r="G145" s="611" t="s">
        <v>74</v>
      </c>
      <c r="H145" s="307" t="s">
        <v>274</v>
      </c>
      <c r="I145" s="321">
        <v>1.6</v>
      </c>
      <c r="J145" s="321">
        <v>2</v>
      </c>
      <c r="K145" s="321">
        <v>2</v>
      </c>
      <c r="L145" s="321">
        <v>2</v>
      </c>
      <c r="M145" s="321">
        <v>2</v>
      </c>
      <c r="N145" s="321">
        <v>2</v>
      </c>
      <c r="O145" s="321">
        <v>2</v>
      </c>
      <c r="P145" s="321">
        <v>2</v>
      </c>
      <c r="Q145" s="321">
        <v>2</v>
      </c>
      <c r="R145" s="321">
        <v>2</v>
      </c>
      <c r="S145" s="321">
        <v>2</v>
      </c>
      <c r="T145" s="321">
        <v>2</v>
      </c>
      <c r="U145" s="321">
        <v>0.4</v>
      </c>
      <c r="V145" s="308">
        <f t="shared" ref="V145:V156" si="25">SUM(I145:U145)</f>
        <v>24</v>
      </c>
      <c r="W145" s="308">
        <v>603.22</v>
      </c>
      <c r="X145" s="309">
        <f t="shared" ref="X145:X156" si="26">W145*V145</f>
        <v>14477.28</v>
      </c>
      <c r="Y145" s="310" t="s">
        <v>74</v>
      </c>
      <c r="Z145" s="575"/>
      <c r="AA145" s="567"/>
    </row>
    <row r="146" spans="1:27" s="318" customFormat="1" ht="15" customHeight="1" outlineLevel="1">
      <c r="A146" s="282">
        <v>142</v>
      </c>
      <c r="B146" s="282" t="s">
        <v>1</v>
      </c>
      <c r="C146" s="312" t="s">
        <v>426</v>
      </c>
      <c r="D146" s="313" t="s">
        <v>244</v>
      </c>
      <c r="E146" s="314" t="s">
        <v>320</v>
      </c>
      <c r="F146" s="553" t="str">
        <f t="shared" si="24"/>
        <v>REALLocação de Container 2,30x6,00m, alt.2,50m, s/div. int e s/sanitários</v>
      </c>
      <c r="G146" s="609">
        <f>Y146</f>
        <v>0.31666666666666665</v>
      </c>
      <c r="H146" s="315" t="s">
        <v>274</v>
      </c>
      <c r="I146" s="323">
        <v>1.6</v>
      </c>
      <c r="J146" s="323">
        <v>2</v>
      </c>
      <c r="K146" s="323">
        <v>2</v>
      </c>
      <c r="L146" s="323">
        <v>2</v>
      </c>
      <c r="M146" s="323"/>
      <c r="N146" s="323"/>
      <c r="O146" s="323"/>
      <c r="P146" s="323"/>
      <c r="Q146" s="323"/>
      <c r="R146" s="323"/>
      <c r="S146" s="323"/>
      <c r="T146" s="323"/>
      <c r="U146" s="323"/>
      <c r="V146" s="316">
        <f t="shared" si="25"/>
        <v>7.6</v>
      </c>
      <c r="W146" s="316">
        <v>603.22</v>
      </c>
      <c r="X146" s="317">
        <f t="shared" si="26"/>
        <v>4584.4719999999998</v>
      </c>
      <c r="Y146" s="310">
        <f>X146/X145</f>
        <v>0.31666666666666665</v>
      </c>
      <c r="Z146" s="575"/>
      <c r="AA146" s="567"/>
    </row>
    <row r="147" spans="1:27" s="311" customFormat="1" ht="15" customHeight="1" outlineLevel="1">
      <c r="A147" s="273">
        <v>143</v>
      </c>
      <c r="B147" s="273" t="s">
        <v>0</v>
      </c>
      <c r="C147" s="373" t="s">
        <v>427</v>
      </c>
      <c r="D147" s="343" t="s">
        <v>428</v>
      </c>
      <c r="E147" s="344" t="s">
        <v>321</v>
      </c>
      <c r="F147" s="553" t="str">
        <f t="shared" si="24"/>
        <v>PREVAr condicionado split ‐ 9.000 BTU's</v>
      </c>
      <c r="G147" s="611" t="s">
        <v>74</v>
      </c>
      <c r="H147" s="344" t="s">
        <v>247</v>
      </c>
      <c r="I147" s="321">
        <v>1.6</v>
      </c>
      <c r="J147" s="345">
        <v>2</v>
      </c>
      <c r="K147" s="345">
        <v>2</v>
      </c>
      <c r="L147" s="345">
        <v>2</v>
      </c>
      <c r="M147" s="345">
        <v>2</v>
      </c>
      <c r="N147" s="345">
        <v>2</v>
      </c>
      <c r="O147" s="345">
        <v>2</v>
      </c>
      <c r="P147" s="345">
        <v>2</v>
      </c>
      <c r="Q147" s="345">
        <v>2</v>
      </c>
      <c r="R147" s="345">
        <v>2</v>
      </c>
      <c r="S147" s="345">
        <v>2</v>
      </c>
      <c r="T147" s="345">
        <v>2</v>
      </c>
      <c r="U147" s="345">
        <v>0.4</v>
      </c>
      <c r="V147" s="308">
        <f t="shared" si="25"/>
        <v>24</v>
      </c>
      <c r="W147" s="308">
        <v>19.100000000000001</v>
      </c>
      <c r="X147" s="309">
        <f t="shared" si="26"/>
        <v>458.40000000000003</v>
      </c>
      <c r="Y147" s="310" t="s">
        <v>74</v>
      </c>
      <c r="Z147" s="575"/>
      <c r="AA147" s="567"/>
    </row>
    <row r="148" spans="1:27" s="318" customFormat="1" ht="15" customHeight="1" outlineLevel="1">
      <c r="A148" s="282">
        <v>144</v>
      </c>
      <c r="B148" s="282" t="s">
        <v>1</v>
      </c>
      <c r="C148" s="374" t="s">
        <v>427</v>
      </c>
      <c r="D148" s="346" t="s">
        <v>428</v>
      </c>
      <c r="E148" s="375" t="s">
        <v>321</v>
      </c>
      <c r="F148" s="553" t="str">
        <f t="shared" si="24"/>
        <v>REALAr condicionado split ‐ 9.000 BTU's</v>
      </c>
      <c r="G148" s="609">
        <f>Y148</f>
        <v>0.31666666666666665</v>
      </c>
      <c r="H148" s="347" t="s">
        <v>247</v>
      </c>
      <c r="I148" s="323">
        <v>1.6</v>
      </c>
      <c r="J148" s="323">
        <v>2</v>
      </c>
      <c r="K148" s="323">
        <v>2</v>
      </c>
      <c r="L148" s="323">
        <v>2</v>
      </c>
      <c r="M148" s="323"/>
      <c r="N148" s="323"/>
      <c r="O148" s="323"/>
      <c r="P148" s="323"/>
      <c r="Q148" s="348"/>
      <c r="R148" s="323"/>
      <c r="S148" s="323"/>
      <c r="T148" s="348"/>
      <c r="U148" s="348"/>
      <c r="V148" s="316">
        <f t="shared" si="25"/>
        <v>7.6</v>
      </c>
      <c r="W148" s="316">
        <v>19.100000000000001</v>
      </c>
      <c r="X148" s="317">
        <f t="shared" si="26"/>
        <v>145.16</v>
      </c>
      <c r="Y148" s="310">
        <f>X148/X147</f>
        <v>0.31666666666666665</v>
      </c>
      <c r="Z148" s="575"/>
      <c r="AA148" s="567"/>
    </row>
    <row r="149" spans="1:27" s="311" customFormat="1" ht="15" customHeight="1" outlineLevel="1">
      <c r="A149" s="273">
        <v>145</v>
      </c>
      <c r="B149" s="273" t="s">
        <v>0</v>
      </c>
      <c r="C149" s="373" t="s">
        <v>429</v>
      </c>
      <c r="D149" s="343" t="s">
        <v>248</v>
      </c>
      <c r="E149" s="344" t="s">
        <v>322</v>
      </c>
      <c r="F149" s="553" t="str">
        <f t="shared" si="24"/>
        <v>PREVGrupo gerador de 4 KVA, 220v, trifásico, silenciado, com 100 metros de cabos e 01 QTA</v>
      </c>
      <c r="G149" s="611" t="s">
        <v>74</v>
      </c>
      <c r="H149" s="344" t="s">
        <v>247</v>
      </c>
      <c r="I149" s="321">
        <v>1.6</v>
      </c>
      <c r="J149" s="345">
        <v>2</v>
      </c>
      <c r="K149" s="345">
        <v>2</v>
      </c>
      <c r="L149" s="345">
        <v>2</v>
      </c>
      <c r="M149" s="345">
        <v>2</v>
      </c>
      <c r="N149" s="345">
        <v>2</v>
      </c>
      <c r="O149" s="345">
        <v>2</v>
      </c>
      <c r="P149" s="345">
        <v>2</v>
      </c>
      <c r="Q149" s="345">
        <v>2</v>
      </c>
      <c r="R149" s="345">
        <v>2</v>
      </c>
      <c r="S149" s="345">
        <v>2</v>
      </c>
      <c r="T149" s="345">
        <v>2</v>
      </c>
      <c r="U149" s="345">
        <v>0.4</v>
      </c>
      <c r="V149" s="308">
        <f t="shared" si="25"/>
        <v>24</v>
      </c>
      <c r="W149" s="308">
        <v>77.209999999999994</v>
      </c>
      <c r="X149" s="309">
        <f t="shared" si="26"/>
        <v>1853.04</v>
      </c>
      <c r="Y149" s="310" t="s">
        <v>74</v>
      </c>
      <c r="Z149" s="575"/>
      <c r="AA149" s="567"/>
    </row>
    <row r="150" spans="1:27" s="318" customFormat="1" ht="15" customHeight="1" outlineLevel="1">
      <c r="A150" s="282">
        <v>146</v>
      </c>
      <c r="B150" s="282" t="s">
        <v>1</v>
      </c>
      <c r="C150" s="374" t="s">
        <v>429</v>
      </c>
      <c r="D150" s="346" t="s">
        <v>248</v>
      </c>
      <c r="E150" s="375" t="s">
        <v>322</v>
      </c>
      <c r="F150" s="553" t="str">
        <f t="shared" si="24"/>
        <v>REALGrupo gerador de 4 KVA, 220v, trifásico, silenciado, com 100 metros de cabos e 01 QTA</v>
      </c>
      <c r="G150" s="609">
        <f>Y150</f>
        <v>0.31666666666666665</v>
      </c>
      <c r="H150" s="347" t="s">
        <v>247</v>
      </c>
      <c r="I150" s="323">
        <v>1.6</v>
      </c>
      <c r="J150" s="323">
        <v>2</v>
      </c>
      <c r="K150" s="323">
        <v>2</v>
      </c>
      <c r="L150" s="323">
        <v>2</v>
      </c>
      <c r="M150" s="323"/>
      <c r="N150" s="323"/>
      <c r="O150" s="323"/>
      <c r="P150" s="323"/>
      <c r="Q150" s="348"/>
      <c r="R150" s="323"/>
      <c r="S150" s="323"/>
      <c r="T150" s="348"/>
      <c r="U150" s="348"/>
      <c r="V150" s="316">
        <f t="shared" si="25"/>
        <v>7.6</v>
      </c>
      <c r="W150" s="316">
        <v>77.209999999999994</v>
      </c>
      <c r="X150" s="317">
        <f t="shared" si="26"/>
        <v>586.79599999999994</v>
      </c>
      <c r="Y150" s="310">
        <f>X150/X149</f>
        <v>0.31666666666666665</v>
      </c>
      <c r="Z150" s="575"/>
      <c r="AA150" s="567"/>
    </row>
    <row r="151" spans="1:27" s="311" customFormat="1" ht="15" customHeight="1" outlineLevel="1">
      <c r="A151" s="273">
        <v>147</v>
      </c>
      <c r="B151" s="273" t="s">
        <v>0</v>
      </c>
      <c r="C151" s="373" t="s">
        <v>430</v>
      </c>
      <c r="D151" s="343" t="s">
        <v>249</v>
      </c>
      <c r="E151" s="344" t="s">
        <v>323</v>
      </c>
      <c r="F151" s="553" t="str">
        <f t="shared" si="24"/>
        <v>PREVBanheiro Químico, com 03 limpezas semanais</v>
      </c>
      <c r="G151" s="611" t="s">
        <v>74</v>
      </c>
      <c r="H151" s="344" t="s">
        <v>274</v>
      </c>
      <c r="I151" s="321">
        <v>3.2</v>
      </c>
      <c r="J151" s="345">
        <v>4</v>
      </c>
      <c r="K151" s="345">
        <v>4</v>
      </c>
      <c r="L151" s="345">
        <v>4</v>
      </c>
      <c r="M151" s="345">
        <v>4</v>
      </c>
      <c r="N151" s="345">
        <v>4</v>
      </c>
      <c r="O151" s="345">
        <v>4</v>
      </c>
      <c r="P151" s="345">
        <v>4</v>
      </c>
      <c r="Q151" s="345">
        <v>4</v>
      </c>
      <c r="R151" s="345">
        <v>4</v>
      </c>
      <c r="S151" s="345">
        <v>4</v>
      </c>
      <c r="T151" s="345">
        <v>4</v>
      </c>
      <c r="U151" s="345">
        <v>0.8</v>
      </c>
      <c r="V151" s="308">
        <f t="shared" si="25"/>
        <v>48</v>
      </c>
      <c r="W151" s="308">
        <v>617.16999999999996</v>
      </c>
      <c r="X151" s="309">
        <f t="shared" si="26"/>
        <v>29624.159999999996</v>
      </c>
      <c r="Y151" s="310" t="s">
        <v>74</v>
      </c>
      <c r="Z151" s="575"/>
      <c r="AA151" s="567"/>
    </row>
    <row r="152" spans="1:27" s="318" customFormat="1" ht="15" customHeight="1" outlineLevel="1">
      <c r="A152" s="282">
        <v>148</v>
      </c>
      <c r="B152" s="282" t="s">
        <v>1</v>
      </c>
      <c r="C152" s="374" t="s">
        <v>430</v>
      </c>
      <c r="D152" s="346" t="s">
        <v>249</v>
      </c>
      <c r="E152" s="375" t="s">
        <v>323</v>
      </c>
      <c r="F152" s="553" t="str">
        <f t="shared" si="24"/>
        <v>REALBanheiro Químico, com 03 limpezas semanais</v>
      </c>
      <c r="G152" s="609">
        <f>Y152</f>
        <v>0.31666666666666665</v>
      </c>
      <c r="H152" s="347" t="s">
        <v>274</v>
      </c>
      <c r="I152" s="323">
        <v>3.2</v>
      </c>
      <c r="J152" s="323">
        <v>4</v>
      </c>
      <c r="K152" s="323">
        <v>4</v>
      </c>
      <c r="L152" s="323">
        <v>4</v>
      </c>
      <c r="M152" s="323"/>
      <c r="N152" s="323"/>
      <c r="O152" s="323"/>
      <c r="P152" s="323"/>
      <c r="Q152" s="348"/>
      <c r="R152" s="323"/>
      <c r="S152" s="323"/>
      <c r="T152" s="323"/>
      <c r="U152" s="323"/>
      <c r="V152" s="316">
        <f t="shared" si="25"/>
        <v>15.2</v>
      </c>
      <c r="W152" s="316">
        <v>617.16999999999996</v>
      </c>
      <c r="X152" s="317">
        <f t="shared" si="26"/>
        <v>9380.9839999999986</v>
      </c>
      <c r="Y152" s="310">
        <f>X152/X151</f>
        <v>0.31666666666666665</v>
      </c>
      <c r="Z152" s="575"/>
      <c r="AA152" s="567"/>
    </row>
    <row r="153" spans="1:27" s="311" customFormat="1" ht="15" customHeight="1" outlineLevel="1">
      <c r="A153" s="273">
        <v>149</v>
      </c>
      <c r="B153" s="273" t="s">
        <v>0</v>
      </c>
      <c r="C153" s="373" t="s">
        <v>431</v>
      </c>
      <c r="D153" s="343" t="s">
        <v>251</v>
      </c>
      <c r="E153" s="344" t="s">
        <v>324</v>
      </c>
      <c r="F153" s="553" t="str">
        <f t="shared" si="24"/>
        <v>PREVTenda Piramidal 6m x 6m (para refeitório)</v>
      </c>
      <c r="G153" s="611" t="s">
        <v>74</v>
      </c>
      <c r="H153" s="344" t="s">
        <v>228</v>
      </c>
      <c r="I153" s="321">
        <v>0.26666666666666666</v>
      </c>
      <c r="J153" s="345">
        <v>0.33333333333333331</v>
      </c>
      <c r="K153" s="345">
        <v>0.33333333333333331</v>
      </c>
      <c r="L153" s="345">
        <v>0.33333333333333331</v>
      </c>
      <c r="M153" s="345">
        <v>0.33333333333333331</v>
      </c>
      <c r="N153" s="345">
        <v>0.33333333333333331</v>
      </c>
      <c r="O153" s="345">
        <v>0.33333333333333331</v>
      </c>
      <c r="P153" s="345">
        <v>0.33333333333333331</v>
      </c>
      <c r="Q153" s="345">
        <v>0.33333333333333331</v>
      </c>
      <c r="R153" s="345">
        <v>0.33333333333333331</v>
      </c>
      <c r="S153" s="345">
        <v>0.33333333333333331</v>
      </c>
      <c r="T153" s="345">
        <v>0.33333333333333331</v>
      </c>
      <c r="U153" s="345">
        <v>6.6666666666666666E-2</v>
      </c>
      <c r="V153" s="308">
        <f t="shared" si="25"/>
        <v>4.0000000000000009</v>
      </c>
      <c r="W153" s="308">
        <v>5121.49</v>
      </c>
      <c r="X153" s="309">
        <f t="shared" si="26"/>
        <v>20485.960000000003</v>
      </c>
      <c r="Y153" s="310" t="s">
        <v>74</v>
      </c>
      <c r="Z153" s="575"/>
      <c r="AA153" s="567"/>
    </row>
    <row r="154" spans="1:27" s="318" customFormat="1" ht="15" customHeight="1" outlineLevel="1">
      <c r="A154" s="282">
        <v>150</v>
      </c>
      <c r="B154" s="282" t="s">
        <v>1</v>
      </c>
      <c r="C154" s="374" t="s">
        <v>431</v>
      </c>
      <c r="D154" s="346" t="s">
        <v>251</v>
      </c>
      <c r="E154" s="375" t="s">
        <v>324</v>
      </c>
      <c r="F154" s="553" t="str">
        <f t="shared" si="24"/>
        <v>REALTenda Piramidal 6m x 6m (para refeitório)</v>
      </c>
      <c r="G154" s="609">
        <f>Y154</f>
        <v>0.3166666666666666</v>
      </c>
      <c r="H154" s="347" t="s">
        <v>228</v>
      </c>
      <c r="I154" s="323">
        <v>0.26666666666666666</v>
      </c>
      <c r="J154" s="323">
        <v>0.33333333333333331</v>
      </c>
      <c r="K154" s="323">
        <v>0.33333333333333331</v>
      </c>
      <c r="L154" s="323">
        <v>0.33333333333333331</v>
      </c>
      <c r="M154" s="323"/>
      <c r="N154" s="323"/>
      <c r="O154" s="323"/>
      <c r="P154" s="323"/>
      <c r="Q154" s="348"/>
      <c r="R154" s="323"/>
      <c r="S154" s="323"/>
      <c r="T154" s="348"/>
      <c r="U154" s="348"/>
      <c r="V154" s="316">
        <f t="shared" si="25"/>
        <v>1.2666666666666666</v>
      </c>
      <c r="W154" s="316">
        <v>5121.49</v>
      </c>
      <c r="X154" s="317">
        <f t="shared" si="26"/>
        <v>6487.2206666666661</v>
      </c>
      <c r="Y154" s="310">
        <f>X154/X153</f>
        <v>0.3166666666666666</v>
      </c>
      <c r="Z154" s="575"/>
      <c r="AA154" s="567"/>
    </row>
    <row r="155" spans="1:27" s="311" customFormat="1" ht="15" customHeight="1" outlineLevel="1">
      <c r="A155" s="273">
        <v>151</v>
      </c>
      <c r="B155" s="273" t="s">
        <v>0</v>
      </c>
      <c r="C155" s="373" t="s">
        <v>432</v>
      </c>
      <c r="D155" s="343" t="s">
        <v>252</v>
      </c>
      <c r="E155" s="344" t="s">
        <v>325</v>
      </c>
      <c r="F155" s="553" t="str">
        <f t="shared" si="24"/>
        <v>PREVBebedouro elétrico</v>
      </c>
      <c r="G155" s="611" t="s">
        <v>74</v>
      </c>
      <c r="H155" s="344" t="s">
        <v>228</v>
      </c>
      <c r="I155" s="321">
        <v>0.26666666666666666</v>
      </c>
      <c r="J155" s="345">
        <v>0.33333333333333331</v>
      </c>
      <c r="K155" s="345">
        <v>0.33333333333333331</v>
      </c>
      <c r="L155" s="345">
        <v>0.33333333333333331</v>
      </c>
      <c r="M155" s="345">
        <v>0.33333333333333331</v>
      </c>
      <c r="N155" s="345">
        <v>0.33333333333333331</v>
      </c>
      <c r="O155" s="345">
        <v>0.33333333333333331</v>
      </c>
      <c r="P155" s="345">
        <v>0.33333333333333331</v>
      </c>
      <c r="Q155" s="345">
        <v>0.33333333333333331</v>
      </c>
      <c r="R155" s="345">
        <v>0.33333333333333331</v>
      </c>
      <c r="S155" s="345">
        <v>0.33333333333333331</v>
      </c>
      <c r="T155" s="345">
        <v>0.33333333333333331</v>
      </c>
      <c r="U155" s="345">
        <v>6.6666666666666666E-2</v>
      </c>
      <c r="V155" s="308">
        <f t="shared" si="25"/>
        <v>4.0000000000000009</v>
      </c>
      <c r="W155" s="308">
        <v>826.29</v>
      </c>
      <c r="X155" s="309">
        <f t="shared" si="26"/>
        <v>3305.1600000000008</v>
      </c>
      <c r="Y155" s="310" t="s">
        <v>74</v>
      </c>
      <c r="Z155" s="575"/>
      <c r="AA155" s="567"/>
    </row>
    <row r="156" spans="1:27" s="318" customFormat="1" ht="15" customHeight="1" outlineLevel="1">
      <c r="A156" s="282">
        <v>152</v>
      </c>
      <c r="B156" s="282" t="s">
        <v>1</v>
      </c>
      <c r="C156" s="374" t="s">
        <v>432</v>
      </c>
      <c r="D156" s="346" t="s">
        <v>252</v>
      </c>
      <c r="E156" s="375" t="s">
        <v>325</v>
      </c>
      <c r="F156" s="553" t="str">
        <f t="shared" si="24"/>
        <v>REALBebedouro elétrico</v>
      </c>
      <c r="G156" s="609">
        <f>Y156</f>
        <v>0.3166666666666666</v>
      </c>
      <c r="H156" s="347" t="s">
        <v>228</v>
      </c>
      <c r="I156" s="323">
        <v>0.26666666666666666</v>
      </c>
      <c r="J156" s="323">
        <v>0.33333333333333331</v>
      </c>
      <c r="K156" s="323">
        <v>0.33333333333333331</v>
      </c>
      <c r="L156" s="323">
        <v>0.33333333333333331</v>
      </c>
      <c r="M156" s="323"/>
      <c r="N156" s="323"/>
      <c r="O156" s="323"/>
      <c r="P156" s="323"/>
      <c r="Q156" s="348"/>
      <c r="R156" s="323"/>
      <c r="S156" s="323"/>
      <c r="T156" s="348"/>
      <c r="U156" s="348"/>
      <c r="V156" s="316">
        <f t="shared" si="25"/>
        <v>1.2666666666666666</v>
      </c>
      <c r="W156" s="316">
        <v>826.29</v>
      </c>
      <c r="X156" s="316">
        <f t="shared" si="26"/>
        <v>1046.634</v>
      </c>
      <c r="Y156" s="310">
        <f>X156/X155</f>
        <v>0.3166666666666666</v>
      </c>
      <c r="Z156" s="575"/>
      <c r="AA156" s="567"/>
    </row>
    <row r="157" spans="1:27" s="311" customFormat="1" ht="15" customHeight="1">
      <c r="A157" s="273">
        <v>153</v>
      </c>
      <c r="B157" s="273" t="s">
        <v>0</v>
      </c>
      <c r="C157" s="289" t="s">
        <v>433</v>
      </c>
      <c r="D157" s="290" t="s">
        <v>286</v>
      </c>
      <c r="E157" s="291" t="s">
        <v>22</v>
      </c>
      <c r="F157" s="291"/>
      <c r="G157" s="610"/>
      <c r="H157" s="292"/>
      <c r="I157" s="396"/>
      <c r="J157" s="396"/>
      <c r="K157" s="396"/>
      <c r="L157" s="396"/>
      <c r="M157" s="396"/>
      <c r="N157" s="396"/>
      <c r="O157" s="396"/>
      <c r="P157" s="396"/>
      <c r="Q157" s="396"/>
      <c r="R157" s="396"/>
      <c r="S157" s="396"/>
      <c r="T157" s="396"/>
      <c r="U157" s="396"/>
      <c r="V157" s="319">
        <v>0</v>
      </c>
      <c r="W157" s="319">
        <v>0</v>
      </c>
      <c r="X157" s="370">
        <f>SUMIF(B159:B170,B157,X159:X170)</f>
        <v>2448000</v>
      </c>
      <c r="Y157" s="295" t="s">
        <v>74</v>
      </c>
      <c r="Z157" s="578"/>
      <c r="AA157" s="567"/>
    </row>
    <row r="158" spans="1:27" s="318" customFormat="1" ht="15" customHeight="1">
      <c r="A158" s="282">
        <v>154</v>
      </c>
      <c r="B158" s="282" t="s">
        <v>1</v>
      </c>
      <c r="C158" s="297" t="s">
        <v>433</v>
      </c>
      <c r="D158" s="298" t="s">
        <v>286</v>
      </c>
      <c r="E158" s="320" t="s">
        <v>22</v>
      </c>
      <c r="F158" s="320"/>
      <c r="G158" s="612"/>
      <c r="H158" s="300"/>
      <c r="I158" s="397"/>
      <c r="J158" s="397"/>
      <c r="K158" s="397"/>
      <c r="L158" s="397"/>
      <c r="M158" s="397"/>
      <c r="N158" s="397"/>
      <c r="O158" s="397"/>
      <c r="P158" s="397"/>
      <c r="Q158" s="397"/>
      <c r="R158" s="397"/>
      <c r="S158" s="397"/>
      <c r="T158" s="397"/>
      <c r="U158" s="397"/>
      <c r="V158" s="302">
        <v>0</v>
      </c>
      <c r="W158" s="302">
        <v>0</v>
      </c>
      <c r="X158" s="303">
        <f>SUMIF(B159:B170,B158,X159:X170)</f>
        <v>775200</v>
      </c>
      <c r="Y158" s="295">
        <f>X158/X157</f>
        <v>0.31666666666666665</v>
      </c>
      <c r="Z158" s="571"/>
      <c r="AA158" s="567"/>
    </row>
    <row r="159" spans="1:27" s="311" customFormat="1" ht="15" customHeight="1" outlineLevel="1">
      <c r="A159" s="273">
        <v>155</v>
      </c>
      <c r="B159" s="273" t="s">
        <v>0</v>
      </c>
      <c r="C159" s="305" t="s">
        <v>434</v>
      </c>
      <c r="D159" s="343" t="s">
        <v>435</v>
      </c>
      <c r="E159" s="307" t="s">
        <v>287</v>
      </c>
      <c r="F159" s="553" t="str">
        <f t="shared" ref="F159:F186" si="27">B159&amp;D159</f>
        <v>PREVCaminhão carroceria com guindauto com capacidade de 20 t.m ‐ 136 kW</v>
      </c>
      <c r="G159" s="611" t="s">
        <v>74</v>
      </c>
      <c r="H159" s="344" t="s">
        <v>247</v>
      </c>
      <c r="I159" s="321">
        <v>1.6</v>
      </c>
      <c r="J159" s="345">
        <v>2</v>
      </c>
      <c r="K159" s="345">
        <v>2</v>
      </c>
      <c r="L159" s="345">
        <v>2</v>
      </c>
      <c r="M159" s="345">
        <v>2</v>
      </c>
      <c r="N159" s="345">
        <v>2</v>
      </c>
      <c r="O159" s="345">
        <v>2</v>
      </c>
      <c r="P159" s="345">
        <v>2</v>
      </c>
      <c r="Q159" s="345">
        <v>2</v>
      </c>
      <c r="R159" s="345">
        <v>2</v>
      </c>
      <c r="S159" s="345">
        <v>2</v>
      </c>
      <c r="T159" s="345">
        <v>2</v>
      </c>
      <c r="U159" s="345">
        <v>0.4</v>
      </c>
      <c r="V159" s="308">
        <f t="shared" ref="V159:V186" si="28">SUM(I159:U159)</f>
        <v>24</v>
      </c>
      <c r="W159" s="308">
        <v>16000</v>
      </c>
      <c r="X159" s="309">
        <f t="shared" ref="X159:X186" si="29">W159*V159</f>
        <v>384000</v>
      </c>
      <c r="Y159" s="310" t="s">
        <v>74</v>
      </c>
      <c r="Z159" s="575"/>
      <c r="AA159" s="567"/>
    </row>
    <row r="160" spans="1:27" s="318" customFormat="1" ht="15" customHeight="1" outlineLevel="1">
      <c r="A160" s="282">
        <v>156</v>
      </c>
      <c r="B160" s="282" t="s">
        <v>1</v>
      </c>
      <c r="C160" s="312" t="s">
        <v>434</v>
      </c>
      <c r="D160" s="346" t="s">
        <v>435</v>
      </c>
      <c r="E160" s="314" t="s">
        <v>287</v>
      </c>
      <c r="F160" s="553" t="str">
        <f t="shared" si="27"/>
        <v>REALCaminhão carroceria com guindauto com capacidade de 20 t.m ‐ 136 kW</v>
      </c>
      <c r="G160" s="609">
        <f>Y160</f>
        <v>0.31666666666666665</v>
      </c>
      <c r="H160" s="347" t="s">
        <v>247</v>
      </c>
      <c r="I160" s="323">
        <v>1.6</v>
      </c>
      <c r="J160" s="323">
        <v>2</v>
      </c>
      <c r="K160" s="323">
        <v>2</v>
      </c>
      <c r="L160" s="323">
        <v>2</v>
      </c>
      <c r="M160" s="323"/>
      <c r="N160" s="323"/>
      <c r="O160" s="323"/>
      <c r="P160" s="323"/>
      <c r="Q160" s="348"/>
      <c r="R160" s="323"/>
      <c r="S160" s="323"/>
      <c r="T160" s="323"/>
      <c r="U160" s="323"/>
      <c r="V160" s="316">
        <f t="shared" si="28"/>
        <v>7.6</v>
      </c>
      <c r="W160" s="316">
        <v>16000</v>
      </c>
      <c r="X160" s="317">
        <f t="shared" si="29"/>
        <v>121600</v>
      </c>
      <c r="Y160" s="310">
        <f>X160/X159</f>
        <v>0.31666666666666665</v>
      </c>
      <c r="Z160" s="575"/>
      <c r="AA160" s="567"/>
    </row>
    <row r="161" spans="1:27" s="311" customFormat="1" ht="15" customHeight="1" outlineLevel="1">
      <c r="A161" s="273">
        <v>157</v>
      </c>
      <c r="B161" s="273" t="s">
        <v>0</v>
      </c>
      <c r="C161" s="305" t="s">
        <v>436</v>
      </c>
      <c r="D161" s="343" t="s">
        <v>437</v>
      </c>
      <c r="E161" s="307" t="s">
        <v>288</v>
      </c>
      <c r="F161" s="553" t="str">
        <f t="shared" si="27"/>
        <v>PREVCaminhão carroceria com guindauto e cesto aéreo com capacidade de 10 t.m ‐ 136 kW</v>
      </c>
      <c r="G161" s="611" t="s">
        <v>74</v>
      </c>
      <c r="H161" s="344" t="s">
        <v>247</v>
      </c>
      <c r="I161" s="321">
        <v>1.6</v>
      </c>
      <c r="J161" s="345">
        <v>2</v>
      </c>
      <c r="K161" s="345">
        <v>2</v>
      </c>
      <c r="L161" s="345">
        <v>2</v>
      </c>
      <c r="M161" s="345">
        <v>2</v>
      </c>
      <c r="N161" s="345">
        <v>2</v>
      </c>
      <c r="O161" s="345">
        <v>2</v>
      </c>
      <c r="P161" s="345">
        <v>2</v>
      </c>
      <c r="Q161" s="345">
        <v>2</v>
      </c>
      <c r="R161" s="345">
        <v>2</v>
      </c>
      <c r="S161" s="345">
        <v>2</v>
      </c>
      <c r="T161" s="345">
        <v>2</v>
      </c>
      <c r="U161" s="345">
        <v>0.4</v>
      </c>
      <c r="V161" s="308">
        <f t="shared" si="28"/>
        <v>24</v>
      </c>
      <c r="W161" s="308">
        <v>18000</v>
      </c>
      <c r="X161" s="309">
        <f t="shared" si="29"/>
        <v>432000</v>
      </c>
      <c r="Y161" s="310" t="s">
        <v>74</v>
      </c>
      <c r="Z161" s="575"/>
      <c r="AA161" s="567"/>
    </row>
    <row r="162" spans="1:27" s="318" customFormat="1" ht="15" customHeight="1" outlineLevel="1">
      <c r="A162" s="282">
        <v>158</v>
      </c>
      <c r="B162" s="282" t="s">
        <v>1</v>
      </c>
      <c r="C162" s="312" t="s">
        <v>436</v>
      </c>
      <c r="D162" s="346" t="s">
        <v>437</v>
      </c>
      <c r="E162" s="314" t="s">
        <v>288</v>
      </c>
      <c r="F162" s="553" t="str">
        <f t="shared" si="27"/>
        <v>REALCaminhão carroceria com guindauto e cesto aéreo com capacidade de 10 t.m ‐ 136 kW</v>
      </c>
      <c r="G162" s="609">
        <f>Y162</f>
        <v>0.31666666666666665</v>
      </c>
      <c r="H162" s="347" t="s">
        <v>247</v>
      </c>
      <c r="I162" s="323">
        <v>1.6</v>
      </c>
      <c r="J162" s="323">
        <v>2</v>
      </c>
      <c r="K162" s="323">
        <v>2</v>
      </c>
      <c r="L162" s="323">
        <v>2</v>
      </c>
      <c r="M162" s="323"/>
      <c r="N162" s="323"/>
      <c r="O162" s="323"/>
      <c r="P162" s="323"/>
      <c r="Q162" s="348"/>
      <c r="R162" s="323"/>
      <c r="S162" s="323"/>
      <c r="T162" s="323"/>
      <c r="U162" s="323"/>
      <c r="V162" s="316">
        <f t="shared" si="28"/>
        <v>7.6</v>
      </c>
      <c r="W162" s="316">
        <v>18000</v>
      </c>
      <c r="X162" s="317">
        <f t="shared" si="29"/>
        <v>136800</v>
      </c>
      <c r="Y162" s="310">
        <f>X162/X161</f>
        <v>0.31666666666666665</v>
      </c>
      <c r="Z162" s="575"/>
      <c r="AA162" s="567"/>
    </row>
    <row r="163" spans="1:27" s="311" customFormat="1" ht="15" customHeight="1" outlineLevel="1">
      <c r="A163" s="273">
        <v>159</v>
      </c>
      <c r="B163" s="273" t="s">
        <v>0</v>
      </c>
      <c r="C163" s="664" t="s">
        <v>438</v>
      </c>
      <c r="D163" s="343" t="s">
        <v>209</v>
      </c>
      <c r="E163" s="665" t="s">
        <v>289</v>
      </c>
      <c r="F163" s="553" t="str">
        <f t="shared" si="27"/>
        <v>PREVCaminhão carroceria com capacidade de 15 t - 188 kW -c/Cabine auxiliar (horas produtivas)</v>
      </c>
      <c r="G163" s="611" t="s">
        <v>74</v>
      </c>
      <c r="H163" s="344" t="s">
        <v>247</v>
      </c>
      <c r="I163" s="321">
        <v>2.4</v>
      </c>
      <c r="J163" s="345">
        <v>3</v>
      </c>
      <c r="K163" s="345">
        <v>3</v>
      </c>
      <c r="L163" s="345">
        <v>3</v>
      </c>
      <c r="M163" s="345">
        <v>3</v>
      </c>
      <c r="N163" s="345">
        <v>3</v>
      </c>
      <c r="O163" s="345">
        <v>3</v>
      </c>
      <c r="P163" s="345">
        <v>3</v>
      </c>
      <c r="Q163" s="345">
        <v>3</v>
      </c>
      <c r="R163" s="345">
        <v>3</v>
      </c>
      <c r="S163" s="345">
        <v>3</v>
      </c>
      <c r="T163" s="345">
        <v>3</v>
      </c>
      <c r="U163" s="345">
        <v>0.6</v>
      </c>
      <c r="V163" s="308">
        <f t="shared" si="28"/>
        <v>36</v>
      </c>
      <c r="W163" s="308">
        <v>16000</v>
      </c>
      <c r="X163" s="309">
        <f t="shared" si="29"/>
        <v>576000</v>
      </c>
      <c r="Y163" s="310" t="s">
        <v>74</v>
      </c>
      <c r="Z163" s="575"/>
      <c r="AA163" s="567"/>
    </row>
    <row r="164" spans="1:27" s="318" customFormat="1" ht="15" customHeight="1" outlineLevel="1">
      <c r="A164" s="282">
        <v>160</v>
      </c>
      <c r="B164" s="282" t="s">
        <v>1</v>
      </c>
      <c r="C164" s="312" t="s">
        <v>438</v>
      </c>
      <c r="D164" s="346" t="s">
        <v>209</v>
      </c>
      <c r="E164" s="314" t="s">
        <v>289</v>
      </c>
      <c r="F164" s="553" t="str">
        <f t="shared" si="27"/>
        <v>REALCaminhão carroceria com capacidade de 15 t - 188 kW -c/Cabine auxiliar (horas produtivas)</v>
      </c>
      <c r="G164" s="609">
        <f>Y164</f>
        <v>0.31666666666666665</v>
      </c>
      <c r="H164" s="347" t="s">
        <v>247</v>
      </c>
      <c r="I164" s="323">
        <v>2.4000000000000004</v>
      </c>
      <c r="J164" s="323">
        <v>3</v>
      </c>
      <c r="K164" s="323">
        <v>3</v>
      </c>
      <c r="L164" s="323">
        <v>3</v>
      </c>
      <c r="M164" s="323"/>
      <c r="N164" s="323"/>
      <c r="O164" s="323"/>
      <c r="P164" s="323"/>
      <c r="Q164" s="348"/>
      <c r="R164" s="323"/>
      <c r="S164" s="323"/>
      <c r="T164" s="323"/>
      <c r="U164" s="323"/>
      <c r="V164" s="316">
        <f t="shared" si="28"/>
        <v>11.4</v>
      </c>
      <c r="W164" s="316">
        <v>16000</v>
      </c>
      <c r="X164" s="317">
        <f t="shared" si="29"/>
        <v>182400</v>
      </c>
      <c r="Y164" s="310">
        <f>X164/X163</f>
        <v>0.31666666666666665</v>
      </c>
      <c r="Z164" s="575"/>
      <c r="AA164" s="567"/>
    </row>
    <row r="165" spans="1:27" s="311" customFormat="1" ht="15" customHeight="1" outlineLevel="1">
      <c r="A165" s="273">
        <v>161</v>
      </c>
      <c r="B165" s="273" t="s">
        <v>0</v>
      </c>
      <c r="C165" s="664" t="s">
        <v>439</v>
      </c>
      <c r="D165" s="343" t="s">
        <v>212</v>
      </c>
      <c r="E165" s="665" t="s">
        <v>290</v>
      </c>
      <c r="F165" s="553" t="str">
        <f t="shared" si="27"/>
        <v>PREVCaminhão carroceria com capacidade de 15 t - 188 kW -c/Cabine auxiliar (horas improdutivas)</v>
      </c>
      <c r="G165" s="611" t="s">
        <v>74</v>
      </c>
      <c r="H165" s="344" t="s">
        <v>247</v>
      </c>
      <c r="I165" s="321">
        <v>2.4</v>
      </c>
      <c r="J165" s="345">
        <v>3</v>
      </c>
      <c r="K165" s="345">
        <v>3</v>
      </c>
      <c r="L165" s="345">
        <v>3</v>
      </c>
      <c r="M165" s="345">
        <v>3</v>
      </c>
      <c r="N165" s="345">
        <v>3</v>
      </c>
      <c r="O165" s="345">
        <v>3</v>
      </c>
      <c r="P165" s="345">
        <v>3</v>
      </c>
      <c r="Q165" s="345">
        <v>3</v>
      </c>
      <c r="R165" s="345">
        <v>3</v>
      </c>
      <c r="S165" s="345">
        <v>3</v>
      </c>
      <c r="T165" s="345">
        <v>3</v>
      </c>
      <c r="U165" s="345">
        <v>0.6</v>
      </c>
      <c r="V165" s="308">
        <f t="shared" si="28"/>
        <v>36</v>
      </c>
      <c r="W165" s="308">
        <v>18000</v>
      </c>
      <c r="X165" s="309">
        <f t="shared" si="29"/>
        <v>648000</v>
      </c>
      <c r="Y165" s="310" t="s">
        <v>74</v>
      </c>
      <c r="Z165" s="575"/>
      <c r="AA165" s="567"/>
    </row>
    <row r="166" spans="1:27" s="318" customFormat="1" ht="15" customHeight="1" outlineLevel="1">
      <c r="A166" s="282">
        <v>162</v>
      </c>
      <c r="B166" s="282" t="s">
        <v>1</v>
      </c>
      <c r="C166" s="312" t="s">
        <v>439</v>
      </c>
      <c r="D166" s="346" t="s">
        <v>212</v>
      </c>
      <c r="E166" s="314" t="s">
        <v>290</v>
      </c>
      <c r="F166" s="553" t="str">
        <f t="shared" si="27"/>
        <v>REALCaminhão carroceria com capacidade de 15 t - 188 kW -c/Cabine auxiliar (horas improdutivas)</v>
      </c>
      <c r="G166" s="609">
        <f>Y166</f>
        <v>0.31666666666666665</v>
      </c>
      <c r="H166" s="347" t="s">
        <v>247</v>
      </c>
      <c r="I166" s="323">
        <v>2.4000000000000004</v>
      </c>
      <c r="J166" s="323">
        <v>3</v>
      </c>
      <c r="K166" s="323">
        <v>3</v>
      </c>
      <c r="L166" s="323">
        <v>3</v>
      </c>
      <c r="M166" s="323"/>
      <c r="N166" s="323"/>
      <c r="O166" s="323"/>
      <c r="P166" s="323"/>
      <c r="Q166" s="348"/>
      <c r="R166" s="323"/>
      <c r="S166" s="323"/>
      <c r="T166" s="323"/>
      <c r="U166" s="323"/>
      <c r="V166" s="316">
        <f t="shared" si="28"/>
        <v>11.4</v>
      </c>
      <c r="W166" s="316">
        <v>18000</v>
      </c>
      <c r="X166" s="317">
        <f t="shared" si="29"/>
        <v>205200</v>
      </c>
      <c r="Y166" s="310">
        <f>X166/X165</f>
        <v>0.31666666666666665</v>
      </c>
      <c r="Z166" s="575"/>
      <c r="AA166" s="567"/>
    </row>
    <row r="167" spans="1:27" s="311" customFormat="1" ht="15" customHeight="1" outlineLevel="1">
      <c r="A167" s="273">
        <v>163</v>
      </c>
      <c r="B167" s="273" t="s">
        <v>0</v>
      </c>
      <c r="C167" s="664" t="s">
        <v>440</v>
      </c>
      <c r="D167" s="343" t="s">
        <v>213</v>
      </c>
      <c r="E167" s="665" t="s">
        <v>291</v>
      </c>
      <c r="F167" s="553" t="str">
        <f t="shared" si="27"/>
        <v>PREVCavalo mecânico com semirreboque com capacidade de 22 t - 240 kW (horas produtivas)</v>
      </c>
      <c r="G167" s="611" t="s">
        <v>74</v>
      </c>
      <c r="H167" s="344" t="s">
        <v>247</v>
      </c>
      <c r="I167" s="321">
        <v>0.8</v>
      </c>
      <c r="J167" s="345">
        <v>1</v>
      </c>
      <c r="K167" s="345">
        <v>1</v>
      </c>
      <c r="L167" s="345">
        <v>1</v>
      </c>
      <c r="M167" s="345">
        <v>1</v>
      </c>
      <c r="N167" s="345">
        <v>1</v>
      </c>
      <c r="O167" s="345">
        <v>1</v>
      </c>
      <c r="P167" s="345">
        <v>1</v>
      </c>
      <c r="Q167" s="345">
        <v>1</v>
      </c>
      <c r="R167" s="345">
        <v>1</v>
      </c>
      <c r="S167" s="345">
        <v>1</v>
      </c>
      <c r="T167" s="345">
        <v>1</v>
      </c>
      <c r="U167" s="345">
        <v>0.2</v>
      </c>
      <c r="V167" s="308">
        <f t="shared" si="28"/>
        <v>12</v>
      </c>
      <c r="W167" s="308">
        <v>16000</v>
      </c>
      <c r="X167" s="309">
        <f t="shared" si="29"/>
        <v>192000</v>
      </c>
      <c r="Y167" s="310" t="s">
        <v>74</v>
      </c>
      <c r="Z167" s="575"/>
      <c r="AA167" s="567"/>
    </row>
    <row r="168" spans="1:27" s="318" customFormat="1" ht="15" customHeight="1" outlineLevel="1">
      <c r="A168" s="282">
        <v>164</v>
      </c>
      <c r="B168" s="282" t="s">
        <v>1</v>
      </c>
      <c r="C168" s="312" t="s">
        <v>440</v>
      </c>
      <c r="D168" s="346" t="s">
        <v>213</v>
      </c>
      <c r="E168" s="314" t="s">
        <v>291</v>
      </c>
      <c r="F168" s="553" t="str">
        <f t="shared" si="27"/>
        <v>REALCavalo mecânico com semirreboque com capacidade de 22 t - 240 kW (horas produtivas)</v>
      </c>
      <c r="G168" s="609">
        <f>Y168</f>
        <v>0.31666666666666665</v>
      </c>
      <c r="H168" s="347" t="s">
        <v>247</v>
      </c>
      <c r="I168" s="323">
        <v>0.8</v>
      </c>
      <c r="J168" s="323">
        <v>1</v>
      </c>
      <c r="K168" s="323">
        <v>1</v>
      </c>
      <c r="L168" s="323">
        <v>1</v>
      </c>
      <c r="M168" s="323"/>
      <c r="N168" s="323"/>
      <c r="O168" s="323"/>
      <c r="P168" s="323"/>
      <c r="Q168" s="348"/>
      <c r="R168" s="323"/>
      <c r="S168" s="323"/>
      <c r="T168" s="323"/>
      <c r="U168" s="323"/>
      <c r="V168" s="316">
        <f t="shared" si="28"/>
        <v>3.8</v>
      </c>
      <c r="W168" s="316">
        <v>16000</v>
      </c>
      <c r="X168" s="317">
        <f t="shared" si="29"/>
        <v>60800</v>
      </c>
      <c r="Y168" s="310">
        <f>X168/X167</f>
        <v>0.31666666666666665</v>
      </c>
      <c r="Z168" s="575"/>
      <c r="AA168" s="567"/>
    </row>
    <row r="169" spans="1:27" s="311" customFormat="1" ht="15" customHeight="1" outlineLevel="1">
      <c r="A169" s="273">
        <v>165</v>
      </c>
      <c r="B169" s="273" t="s">
        <v>0</v>
      </c>
      <c r="C169" s="664" t="s">
        <v>441</v>
      </c>
      <c r="D169" s="343" t="s">
        <v>214</v>
      </c>
      <c r="E169" s="665" t="s">
        <v>292</v>
      </c>
      <c r="F169" s="553" t="str">
        <f t="shared" si="27"/>
        <v>PREVCavalo mecânico com semirreboque com capacidade de 22 t - 240 kW (horas improdutivas)</v>
      </c>
      <c r="G169" s="611" t="s">
        <v>74</v>
      </c>
      <c r="H169" s="344" t="s">
        <v>247</v>
      </c>
      <c r="I169" s="321">
        <v>0.8</v>
      </c>
      <c r="J169" s="345">
        <v>1</v>
      </c>
      <c r="K169" s="345">
        <v>1</v>
      </c>
      <c r="L169" s="345">
        <v>1</v>
      </c>
      <c r="M169" s="345">
        <v>1</v>
      </c>
      <c r="N169" s="345">
        <v>1</v>
      </c>
      <c r="O169" s="345">
        <v>1</v>
      </c>
      <c r="P169" s="345">
        <v>1</v>
      </c>
      <c r="Q169" s="345">
        <v>1</v>
      </c>
      <c r="R169" s="345">
        <v>1</v>
      </c>
      <c r="S169" s="345">
        <v>1</v>
      </c>
      <c r="T169" s="345">
        <v>1</v>
      </c>
      <c r="U169" s="345">
        <v>0.2</v>
      </c>
      <c r="V169" s="308">
        <f t="shared" si="28"/>
        <v>12</v>
      </c>
      <c r="W169" s="308">
        <v>18000</v>
      </c>
      <c r="X169" s="309">
        <f t="shared" si="29"/>
        <v>216000</v>
      </c>
      <c r="Y169" s="310" t="s">
        <v>74</v>
      </c>
      <c r="Z169" s="575"/>
      <c r="AA169" s="567"/>
    </row>
    <row r="170" spans="1:27" s="318" customFormat="1" ht="15" customHeight="1" outlineLevel="1">
      <c r="A170" s="282">
        <v>166</v>
      </c>
      <c r="B170" s="282" t="s">
        <v>1</v>
      </c>
      <c r="C170" s="312" t="s">
        <v>441</v>
      </c>
      <c r="D170" s="346" t="s">
        <v>214</v>
      </c>
      <c r="E170" s="314" t="s">
        <v>292</v>
      </c>
      <c r="F170" s="553" t="str">
        <f t="shared" si="27"/>
        <v>REALCavalo mecânico com semirreboque com capacidade de 22 t - 240 kW (horas improdutivas)</v>
      </c>
      <c r="G170" s="609">
        <f>Y170</f>
        <v>0.15833333333333333</v>
      </c>
      <c r="H170" s="347" t="s">
        <v>247</v>
      </c>
      <c r="I170" s="323">
        <v>0.8</v>
      </c>
      <c r="J170" s="323">
        <v>1</v>
      </c>
      <c r="K170" s="323">
        <v>1</v>
      </c>
      <c r="L170" s="323">
        <v>1</v>
      </c>
      <c r="M170" s="323"/>
      <c r="N170" s="323"/>
      <c r="O170" s="323"/>
      <c r="P170" s="323"/>
      <c r="Q170" s="348"/>
      <c r="R170" s="323"/>
      <c r="S170" s="323"/>
      <c r="T170" s="323"/>
      <c r="U170" s="323"/>
      <c r="V170" s="316">
        <f t="shared" si="28"/>
        <v>3.8</v>
      </c>
      <c r="W170" s="316">
        <v>18000</v>
      </c>
      <c r="X170" s="317">
        <f t="shared" si="29"/>
        <v>68400</v>
      </c>
      <c r="Y170" s="310">
        <f>X170/X161</f>
        <v>0.15833333333333333</v>
      </c>
      <c r="Z170" s="575"/>
      <c r="AA170" s="567"/>
    </row>
    <row r="171" spans="1:27" s="311" customFormat="1" ht="15" customHeight="1" outlineLevel="1">
      <c r="A171" s="273">
        <v>167</v>
      </c>
      <c r="B171" s="273" t="s">
        <v>0</v>
      </c>
      <c r="C171" s="664" t="s">
        <v>442</v>
      </c>
      <c r="D171" s="343" t="s">
        <v>216</v>
      </c>
      <c r="E171" s="665" t="s">
        <v>293</v>
      </c>
      <c r="F171" s="553" t="str">
        <f t="shared" si="27"/>
        <v>PREVCaminhão tanque com capacidade de 10.000 l - 188 kW (horas produtivas)</v>
      </c>
      <c r="G171" s="611" t="s">
        <v>74</v>
      </c>
      <c r="H171" s="344" t="s">
        <v>247</v>
      </c>
      <c r="I171" s="321">
        <v>0.8</v>
      </c>
      <c r="J171" s="345">
        <v>1</v>
      </c>
      <c r="K171" s="345">
        <v>1</v>
      </c>
      <c r="L171" s="345">
        <v>1</v>
      </c>
      <c r="M171" s="345">
        <v>1</v>
      </c>
      <c r="N171" s="345">
        <v>1</v>
      </c>
      <c r="O171" s="345">
        <v>1</v>
      </c>
      <c r="P171" s="345">
        <v>1</v>
      </c>
      <c r="Q171" s="345">
        <v>1</v>
      </c>
      <c r="R171" s="345">
        <v>1</v>
      </c>
      <c r="S171" s="345">
        <v>1</v>
      </c>
      <c r="T171" s="345">
        <v>1</v>
      </c>
      <c r="U171" s="345">
        <v>0.2</v>
      </c>
      <c r="V171" s="308">
        <f t="shared" si="28"/>
        <v>12</v>
      </c>
      <c r="W171" s="308">
        <v>16000</v>
      </c>
      <c r="X171" s="309">
        <f t="shared" si="29"/>
        <v>192000</v>
      </c>
      <c r="Y171" s="310" t="s">
        <v>74</v>
      </c>
      <c r="Z171" s="575"/>
      <c r="AA171" s="567"/>
    </row>
    <row r="172" spans="1:27" s="318" customFormat="1" ht="15" customHeight="1" outlineLevel="1">
      <c r="A172" s="282">
        <v>168</v>
      </c>
      <c r="B172" s="282" t="s">
        <v>1</v>
      </c>
      <c r="C172" s="312" t="s">
        <v>442</v>
      </c>
      <c r="D172" s="346" t="s">
        <v>216</v>
      </c>
      <c r="E172" s="314" t="s">
        <v>293</v>
      </c>
      <c r="F172" s="553" t="str">
        <f t="shared" si="27"/>
        <v>REALCaminhão tanque com capacidade de 10.000 l - 188 kW (horas produtivas)</v>
      </c>
      <c r="G172" s="609">
        <f>Y172</f>
        <v>0.31666666666666665</v>
      </c>
      <c r="H172" s="347" t="s">
        <v>247</v>
      </c>
      <c r="I172" s="323">
        <v>0.8</v>
      </c>
      <c r="J172" s="323">
        <v>1</v>
      </c>
      <c r="K172" s="323">
        <v>1</v>
      </c>
      <c r="L172" s="323">
        <v>1</v>
      </c>
      <c r="M172" s="323"/>
      <c r="N172" s="323"/>
      <c r="O172" s="323"/>
      <c r="P172" s="323"/>
      <c r="Q172" s="348"/>
      <c r="R172" s="323"/>
      <c r="S172" s="323"/>
      <c r="T172" s="323"/>
      <c r="U172" s="323"/>
      <c r="V172" s="316">
        <f t="shared" si="28"/>
        <v>3.8</v>
      </c>
      <c r="W172" s="316">
        <v>16000</v>
      </c>
      <c r="X172" s="317">
        <f t="shared" si="29"/>
        <v>60800</v>
      </c>
      <c r="Y172" s="310">
        <f>X172/X171</f>
        <v>0.31666666666666665</v>
      </c>
      <c r="Z172" s="575"/>
      <c r="AA172" s="567"/>
    </row>
    <row r="173" spans="1:27" s="311" customFormat="1" ht="15" customHeight="1" outlineLevel="1">
      <c r="A173" s="273">
        <v>169</v>
      </c>
      <c r="B173" s="273" t="s">
        <v>0</v>
      </c>
      <c r="C173" s="664" t="s">
        <v>443</v>
      </c>
      <c r="D173" s="343" t="s">
        <v>217</v>
      </c>
      <c r="E173" s="665" t="s">
        <v>294</v>
      </c>
      <c r="F173" s="553" t="str">
        <f t="shared" si="27"/>
        <v>PREVCaminhão tanque com capacidade de 10.000 l - 188 kW (horas improdutivas)</v>
      </c>
      <c r="G173" s="611" t="s">
        <v>74</v>
      </c>
      <c r="H173" s="344" t="s">
        <v>247</v>
      </c>
      <c r="I173" s="321">
        <v>0.8</v>
      </c>
      <c r="J173" s="345">
        <v>1</v>
      </c>
      <c r="K173" s="345">
        <v>1</v>
      </c>
      <c r="L173" s="345">
        <v>1</v>
      </c>
      <c r="M173" s="345">
        <v>1</v>
      </c>
      <c r="N173" s="345">
        <v>1</v>
      </c>
      <c r="O173" s="345">
        <v>1</v>
      </c>
      <c r="P173" s="345">
        <v>1</v>
      </c>
      <c r="Q173" s="345">
        <v>1</v>
      </c>
      <c r="R173" s="345">
        <v>1</v>
      </c>
      <c r="S173" s="345">
        <v>1</v>
      </c>
      <c r="T173" s="345">
        <v>1</v>
      </c>
      <c r="U173" s="345">
        <v>0.2</v>
      </c>
      <c r="V173" s="308">
        <f t="shared" si="28"/>
        <v>12</v>
      </c>
      <c r="W173" s="308">
        <v>18000</v>
      </c>
      <c r="X173" s="309">
        <f t="shared" si="29"/>
        <v>216000</v>
      </c>
      <c r="Y173" s="310" t="s">
        <v>74</v>
      </c>
      <c r="Z173" s="575"/>
      <c r="AA173" s="567"/>
    </row>
    <row r="174" spans="1:27" s="318" customFormat="1" ht="15" customHeight="1" outlineLevel="1">
      <c r="A174" s="282">
        <v>170</v>
      </c>
      <c r="B174" s="282" t="s">
        <v>1</v>
      </c>
      <c r="C174" s="312" t="s">
        <v>443</v>
      </c>
      <c r="D174" s="346" t="s">
        <v>217</v>
      </c>
      <c r="E174" s="314" t="s">
        <v>294</v>
      </c>
      <c r="F174" s="553" t="str">
        <f t="shared" si="27"/>
        <v>REALCaminhão tanque com capacidade de 10.000 l - 188 kW (horas improdutivas)</v>
      </c>
      <c r="G174" s="609">
        <f>Y174</f>
        <v>0.31666666666666665</v>
      </c>
      <c r="H174" s="347" t="s">
        <v>247</v>
      </c>
      <c r="I174" s="323">
        <v>0.8</v>
      </c>
      <c r="J174" s="323">
        <v>1</v>
      </c>
      <c r="K174" s="323">
        <v>1</v>
      </c>
      <c r="L174" s="323">
        <v>1</v>
      </c>
      <c r="M174" s="323"/>
      <c r="N174" s="323"/>
      <c r="O174" s="323"/>
      <c r="P174" s="323"/>
      <c r="Q174" s="348"/>
      <c r="R174" s="323"/>
      <c r="S174" s="323"/>
      <c r="T174" s="323"/>
      <c r="U174" s="323"/>
      <c r="V174" s="316">
        <f t="shared" si="28"/>
        <v>3.8</v>
      </c>
      <c r="W174" s="316">
        <v>18000</v>
      </c>
      <c r="X174" s="317">
        <f t="shared" si="29"/>
        <v>68400</v>
      </c>
      <c r="Y174" s="310">
        <f>X174/X173</f>
        <v>0.31666666666666665</v>
      </c>
      <c r="Z174" s="575"/>
      <c r="AA174" s="567"/>
    </row>
    <row r="175" spans="1:27" s="311" customFormat="1" ht="15" customHeight="1" outlineLevel="1">
      <c r="A175" s="273">
        <v>171</v>
      </c>
      <c r="B175" s="273" t="s">
        <v>0</v>
      </c>
      <c r="C175" s="664" t="s">
        <v>444</v>
      </c>
      <c r="D175" s="343" t="s">
        <v>219</v>
      </c>
      <c r="E175" s="665" t="s">
        <v>295</v>
      </c>
      <c r="F175" s="553" t="str">
        <f t="shared" si="27"/>
        <v>PREVCaminhão basculante com capacidade de 10 m³ - 188 kW (horas produtivas)</v>
      </c>
      <c r="G175" s="611" t="s">
        <v>74</v>
      </c>
      <c r="H175" s="344" t="s">
        <v>247</v>
      </c>
      <c r="I175" s="321">
        <v>0.8</v>
      </c>
      <c r="J175" s="345">
        <v>1</v>
      </c>
      <c r="K175" s="345">
        <v>1</v>
      </c>
      <c r="L175" s="345">
        <v>1</v>
      </c>
      <c r="M175" s="345">
        <v>1</v>
      </c>
      <c r="N175" s="345">
        <v>1</v>
      </c>
      <c r="O175" s="345">
        <v>1</v>
      </c>
      <c r="P175" s="345">
        <v>1</v>
      </c>
      <c r="Q175" s="345">
        <v>1</v>
      </c>
      <c r="R175" s="345">
        <v>1</v>
      </c>
      <c r="S175" s="345">
        <v>1</v>
      </c>
      <c r="T175" s="345">
        <v>1</v>
      </c>
      <c r="U175" s="345">
        <v>0.2</v>
      </c>
      <c r="V175" s="308">
        <f t="shared" si="28"/>
        <v>12</v>
      </c>
      <c r="W175" s="308">
        <v>16000</v>
      </c>
      <c r="X175" s="309">
        <f t="shared" si="29"/>
        <v>192000</v>
      </c>
      <c r="Y175" s="310" t="s">
        <v>74</v>
      </c>
      <c r="Z175" s="575"/>
      <c r="AA175" s="567"/>
    </row>
    <row r="176" spans="1:27" s="318" customFormat="1" ht="15" customHeight="1" outlineLevel="1">
      <c r="A176" s="282">
        <v>172</v>
      </c>
      <c r="B176" s="282" t="s">
        <v>1</v>
      </c>
      <c r="C176" s="312" t="s">
        <v>444</v>
      </c>
      <c r="D176" s="346" t="s">
        <v>219</v>
      </c>
      <c r="E176" s="314" t="s">
        <v>295</v>
      </c>
      <c r="F176" s="553" t="str">
        <f t="shared" si="27"/>
        <v>REALCaminhão basculante com capacidade de 10 m³ - 188 kW (horas produtivas)</v>
      </c>
      <c r="G176" s="609">
        <f>Y176</f>
        <v>0.31666666666666665</v>
      </c>
      <c r="H176" s="347" t="s">
        <v>247</v>
      </c>
      <c r="I176" s="323">
        <v>0.8</v>
      </c>
      <c r="J176" s="323">
        <v>1</v>
      </c>
      <c r="K176" s="323">
        <v>1</v>
      </c>
      <c r="L176" s="323">
        <v>1</v>
      </c>
      <c r="M176" s="323"/>
      <c r="N176" s="323"/>
      <c r="O176" s="323"/>
      <c r="P176" s="323"/>
      <c r="Q176" s="348"/>
      <c r="R176" s="323"/>
      <c r="S176" s="323"/>
      <c r="T176" s="323"/>
      <c r="U176" s="323"/>
      <c r="V176" s="316">
        <f t="shared" si="28"/>
        <v>3.8</v>
      </c>
      <c r="W176" s="316">
        <v>16000</v>
      </c>
      <c r="X176" s="317">
        <f t="shared" si="29"/>
        <v>60800</v>
      </c>
      <c r="Y176" s="310">
        <f>X176/X175</f>
        <v>0.31666666666666665</v>
      </c>
      <c r="Z176" s="575"/>
      <c r="AA176" s="567"/>
    </row>
    <row r="177" spans="1:27" s="311" customFormat="1" ht="15" customHeight="1" outlineLevel="1">
      <c r="A177" s="273">
        <v>173</v>
      </c>
      <c r="B177" s="273" t="s">
        <v>0</v>
      </c>
      <c r="C177" s="664" t="s">
        <v>445</v>
      </c>
      <c r="D177" s="343" t="s">
        <v>220</v>
      </c>
      <c r="E177" s="665" t="s">
        <v>296</v>
      </c>
      <c r="F177" s="553" t="str">
        <f t="shared" si="27"/>
        <v>PREVCaminhão basculante com capacidade de 10 m³ - 188 kW (horas improdutivas)</v>
      </c>
      <c r="G177" s="611" t="s">
        <v>74</v>
      </c>
      <c r="H177" s="344" t="s">
        <v>247</v>
      </c>
      <c r="I177" s="321">
        <v>0.8</v>
      </c>
      <c r="J177" s="345">
        <v>1</v>
      </c>
      <c r="K177" s="345">
        <v>1</v>
      </c>
      <c r="L177" s="345">
        <v>1</v>
      </c>
      <c r="M177" s="345">
        <v>1</v>
      </c>
      <c r="N177" s="345">
        <v>1</v>
      </c>
      <c r="O177" s="345">
        <v>1</v>
      </c>
      <c r="P177" s="345">
        <v>1</v>
      </c>
      <c r="Q177" s="345">
        <v>1</v>
      </c>
      <c r="R177" s="345">
        <v>1</v>
      </c>
      <c r="S177" s="345">
        <v>1</v>
      </c>
      <c r="T177" s="345">
        <v>1</v>
      </c>
      <c r="U177" s="345">
        <v>0.2</v>
      </c>
      <c r="V177" s="308">
        <f t="shared" si="28"/>
        <v>12</v>
      </c>
      <c r="W177" s="308">
        <v>18000</v>
      </c>
      <c r="X177" s="309">
        <f t="shared" si="29"/>
        <v>216000</v>
      </c>
      <c r="Y177" s="310" t="s">
        <v>74</v>
      </c>
      <c r="Z177" s="575"/>
      <c r="AA177" s="567"/>
    </row>
    <row r="178" spans="1:27" s="318" customFormat="1" ht="15" customHeight="1" outlineLevel="1">
      <c r="A178" s="282">
        <v>174</v>
      </c>
      <c r="B178" s="282" t="s">
        <v>1</v>
      </c>
      <c r="C178" s="312" t="s">
        <v>445</v>
      </c>
      <c r="D178" s="346" t="s">
        <v>220</v>
      </c>
      <c r="E178" s="314" t="s">
        <v>296</v>
      </c>
      <c r="F178" s="553" t="str">
        <f t="shared" si="27"/>
        <v>REALCaminhão basculante com capacidade de 10 m³ - 188 kW (horas improdutivas)</v>
      </c>
      <c r="G178" s="609">
        <f>Y178</f>
        <v>0.31666666666666665</v>
      </c>
      <c r="H178" s="347" t="s">
        <v>247</v>
      </c>
      <c r="I178" s="323">
        <v>0.8</v>
      </c>
      <c r="J178" s="323">
        <v>1</v>
      </c>
      <c r="K178" s="323">
        <v>1</v>
      </c>
      <c r="L178" s="323">
        <v>1</v>
      </c>
      <c r="M178" s="323"/>
      <c r="N178" s="323"/>
      <c r="O178" s="323"/>
      <c r="P178" s="323"/>
      <c r="Q178" s="348"/>
      <c r="R178" s="323"/>
      <c r="S178" s="323"/>
      <c r="T178" s="323"/>
      <c r="U178" s="323"/>
      <c r="V178" s="316">
        <f t="shared" si="28"/>
        <v>3.8</v>
      </c>
      <c r="W178" s="316">
        <v>18000</v>
      </c>
      <c r="X178" s="317">
        <f t="shared" si="29"/>
        <v>68400</v>
      </c>
      <c r="Y178" s="310">
        <f>X178/X177</f>
        <v>0.31666666666666665</v>
      </c>
      <c r="Z178" s="575"/>
      <c r="AA178" s="567"/>
    </row>
    <row r="179" spans="1:27" s="311" customFormat="1" ht="15" customHeight="1" outlineLevel="1">
      <c r="A179" s="273">
        <v>175</v>
      </c>
      <c r="B179" s="273" t="s">
        <v>0</v>
      </c>
      <c r="C179" s="664" t="s">
        <v>446</v>
      </c>
      <c r="D179" s="343" t="s">
        <v>222</v>
      </c>
      <c r="E179" s="665" t="s">
        <v>297</v>
      </c>
      <c r="F179" s="553" t="str">
        <f t="shared" si="27"/>
        <v>PREVMotoniveladora - 93 kW (horas produtivas)</v>
      </c>
      <c r="G179" s="611" t="s">
        <v>74</v>
      </c>
      <c r="H179" s="344" t="s">
        <v>247</v>
      </c>
      <c r="I179" s="321">
        <v>0.8</v>
      </c>
      <c r="J179" s="345">
        <v>1</v>
      </c>
      <c r="K179" s="345">
        <v>1</v>
      </c>
      <c r="L179" s="345">
        <v>1</v>
      </c>
      <c r="M179" s="345">
        <v>1</v>
      </c>
      <c r="N179" s="345">
        <v>1</v>
      </c>
      <c r="O179" s="345">
        <v>1</v>
      </c>
      <c r="P179" s="345">
        <v>1</v>
      </c>
      <c r="Q179" s="345">
        <v>1</v>
      </c>
      <c r="R179" s="345">
        <v>1</v>
      </c>
      <c r="S179" s="345">
        <v>1</v>
      </c>
      <c r="T179" s="345">
        <v>1</v>
      </c>
      <c r="U179" s="345">
        <v>0.2</v>
      </c>
      <c r="V179" s="308">
        <f t="shared" si="28"/>
        <v>12</v>
      </c>
      <c r="W179" s="308">
        <v>16000</v>
      </c>
      <c r="X179" s="309">
        <f t="shared" si="29"/>
        <v>192000</v>
      </c>
      <c r="Y179" s="310" t="s">
        <v>74</v>
      </c>
      <c r="Z179" s="575"/>
      <c r="AA179" s="567"/>
    </row>
    <row r="180" spans="1:27" s="318" customFormat="1" ht="15" customHeight="1" outlineLevel="1">
      <c r="A180" s="282">
        <v>176</v>
      </c>
      <c r="B180" s="282" t="s">
        <v>1</v>
      </c>
      <c r="C180" s="312" t="s">
        <v>446</v>
      </c>
      <c r="D180" s="346" t="s">
        <v>222</v>
      </c>
      <c r="E180" s="314" t="s">
        <v>297</v>
      </c>
      <c r="F180" s="553" t="str">
        <f t="shared" si="27"/>
        <v>REALMotoniveladora - 93 kW (horas produtivas)</v>
      </c>
      <c r="G180" s="609">
        <f>Y180</f>
        <v>0.31666666666666665</v>
      </c>
      <c r="H180" s="347" t="s">
        <v>247</v>
      </c>
      <c r="I180" s="323">
        <v>0.8</v>
      </c>
      <c r="J180" s="323">
        <v>1</v>
      </c>
      <c r="K180" s="323">
        <v>1</v>
      </c>
      <c r="L180" s="323">
        <v>1</v>
      </c>
      <c r="M180" s="323"/>
      <c r="N180" s="323"/>
      <c r="O180" s="323"/>
      <c r="P180" s="323"/>
      <c r="Q180" s="348"/>
      <c r="R180" s="323"/>
      <c r="S180" s="323"/>
      <c r="T180" s="323"/>
      <c r="U180" s="323"/>
      <c r="V180" s="316">
        <f t="shared" si="28"/>
        <v>3.8</v>
      </c>
      <c r="W180" s="316">
        <v>16000</v>
      </c>
      <c r="X180" s="317">
        <f t="shared" si="29"/>
        <v>60800</v>
      </c>
      <c r="Y180" s="310">
        <f>X180/X179</f>
        <v>0.31666666666666665</v>
      </c>
      <c r="Z180" s="575"/>
      <c r="AA180" s="567"/>
    </row>
    <row r="181" spans="1:27" s="311" customFormat="1" ht="15" customHeight="1" outlineLevel="1">
      <c r="A181" s="273">
        <v>177</v>
      </c>
      <c r="B181" s="273" t="s">
        <v>0</v>
      </c>
      <c r="C181" s="664" t="s">
        <v>447</v>
      </c>
      <c r="D181" s="343" t="s">
        <v>223</v>
      </c>
      <c r="E181" s="665" t="s">
        <v>298</v>
      </c>
      <c r="F181" s="553" t="str">
        <f t="shared" si="27"/>
        <v>PREVMotoniveladora - 93 kW (horas improdutivas)</v>
      </c>
      <c r="G181" s="611" t="s">
        <v>74</v>
      </c>
      <c r="H181" s="344" t="s">
        <v>247</v>
      </c>
      <c r="I181" s="321">
        <v>0.8</v>
      </c>
      <c r="J181" s="345">
        <v>1</v>
      </c>
      <c r="K181" s="345">
        <v>1</v>
      </c>
      <c r="L181" s="345">
        <v>1</v>
      </c>
      <c r="M181" s="345">
        <v>1</v>
      </c>
      <c r="N181" s="345">
        <v>1</v>
      </c>
      <c r="O181" s="345">
        <v>1</v>
      </c>
      <c r="P181" s="345">
        <v>1</v>
      </c>
      <c r="Q181" s="345">
        <v>1</v>
      </c>
      <c r="R181" s="345">
        <v>1</v>
      </c>
      <c r="S181" s="345">
        <v>1</v>
      </c>
      <c r="T181" s="345">
        <v>1</v>
      </c>
      <c r="U181" s="345">
        <v>0.2</v>
      </c>
      <c r="V181" s="308">
        <f t="shared" si="28"/>
        <v>12</v>
      </c>
      <c r="W181" s="308">
        <v>18000</v>
      </c>
      <c r="X181" s="309">
        <f t="shared" si="29"/>
        <v>216000</v>
      </c>
      <c r="Y181" s="310" t="s">
        <v>74</v>
      </c>
      <c r="Z181" s="575"/>
      <c r="AA181" s="567"/>
    </row>
    <row r="182" spans="1:27" s="318" customFormat="1" ht="15" customHeight="1" outlineLevel="1">
      <c r="A182" s="282">
        <v>178</v>
      </c>
      <c r="B182" s="282" t="s">
        <v>1</v>
      </c>
      <c r="C182" s="312" t="s">
        <v>447</v>
      </c>
      <c r="D182" s="346" t="s">
        <v>223</v>
      </c>
      <c r="E182" s="314" t="s">
        <v>298</v>
      </c>
      <c r="F182" s="553" t="str">
        <f t="shared" si="27"/>
        <v>REALMotoniveladora - 93 kW (horas improdutivas)</v>
      </c>
      <c r="G182" s="609">
        <f>Y182</f>
        <v>0.31666666666666665</v>
      </c>
      <c r="H182" s="347" t="s">
        <v>247</v>
      </c>
      <c r="I182" s="323">
        <v>0.8</v>
      </c>
      <c r="J182" s="323">
        <v>1</v>
      </c>
      <c r="K182" s="323">
        <v>1</v>
      </c>
      <c r="L182" s="323">
        <v>1</v>
      </c>
      <c r="M182" s="323"/>
      <c r="N182" s="323"/>
      <c r="O182" s="323"/>
      <c r="P182" s="323"/>
      <c r="Q182" s="348"/>
      <c r="R182" s="323"/>
      <c r="S182" s="323"/>
      <c r="T182" s="323"/>
      <c r="U182" s="323"/>
      <c r="V182" s="316">
        <f t="shared" si="28"/>
        <v>3.8</v>
      </c>
      <c r="W182" s="316">
        <v>18000</v>
      </c>
      <c r="X182" s="317">
        <f t="shared" si="29"/>
        <v>68400</v>
      </c>
      <c r="Y182" s="310">
        <f>X182/X181</f>
        <v>0.31666666666666665</v>
      </c>
      <c r="Z182" s="575"/>
      <c r="AA182" s="567"/>
    </row>
    <row r="183" spans="1:27" s="311" customFormat="1" ht="15" customHeight="1" outlineLevel="1">
      <c r="A183" s="273">
        <v>179</v>
      </c>
      <c r="B183" s="273" t="s">
        <v>0</v>
      </c>
      <c r="C183" s="664" t="s">
        <v>448</v>
      </c>
      <c r="D183" s="343" t="s">
        <v>225</v>
      </c>
      <c r="E183" s="665" t="s">
        <v>299</v>
      </c>
      <c r="F183" s="553" t="str">
        <f t="shared" si="27"/>
        <v>PREVRetroescavadeira de pneus com capacidade de 0,76 m³ - 58 kW (horas produtivas)</v>
      </c>
      <c r="G183" s="611" t="s">
        <v>74</v>
      </c>
      <c r="H183" s="344" t="s">
        <v>247</v>
      </c>
      <c r="I183" s="321">
        <v>0.8</v>
      </c>
      <c r="J183" s="345">
        <v>1</v>
      </c>
      <c r="K183" s="345">
        <v>1</v>
      </c>
      <c r="L183" s="345">
        <v>1</v>
      </c>
      <c r="M183" s="345">
        <v>1</v>
      </c>
      <c r="N183" s="345">
        <v>1</v>
      </c>
      <c r="O183" s="345">
        <v>1</v>
      </c>
      <c r="P183" s="345">
        <v>1</v>
      </c>
      <c r="Q183" s="345">
        <v>1</v>
      </c>
      <c r="R183" s="345">
        <v>1</v>
      </c>
      <c r="S183" s="345">
        <v>1</v>
      </c>
      <c r="T183" s="345">
        <v>1</v>
      </c>
      <c r="U183" s="345">
        <v>0.2</v>
      </c>
      <c r="V183" s="308">
        <f t="shared" si="28"/>
        <v>12</v>
      </c>
      <c r="W183" s="308">
        <v>16000</v>
      </c>
      <c r="X183" s="309">
        <f t="shared" si="29"/>
        <v>192000</v>
      </c>
      <c r="Y183" s="310" t="s">
        <v>74</v>
      </c>
      <c r="Z183" s="575"/>
      <c r="AA183" s="567"/>
    </row>
    <row r="184" spans="1:27" s="318" customFormat="1" ht="15" customHeight="1" outlineLevel="1">
      <c r="A184" s="282">
        <v>180</v>
      </c>
      <c r="B184" s="282" t="s">
        <v>1</v>
      </c>
      <c r="C184" s="312" t="s">
        <v>448</v>
      </c>
      <c r="D184" s="346" t="s">
        <v>225</v>
      </c>
      <c r="E184" s="314" t="s">
        <v>299</v>
      </c>
      <c r="F184" s="553" t="str">
        <f t="shared" si="27"/>
        <v>REALRetroescavadeira de pneus com capacidade de 0,76 m³ - 58 kW (horas produtivas)</v>
      </c>
      <c r="G184" s="609">
        <f>Y184</f>
        <v>0.31666666666666665</v>
      </c>
      <c r="H184" s="347" t="s">
        <v>247</v>
      </c>
      <c r="I184" s="323">
        <v>0.8</v>
      </c>
      <c r="J184" s="323">
        <v>1</v>
      </c>
      <c r="K184" s="323">
        <v>1</v>
      </c>
      <c r="L184" s="323">
        <v>1</v>
      </c>
      <c r="M184" s="323"/>
      <c r="N184" s="323"/>
      <c r="O184" s="323"/>
      <c r="P184" s="323"/>
      <c r="Q184" s="348"/>
      <c r="R184" s="323"/>
      <c r="S184" s="323"/>
      <c r="T184" s="323"/>
      <c r="U184" s="323"/>
      <c r="V184" s="316">
        <f t="shared" si="28"/>
        <v>3.8</v>
      </c>
      <c r="W184" s="316">
        <v>16000</v>
      </c>
      <c r="X184" s="317">
        <f t="shared" si="29"/>
        <v>60800</v>
      </c>
      <c r="Y184" s="310">
        <f>X184/X183</f>
        <v>0.31666666666666665</v>
      </c>
      <c r="Z184" s="575"/>
      <c r="AA184" s="567"/>
    </row>
    <row r="185" spans="1:27" s="311" customFormat="1" ht="15" customHeight="1" outlineLevel="1">
      <c r="A185" s="273">
        <v>181</v>
      </c>
      <c r="B185" s="273" t="s">
        <v>0</v>
      </c>
      <c r="C185" s="664" t="s">
        <v>449</v>
      </c>
      <c r="D185" s="343" t="s">
        <v>226</v>
      </c>
      <c r="E185" s="665" t="s">
        <v>300</v>
      </c>
      <c r="F185" s="553" t="str">
        <f t="shared" si="27"/>
        <v>PREVRetroescavadeira de pneus com capacidade de 0,76 m³ - 58 kW (horas improdutivas)</v>
      </c>
      <c r="G185" s="611" t="s">
        <v>74</v>
      </c>
      <c r="H185" s="344" t="s">
        <v>247</v>
      </c>
      <c r="I185" s="321">
        <v>0.8</v>
      </c>
      <c r="J185" s="345">
        <v>1</v>
      </c>
      <c r="K185" s="345">
        <v>1</v>
      </c>
      <c r="L185" s="345">
        <v>1</v>
      </c>
      <c r="M185" s="345">
        <v>1</v>
      </c>
      <c r="N185" s="345">
        <v>1</v>
      </c>
      <c r="O185" s="345">
        <v>1</v>
      </c>
      <c r="P185" s="345">
        <v>1</v>
      </c>
      <c r="Q185" s="345">
        <v>1</v>
      </c>
      <c r="R185" s="345">
        <v>1</v>
      </c>
      <c r="S185" s="345">
        <v>1</v>
      </c>
      <c r="T185" s="345">
        <v>1</v>
      </c>
      <c r="U185" s="345">
        <v>0.2</v>
      </c>
      <c r="V185" s="308">
        <f t="shared" si="28"/>
        <v>12</v>
      </c>
      <c r="W185" s="308">
        <v>18000</v>
      </c>
      <c r="X185" s="309">
        <f t="shared" si="29"/>
        <v>216000</v>
      </c>
      <c r="Y185" s="310" t="s">
        <v>74</v>
      </c>
      <c r="Z185" s="575"/>
      <c r="AA185" s="567"/>
    </row>
    <row r="186" spans="1:27" s="318" customFormat="1" ht="15" customHeight="1" outlineLevel="1">
      <c r="A186" s="282">
        <v>182</v>
      </c>
      <c r="B186" s="282" t="s">
        <v>1</v>
      </c>
      <c r="C186" s="312" t="s">
        <v>449</v>
      </c>
      <c r="D186" s="346" t="s">
        <v>226</v>
      </c>
      <c r="E186" s="314" t="s">
        <v>300</v>
      </c>
      <c r="F186" s="553" t="str">
        <f t="shared" si="27"/>
        <v>REALRetroescavadeira de pneus com capacidade de 0,76 m³ - 58 kW (horas improdutivas)</v>
      </c>
      <c r="G186" s="609">
        <f>Y186</f>
        <v>0.31666666666666665</v>
      </c>
      <c r="H186" s="347" t="s">
        <v>247</v>
      </c>
      <c r="I186" s="323">
        <v>0.8</v>
      </c>
      <c r="J186" s="323">
        <v>1</v>
      </c>
      <c r="K186" s="323">
        <v>1</v>
      </c>
      <c r="L186" s="323">
        <v>1</v>
      </c>
      <c r="M186" s="323"/>
      <c r="N186" s="323"/>
      <c r="O186" s="323"/>
      <c r="P186" s="323"/>
      <c r="Q186" s="348"/>
      <c r="R186" s="323"/>
      <c r="S186" s="323"/>
      <c r="T186" s="323"/>
      <c r="U186" s="323"/>
      <c r="V186" s="316">
        <f t="shared" si="28"/>
        <v>3.8</v>
      </c>
      <c r="W186" s="316">
        <v>18000</v>
      </c>
      <c r="X186" s="317">
        <f t="shared" si="29"/>
        <v>68400</v>
      </c>
      <c r="Y186" s="310">
        <f>X186/X177</f>
        <v>0.31666666666666665</v>
      </c>
      <c r="Z186" s="575"/>
      <c r="AA186" s="567"/>
    </row>
    <row r="187" spans="1:27" s="311" customFormat="1" ht="15" customHeight="1">
      <c r="A187" s="273">
        <v>183</v>
      </c>
      <c r="B187" s="273" t="s">
        <v>0</v>
      </c>
      <c r="C187" s="289" t="s">
        <v>450</v>
      </c>
      <c r="D187" s="290" t="s">
        <v>229</v>
      </c>
      <c r="E187" s="291" t="s">
        <v>306</v>
      </c>
      <c r="F187" s="291"/>
      <c r="G187" s="610"/>
      <c r="H187" s="292"/>
      <c r="I187" s="396"/>
      <c r="J187" s="396"/>
      <c r="K187" s="396"/>
      <c r="L187" s="396"/>
      <c r="M187" s="396"/>
      <c r="N187" s="396"/>
      <c r="O187" s="396"/>
      <c r="P187" s="396"/>
      <c r="Q187" s="396"/>
      <c r="R187" s="396"/>
      <c r="S187" s="396"/>
      <c r="T187" s="396"/>
      <c r="U187" s="396"/>
      <c r="V187" s="319">
        <v>0</v>
      </c>
      <c r="W187" s="319">
        <v>0</v>
      </c>
      <c r="X187" s="370">
        <f>SUMIF(B189:B218,B187,X189:X218)</f>
        <v>83259.575400000002</v>
      </c>
      <c r="Y187" s="295" t="s">
        <v>74</v>
      </c>
      <c r="Z187" s="578"/>
      <c r="AA187" s="567"/>
    </row>
    <row r="188" spans="1:27" s="318" customFormat="1" ht="15" customHeight="1">
      <c r="A188" s="282">
        <v>184</v>
      </c>
      <c r="B188" s="282" t="s">
        <v>1</v>
      </c>
      <c r="C188" s="297" t="s">
        <v>450</v>
      </c>
      <c r="D188" s="298" t="s">
        <v>229</v>
      </c>
      <c r="E188" s="320" t="s">
        <v>306</v>
      </c>
      <c r="F188" s="320"/>
      <c r="G188" s="612"/>
      <c r="H188" s="300"/>
      <c r="I188" s="397"/>
      <c r="J188" s="397"/>
      <c r="K188" s="397"/>
      <c r="L188" s="397"/>
      <c r="M188" s="397"/>
      <c r="N188" s="397"/>
      <c r="O188" s="397"/>
      <c r="P188" s="397"/>
      <c r="Q188" s="397"/>
      <c r="R188" s="397"/>
      <c r="S188" s="397"/>
      <c r="T188" s="397"/>
      <c r="U188" s="397"/>
      <c r="V188" s="302">
        <v>0</v>
      </c>
      <c r="W188" s="302">
        <v>0</v>
      </c>
      <c r="X188" s="303">
        <f>SUMIF(B189:B218,B188,X189:X218)</f>
        <v>13815.524133435583</v>
      </c>
      <c r="Y188" s="295">
        <f>X188/X187</f>
        <v>0.16593315624133706</v>
      </c>
      <c r="Z188" s="571"/>
      <c r="AA188" s="567"/>
    </row>
    <row r="189" spans="1:27" s="311" customFormat="1" ht="15" customHeight="1" outlineLevel="1">
      <c r="A189" s="273">
        <v>185</v>
      </c>
      <c r="B189" s="273" t="s">
        <v>0</v>
      </c>
      <c r="C189" s="376" t="s">
        <v>451</v>
      </c>
      <c r="D189" s="306" t="s">
        <v>452</v>
      </c>
      <c r="E189" s="377" t="s">
        <v>451</v>
      </c>
      <c r="F189" s="553" t="str">
        <f t="shared" ref="F189:F218" si="30">B189&amp;D189</f>
        <v>PREVAr comprinido seco Aerossol 300 ml</v>
      </c>
      <c r="G189" s="611" t="s">
        <v>74</v>
      </c>
      <c r="H189" s="307" t="s">
        <v>228</v>
      </c>
      <c r="I189" s="321">
        <v>5.1360000000000001</v>
      </c>
      <c r="J189" s="321">
        <v>6.42</v>
      </c>
      <c r="K189" s="321">
        <v>6.42</v>
      </c>
      <c r="L189" s="321">
        <v>6.42</v>
      </c>
      <c r="M189" s="321">
        <v>6.42</v>
      </c>
      <c r="N189" s="321">
        <v>6.42</v>
      </c>
      <c r="O189" s="321">
        <v>6.42</v>
      </c>
      <c r="P189" s="321">
        <v>6.42</v>
      </c>
      <c r="Q189" s="321">
        <v>6.41</v>
      </c>
      <c r="R189" s="321">
        <v>6.41</v>
      </c>
      <c r="S189" s="321">
        <v>6.41</v>
      </c>
      <c r="T189" s="321">
        <v>6.41</v>
      </c>
      <c r="U189" s="321">
        <v>1.282</v>
      </c>
      <c r="V189" s="308">
        <f t="shared" ref="V189:V218" si="31">SUM(I189:U189)</f>
        <v>76.99799999999999</v>
      </c>
      <c r="W189" s="308">
        <v>38.659999999999997</v>
      </c>
      <c r="X189" s="308">
        <f t="shared" ref="X189:X218" si="32">W189*V189</f>
        <v>2976.7426799999994</v>
      </c>
      <c r="Y189" s="322" t="s">
        <v>74</v>
      </c>
      <c r="Z189" s="575"/>
      <c r="AA189" s="567"/>
    </row>
    <row r="190" spans="1:27" s="318" customFormat="1" ht="15" customHeight="1" outlineLevel="1">
      <c r="A190" s="282">
        <v>186</v>
      </c>
      <c r="B190" s="282" t="s">
        <v>1</v>
      </c>
      <c r="C190" s="378" t="s">
        <v>451</v>
      </c>
      <c r="D190" s="313" t="s">
        <v>452</v>
      </c>
      <c r="E190" s="379" t="s">
        <v>451</v>
      </c>
      <c r="F190" s="553" t="str">
        <f t="shared" si="30"/>
        <v>REALAr comprinido seco Aerossol 300 ml</v>
      </c>
      <c r="G190" s="609">
        <f>Y190</f>
        <v>0.40260785994441417</v>
      </c>
      <c r="H190" s="315" t="s">
        <v>228</v>
      </c>
      <c r="I190" s="323">
        <v>7</v>
      </c>
      <c r="J190" s="323">
        <v>7</v>
      </c>
      <c r="K190" s="323">
        <v>10</v>
      </c>
      <c r="L190" s="323">
        <v>7</v>
      </c>
      <c r="M190" s="323"/>
      <c r="N190" s="323"/>
      <c r="O190" s="323"/>
      <c r="P190" s="323"/>
      <c r="Q190" s="323"/>
      <c r="R190" s="323"/>
      <c r="S190" s="323"/>
      <c r="T190" s="323"/>
      <c r="U190" s="323"/>
      <c r="V190" s="316">
        <f t="shared" si="31"/>
        <v>31</v>
      </c>
      <c r="W190" s="316">
        <v>38.659999999999997</v>
      </c>
      <c r="X190" s="316">
        <f t="shared" si="32"/>
        <v>1198.4599999999998</v>
      </c>
      <c r="Y190" s="322">
        <f>X190/X189</f>
        <v>0.40260785994441417</v>
      </c>
      <c r="Z190" s="572"/>
      <c r="AA190" s="567"/>
    </row>
    <row r="191" spans="1:27" s="311" customFormat="1" ht="15" customHeight="1" outlineLevel="1">
      <c r="A191" s="273">
        <v>187</v>
      </c>
      <c r="B191" s="273" t="s">
        <v>0</v>
      </c>
      <c r="C191" s="376" t="s">
        <v>453</v>
      </c>
      <c r="D191" s="306" t="s">
        <v>454</v>
      </c>
      <c r="E191" s="377" t="s">
        <v>453</v>
      </c>
      <c r="F191" s="553" t="str">
        <f t="shared" si="30"/>
        <v>PREVPincel ‐ ki 03 pinceís 1/2" 1" e 1" 1.1/2"</v>
      </c>
      <c r="G191" s="611" t="s">
        <v>74</v>
      </c>
      <c r="H191" s="307" t="s">
        <v>228</v>
      </c>
      <c r="I191" s="321">
        <v>1.9359999999999999</v>
      </c>
      <c r="J191" s="321">
        <v>2.42</v>
      </c>
      <c r="K191" s="321">
        <v>2.42</v>
      </c>
      <c r="L191" s="321">
        <v>2.42</v>
      </c>
      <c r="M191" s="321">
        <v>2.42</v>
      </c>
      <c r="N191" s="321">
        <v>2.42</v>
      </c>
      <c r="O191" s="321">
        <v>2.42</v>
      </c>
      <c r="P191" s="321">
        <v>2.42</v>
      </c>
      <c r="Q191" s="321">
        <v>2.41</v>
      </c>
      <c r="R191" s="321">
        <v>2.41</v>
      </c>
      <c r="S191" s="321">
        <v>2.41</v>
      </c>
      <c r="T191" s="321">
        <v>2.41</v>
      </c>
      <c r="U191" s="321">
        <v>0.48200000000000004</v>
      </c>
      <c r="V191" s="308">
        <f t="shared" si="31"/>
        <v>28.997999999999998</v>
      </c>
      <c r="W191" s="308">
        <v>10.78</v>
      </c>
      <c r="X191" s="308">
        <f t="shared" si="32"/>
        <v>312.59843999999998</v>
      </c>
      <c r="Y191" s="322" t="s">
        <v>74</v>
      </c>
      <c r="Z191" s="575"/>
      <c r="AA191" s="567"/>
    </row>
    <row r="192" spans="1:27" s="318" customFormat="1" ht="15" customHeight="1" outlineLevel="1">
      <c r="A192" s="282">
        <v>188</v>
      </c>
      <c r="B192" s="282" t="s">
        <v>1</v>
      </c>
      <c r="C192" s="378" t="s">
        <v>453</v>
      </c>
      <c r="D192" s="313" t="s">
        <v>454</v>
      </c>
      <c r="E192" s="379" t="s">
        <v>453</v>
      </c>
      <c r="F192" s="553" t="str">
        <f t="shared" si="30"/>
        <v>REALPincel ‐ ki 03 pinceís 1/2" 1" e 1" 1.1/2"</v>
      </c>
      <c r="G192" s="609">
        <f>Y192</f>
        <v>0.41382164287192219</v>
      </c>
      <c r="H192" s="315" t="s">
        <v>228</v>
      </c>
      <c r="I192" s="323">
        <v>3</v>
      </c>
      <c r="J192" s="323">
        <v>3</v>
      </c>
      <c r="K192" s="323">
        <v>4</v>
      </c>
      <c r="L192" s="323">
        <v>2</v>
      </c>
      <c r="M192" s="323"/>
      <c r="N192" s="323"/>
      <c r="O192" s="323"/>
      <c r="P192" s="323"/>
      <c r="Q192" s="323"/>
      <c r="R192" s="323"/>
      <c r="S192" s="323"/>
      <c r="T192" s="323"/>
      <c r="U192" s="323"/>
      <c r="V192" s="316">
        <f t="shared" si="31"/>
        <v>12</v>
      </c>
      <c r="W192" s="316">
        <v>10.78</v>
      </c>
      <c r="X192" s="316">
        <f t="shared" si="32"/>
        <v>129.35999999999999</v>
      </c>
      <c r="Y192" s="322">
        <f>X192/X191</f>
        <v>0.41382164287192219</v>
      </c>
      <c r="Z192" s="572"/>
      <c r="AA192" s="567"/>
    </row>
    <row r="193" spans="1:27" s="311" customFormat="1" ht="15" customHeight="1" outlineLevel="1">
      <c r="A193" s="273">
        <v>189</v>
      </c>
      <c r="B193" s="273" t="s">
        <v>0</v>
      </c>
      <c r="C193" s="376" t="s">
        <v>455</v>
      </c>
      <c r="D193" s="306" t="s">
        <v>456</v>
      </c>
      <c r="E193" s="377" t="s">
        <v>455</v>
      </c>
      <c r="F193" s="553" t="str">
        <f t="shared" si="30"/>
        <v>PREVPano para limpeza</v>
      </c>
      <c r="G193" s="611" t="s">
        <v>74</v>
      </c>
      <c r="H193" s="307" t="s">
        <v>457</v>
      </c>
      <c r="I193" s="321">
        <v>0.46399999999999997</v>
      </c>
      <c r="J193" s="321">
        <v>0.57999999999999996</v>
      </c>
      <c r="K193" s="321">
        <v>0.57999999999999996</v>
      </c>
      <c r="L193" s="321">
        <v>0.57999999999999996</v>
      </c>
      <c r="M193" s="321">
        <v>0.57999999999999996</v>
      </c>
      <c r="N193" s="321">
        <v>0.57999999999999996</v>
      </c>
      <c r="O193" s="321">
        <v>0.57999999999999996</v>
      </c>
      <c r="P193" s="321">
        <v>0.57999999999999996</v>
      </c>
      <c r="Q193" s="321">
        <v>0.59</v>
      </c>
      <c r="R193" s="321">
        <v>0.59</v>
      </c>
      <c r="S193" s="321">
        <v>0.59</v>
      </c>
      <c r="T193" s="321">
        <v>0.59</v>
      </c>
      <c r="U193" s="321">
        <v>0.11799999999999999</v>
      </c>
      <c r="V193" s="308">
        <f t="shared" si="31"/>
        <v>7.0019999999999998</v>
      </c>
      <c r="W193" s="308">
        <v>15.49</v>
      </c>
      <c r="X193" s="308">
        <f t="shared" si="32"/>
        <v>108.46097999999999</v>
      </c>
      <c r="Y193" s="322" t="s">
        <v>74</v>
      </c>
      <c r="Z193" s="575"/>
      <c r="AA193" s="567"/>
    </row>
    <row r="194" spans="1:27" s="318" customFormat="1" ht="15" customHeight="1" outlineLevel="1">
      <c r="A194" s="282">
        <v>190</v>
      </c>
      <c r="B194" s="282" t="s">
        <v>1</v>
      </c>
      <c r="C194" s="378" t="s">
        <v>455</v>
      </c>
      <c r="D194" s="313" t="s">
        <v>456</v>
      </c>
      <c r="E194" s="379" t="s">
        <v>455</v>
      </c>
      <c r="F194" s="553" t="str">
        <f t="shared" si="30"/>
        <v>REALPano para limpeza</v>
      </c>
      <c r="G194" s="609">
        <f>Y194</f>
        <v>0.71408169094544427</v>
      </c>
      <c r="H194" s="315" t="s">
        <v>457</v>
      </c>
      <c r="I194" s="323">
        <v>1</v>
      </c>
      <c r="J194" s="323">
        <v>1</v>
      </c>
      <c r="K194" s="323">
        <v>2</v>
      </c>
      <c r="L194" s="323">
        <v>1</v>
      </c>
      <c r="M194" s="323"/>
      <c r="N194" s="323"/>
      <c r="O194" s="323"/>
      <c r="P194" s="323"/>
      <c r="Q194" s="323"/>
      <c r="R194" s="323"/>
      <c r="S194" s="323"/>
      <c r="T194" s="323"/>
      <c r="U194" s="323"/>
      <c r="V194" s="316">
        <f t="shared" si="31"/>
        <v>5</v>
      </c>
      <c r="W194" s="316">
        <v>15.49</v>
      </c>
      <c r="X194" s="316">
        <f t="shared" si="32"/>
        <v>77.45</v>
      </c>
      <c r="Y194" s="322">
        <f>X194/X193</f>
        <v>0.71408169094544427</v>
      </c>
      <c r="Z194" s="572"/>
      <c r="AA194" s="567"/>
    </row>
    <row r="195" spans="1:27" s="311" customFormat="1" ht="15" customHeight="1" outlineLevel="1">
      <c r="A195" s="273">
        <v>191</v>
      </c>
      <c r="B195" s="273" t="s">
        <v>0</v>
      </c>
      <c r="C195" s="376" t="s">
        <v>458</v>
      </c>
      <c r="D195" s="306" t="s">
        <v>459</v>
      </c>
      <c r="E195" s="377" t="s">
        <v>458</v>
      </c>
      <c r="F195" s="553" t="str">
        <f t="shared" si="30"/>
        <v>PREVLimpador de contatos elétricos 300ml</v>
      </c>
      <c r="G195" s="611" t="s">
        <v>74</v>
      </c>
      <c r="H195" s="307" t="s">
        <v>228</v>
      </c>
      <c r="I195" s="321">
        <v>4.8000000000000007</v>
      </c>
      <c r="J195" s="321">
        <v>6</v>
      </c>
      <c r="K195" s="321">
        <v>6</v>
      </c>
      <c r="L195" s="321">
        <v>6</v>
      </c>
      <c r="M195" s="321">
        <v>6</v>
      </c>
      <c r="N195" s="321">
        <v>6</v>
      </c>
      <c r="O195" s="321">
        <v>6</v>
      </c>
      <c r="P195" s="321">
        <v>6</v>
      </c>
      <c r="Q195" s="321">
        <v>6</v>
      </c>
      <c r="R195" s="321">
        <v>6</v>
      </c>
      <c r="S195" s="321">
        <v>6</v>
      </c>
      <c r="T195" s="321">
        <v>6</v>
      </c>
      <c r="U195" s="321">
        <v>1.2000000000000002</v>
      </c>
      <c r="V195" s="308">
        <f t="shared" si="31"/>
        <v>72</v>
      </c>
      <c r="W195" s="308">
        <v>16.989999999999998</v>
      </c>
      <c r="X195" s="308">
        <f t="shared" si="32"/>
        <v>1223.28</v>
      </c>
      <c r="Y195" s="322" t="s">
        <v>74</v>
      </c>
      <c r="Z195" s="575"/>
      <c r="AA195" s="567"/>
    </row>
    <row r="196" spans="1:27" s="318" customFormat="1" ht="15" customHeight="1" outlineLevel="1">
      <c r="A196" s="282">
        <v>192</v>
      </c>
      <c r="B196" s="282" t="s">
        <v>1</v>
      </c>
      <c r="C196" s="378" t="s">
        <v>458</v>
      </c>
      <c r="D196" s="313" t="s">
        <v>459</v>
      </c>
      <c r="E196" s="379" t="s">
        <v>458</v>
      </c>
      <c r="F196" s="553" t="str">
        <f t="shared" si="30"/>
        <v>REALLimpador de contatos elétricos 300ml</v>
      </c>
      <c r="G196" s="609">
        <f>Y196</f>
        <v>0.34722222222222221</v>
      </c>
      <c r="H196" s="315" t="s">
        <v>228</v>
      </c>
      <c r="I196" s="323">
        <v>6</v>
      </c>
      <c r="J196" s="323">
        <v>6</v>
      </c>
      <c r="K196" s="323">
        <v>7</v>
      </c>
      <c r="L196" s="323">
        <v>6</v>
      </c>
      <c r="M196" s="323"/>
      <c r="N196" s="323"/>
      <c r="O196" s="323"/>
      <c r="P196" s="323"/>
      <c r="Q196" s="323"/>
      <c r="R196" s="323"/>
      <c r="S196" s="323"/>
      <c r="T196" s="323"/>
      <c r="U196" s="323"/>
      <c r="V196" s="316">
        <f t="shared" si="31"/>
        <v>25</v>
      </c>
      <c r="W196" s="316">
        <v>16.989999999999998</v>
      </c>
      <c r="X196" s="316">
        <f t="shared" si="32"/>
        <v>424.74999999999994</v>
      </c>
      <c r="Y196" s="322">
        <f>X196/X195</f>
        <v>0.34722222222222221</v>
      </c>
      <c r="Z196" s="572"/>
      <c r="AA196" s="567"/>
    </row>
    <row r="197" spans="1:27" s="311" customFormat="1" ht="15" customHeight="1" outlineLevel="1">
      <c r="A197" s="273">
        <v>193</v>
      </c>
      <c r="B197" s="273" t="s">
        <v>0</v>
      </c>
      <c r="C197" s="376" t="s">
        <v>460</v>
      </c>
      <c r="D197" s="306" t="s">
        <v>461</v>
      </c>
      <c r="E197" s="377" t="s">
        <v>460</v>
      </c>
      <c r="F197" s="553" t="str">
        <f t="shared" si="30"/>
        <v>PREVSolvente/Desengraxante de alta rigidez dielétrica ‐ 500 ml</v>
      </c>
      <c r="G197" s="611" t="s">
        <v>74</v>
      </c>
      <c r="H197" s="307" t="s">
        <v>228</v>
      </c>
      <c r="I197" s="321">
        <v>1.8</v>
      </c>
      <c r="J197" s="321">
        <v>2.25</v>
      </c>
      <c r="K197" s="321">
        <v>2.25</v>
      </c>
      <c r="L197" s="321">
        <v>2.25</v>
      </c>
      <c r="M197" s="321">
        <v>2.25</v>
      </c>
      <c r="N197" s="321">
        <v>2.25</v>
      </c>
      <c r="O197" s="321">
        <v>2.25</v>
      </c>
      <c r="P197" s="321">
        <v>2.25</v>
      </c>
      <c r="Q197" s="321">
        <v>2.25</v>
      </c>
      <c r="R197" s="321">
        <v>2.25</v>
      </c>
      <c r="S197" s="321">
        <v>2.25</v>
      </c>
      <c r="T197" s="321">
        <v>2.25</v>
      </c>
      <c r="U197" s="321">
        <v>0.45</v>
      </c>
      <c r="V197" s="308">
        <f t="shared" si="31"/>
        <v>27</v>
      </c>
      <c r="W197" s="308">
        <v>88.5</v>
      </c>
      <c r="X197" s="308">
        <f t="shared" si="32"/>
        <v>2389.5</v>
      </c>
      <c r="Y197" s="322" t="s">
        <v>74</v>
      </c>
      <c r="Z197" s="575"/>
      <c r="AA197" s="567"/>
    </row>
    <row r="198" spans="1:27" s="318" customFormat="1" ht="15" customHeight="1" outlineLevel="1">
      <c r="A198" s="282">
        <v>194</v>
      </c>
      <c r="B198" s="282" t="s">
        <v>1</v>
      </c>
      <c r="C198" s="378" t="s">
        <v>460</v>
      </c>
      <c r="D198" s="313" t="s">
        <v>461</v>
      </c>
      <c r="E198" s="379" t="s">
        <v>460</v>
      </c>
      <c r="F198" s="553" t="str">
        <f t="shared" si="30"/>
        <v>REALSolvente/Desengraxante de alta rigidez dielétrica ‐ 500 ml</v>
      </c>
      <c r="G198" s="609">
        <f>Y198</f>
        <v>0</v>
      </c>
      <c r="H198" s="315" t="s">
        <v>228</v>
      </c>
      <c r="I198" s="323">
        <v>0</v>
      </c>
      <c r="J198" s="323">
        <v>0</v>
      </c>
      <c r="K198" s="323">
        <v>0</v>
      </c>
      <c r="L198" s="323">
        <v>0</v>
      </c>
      <c r="M198" s="323"/>
      <c r="N198" s="323"/>
      <c r="O198" s="323"/>
      <c r="P198" s="323"/>
      <c r="Q198" s="323"/>
      <c r="R198" s="323"/>
      <c r="S198" s="323"/>
      <c r="T198" s="323"/>
      <c r="U198" s="323"/>
      <c r="V198" s="316">
        <f t="shared" si="31"/>
        <v>0</v>
      </c>
      <c r="W198" s="316">
        <v>88.5</v>
      </c>
      <c r="X198" s="316">
        <f t="shared" si="32"/>
        <v>0</v>
      </c>
      <c r="Y198" s="322">
        <f>X198/X197</f>
        <v>0</v>
      </c>
      <c r="Z198" s="572"/>
      <c r="AA198" s="567"/>
    </row>
    <row r="199" spans="1:27" s="311" customFormat="1" ht="15" customHeight="1" outlineLevel="1">
      <c r="A199" s="273">
        <v>195</v>
      </c>
      <c r="B199" s="273" t="s">
        <v>0</v>
      </c>
      <c r="C199" s="376" t="s">
        <v>462</v>
      </c>
      <c r="D199" s="306" t="s">
        <v>463</v>
      </c>
      <c r="E199" s="377" t="s">
        <v>462</v>
      </c>
      <c r="F199" s="553" t="str">
        <f t="shared" si="30"/>
        <v>PREVFiltro de ventiladores para paineís</v>
      </c>
      <c r="G199" s="611" t="s">
        <v>74</v>
      </c>
      <c r="H199" s="307" t="s">
        <v>228</v>
      </c>
      <c r="I199" s="321">
        <v>10.8</v>
      </c>
      <c r="J199" s="321">
        <v>13.5</v>
      </c>
      <c r="K199" s="321">
        <v>13.5</v>
      </c>
      <c r="L199" s="321">
        <v>13.5</v>
      </c>
      <c r="M199" s="321">
        <v>13.5</v>
      </c>
      <c r="N199" s="321">
        <v>13.5</v>
      </c>
      <c r="O199" s="321">
        <v>13.5</v>
      </c>
      <c r="P199" s="321">
        <v>13.5</v>
      </c>
      <c r="Q199" s="321">
        <v>13.5</v>
      </c>
      <c r="R199" s="321">
        <v>13.5</v>
      </c>
      <c r="S199" s="321">
        <v>13.5</v>
      </c>
      <c r="T199" s="321">
        <v>13.5</v>
      </c>
      <c r="U199" s="321">
        <v>2.7</v>
      </c>
      <c r="V199" s="308">
        <f t="shared" si="31"/>
        <v>162</v>
      </c>
      <c r="W199" s="308">
        <v>16.14</v>
      </c>
      <c r="X199" s="308">
        <f t="shared" si="32"/>
        <v>2614.6800000000003</v>
      </c>
      <c r="Y199" s="322" t="s">
        <v>74</v>
      </c>
      <c r="Z199" s="575"/>
      <c r="AA199" s="567"/>
    </row>
    <row r="200" spans="1:27" s="318" customFormat="1" ht="15" customHeight="1" outlineLevel="1">
      <c r="A200" s="282">
        <v>196</v>
      </c>
      <c r="B200" s="282" t="s">
        <v>1</v>
      </c>
      <c r="C200" s="378" t="s">
        <v>462</v>
      </c>
      <c r="D200" s="313" t="s">
        <v>463</v>
      </c>
      <c r="E200" s="379" t="s">
        <v>462</v>
      </c>
      <c r="F200" s="553" t="str">
        <f t="shared" si="30"/>
        <v>REALFiltro de ventiladores para paineís</v>
      </c>
      <c r="G200" s="609">
        <f>Y200</f>
        <v>0</v>
      </c>
      <c r="H200" s="315" t="s">
        <v>228</v>
      </c>
      <c r="I200" s="323">
        <v>0</v>
      </c>
      <c r="J200" s="323">
        <v>0</v>
      </c>
      <c r="K200" s="323">
        <v>0</v>
      </c>
      <c r="L200" s="323">
        <v>0</v>
      </c>
      <c r="M200" s="323"/>
      <c r="N200" s="323"/>
      <c r="O200" s="323"/>
      <c r="P200" s="323"/>
      <c r="Q200" s="323"/>
      <c r="R200" s="323"/>
      <c r="S200" s="323"/>
      <c r="T200" s="323"/>
      <c r="U200" s="323"/>
      <c r="V200" s="316">
        <f t="shared" si="31"/>
        <v>0</v>
      </c>
      <c r="W200" s="316">
        <v>16.14</v>
      </c>
      <c r="X200" s="316">
        <f t="shared" si="32"/>
        <v>0</v>
      </c>
      <c r="Y200" s="322">
        <f>X200/X199</f>
        <v>0</v>
      </c>
      <c r="Z200" s="572"/>
      <c r="AA200" s="567"/>
    </row>
    <row r="201" spans="1:27" s="311" customFormat="1" ht="15" customHeight="1" outlineLevel="1">
      <c r="A201" s="273">
        <v>197</v>
      </c>
      <c r="B201" s="273" t="s">
        <v>0</v>
      </c>
      <c r="C201" s="376" t="s">
        <v>464</v>
      </c>
      <c r="D201" s="306" t="s">
        <v>465</v>
      </c>
      <c r="E201" s="377" t="s">
        <v>464</v>
      </c>
      <c r="F201" s="553" t="str">
        <f t="shared" si="30"/>
        <v>PREVSabão líquido neutro (5 litros)</v>
      </c>
      <c r="G201" s="611" t="s">
        <v>74</v>
      </c>
      <c r="H201" s="307" t="s">
        <v>228</v>
      </c>
      <c r="I201" s="321">
        <v>1.8</v>
      </c>
      <c r="J201" s="321">
        <v>2.25</v>
      </c>
      <c r="K201" s="321">
        <v>2.25</v>
      </c>
      <c r="L201" s="321">
        <v>2.25</v>
      </c>
      <c r="M201" s="321">
        <v>2.25</v>
      </c>
      <c r="N201" s="321">
        <v>2.25</v>
      </c>
      <c r="O201" s="321">
        <v>2.25</v>
      </c>
      <c r="P201" s="321">
        <v>2.25</v>
      </c>
      <c r="Q201" s="321">
        <v>2.25</v>
      </c>
      <c r="R201" s="321">
        <v>2.25</v>
      </c>
      <c r="S201" s="321">
        <v>2.25</v>
      </c>
      <c r="T201" s="321">
        <v>2.25</v>
      </c>
      <c r="U201" s="321">
        <v>0.45</v>
      </c>
      <c r="V201" s="308">
        <f t="shared" si="31"/>
        <v>27</v>
      </c>
      <c r="W201" s="308">
        <v>47.58</v>
      </c>
      <c r="X201" s="308">
        <f t="shared" si="32"/>
        <v>1284.6599999999999</v>
      </c>
      <c r="Y201" s="322" t="s">
        <v>74</v>
      </c>
      <c r="Z201" s="575"/>
      <c r="AA201" s="567"/>
    </row>
    <row r="202" spans="1:27" s="318" customFormat="1" ht="15" customHeight="1" outlineLevel="1">
      <c r="A202" s="282">
        <v>198</v>
      </c>
      <c r="B202" s="282" t="s">
        <v>1</v>
      </c>
      <c r="C202" s="378" t="s">
        <v>464</v>
      </c>
      <c r="D202" s="313" t="s">
        <v>465</v>
      </c>
      <c r="E202" s="379" t="s">
        <v>464</v>
      </c>
      <c r="F202" s="553" t="str">
        <f t="shared" si="30"/>
        <v>REALSabão líquido neutro (5 litros)</v>
      </c>
      <c r="G202" s="609">
        <f>Y202</f>
        <v>0.44444444444444453</v>
      </c>
      <c r="H202" s="315" t="s">
        <v>228</v>
      </c>
      <c r="I202" s="323">
        <v>3</v>
      </c>
      <c r="J202" s="323">
        <v>3</v>
      </c>
      <c r="K202" s="323">
        <v>4</v>
      </c>
      <c r="L202" s="323">
        <v>2</v>
      </c>
      <c r="M202" s="323"/>
      <c r="N202" s="323"/>
      <c r="O202" s="323"/>
      <c r="P202" s="323"/>
      <c r="Q202" s="323"/>
      <c r="R202" s="323"/>
      <c r="S202" s="323"/>
      <c r="T202" s="323"/>
      <c r="U202" s="323"/>
      <c r="V202" s="316">
        <f t="shared" si="31"/>
        <v>12</v>
      </c>
      <c r="W202" s="316">
        <v>47.58</v>
      </c>
      <c r="X202" s="316">
        <f t="shared" si="32"/>
        <v>570.96</v>
      </c>
      <c r="Y202" s="322">
        <f>X202/X201</f>
        <v>0.44444444444444453</v>
      </c>
      <c r="Z202" s="572"/>
      <c r="AA202" s="567"/>
    </row>
    <row r="203" spans="1:27" s="311" customFormat="1" ht="15" customHeight="1" outlineLevel="1">
      <c r="A203" s="273">
        <v>199</v>
      </c>
      <c r="B203" s="273" t="s">
        <v>0</v>
      </c>
      <c r="C203" s="376" t="s">
        <v>466</v>
      </c>
      <c r="D203" s="306" t="s">
        <v>467</v>
      </c>
      <c r="E203" s="377" t="s">
        <v>466</v>
      </c>
      <c r="F203" s="553" t="str">
        <f t="shared" si="30"/>
        <v>PREVFita adesiva isolante antichama 19 mm x 20 m ‐ SINAPI 00020111</v>
      </c>
      <c r="G203" s="611" t="s">
        <v>74</v>
      </c>
      <c r="H203" s="307" t="s">
        <v>228</v>
      </c>
      <c r="I203" s="321">
        <v>11.664000000000001</v>
      </c>
      <c r="J203" s="321">
        <v>14.58</v>
      </c>
      <c r="K203" s="321">
        <v>14.58</v>
      </c>
      <c r="L203" s="321">
        <v>14.58</v>
      </c>
      <c r="M203" s="321">
        <v>14.58</v>
      </c>
      <c r="N203" s="321">
        <v>14.58</v>
      </c>
      <c r="O203" s="321">
        <v>14.58</v>
      </c>
      <c r="P203" s="321">
        <v>14.58</v>
      </c>
      <c r="Q203" s="321">
        <v>14.59</v>
      </c>
      <c r="R203" s="321">
        <v>14.59</v>
      </c>
      <c r="S203" s="321">
        <v>14.59</v>
      </c>
      <c r="T203" s="321">
        <v>14.59</v>
      </c>
      <c r="U203" s="321">
        <v>2.9180000000000001</v>
      </c>
      <c r="V203" s="308">
        <f t="shared" si="31"/>
        <v>175.00200000000001</v>
      </c>
      <c r="W203" s="308">
        <v>15.18</v>
      </c>
      <c r="X203" s="308">
        <f t="shared" si="32"/>
        <v>2656.5303600000002</v>
      </c>
      <c r="Y203" s="322" t="s">
        <v>74</v>
      </c>
      <c r="Z203" s="575"/>
      <c r="AA203" s="567"/>
    </row>
    <row r="204" spans="1:27" s="318" customFormat="1" ht="15" customHeight="1" outlineLevel="1">
      <c r="A204" s="282">
        <v>200</v>
      </c>
      <c r="B204" s="282" t="s">
        <v>1</v>
      </c>
      <c r="C204" s="378" t="s">
        <v>466</v>
      </c>
      <c r="D204" s="313" t="s">
        <v>467</v>
      </c>
      <c r="E204" s="379" t="s">
        <v>466</v>
      </c>
      <c r="F204" s="553" t="str">
        <f t="shared" si="30"/>
        <v>REALFita adesiva isolante antichama 19 mm x 20 m ‐ SINAPI 00020111</v>
      </c>
      <c r="G204" s="609">
        <f>Y204</f>
        <v>0.34856744494348635</v>
      </c>
      <c r="H204" s="315" t="s">
        <v>228</v>
      </c>
      <c r="I204" s="323">
        <v>15</v>
      </c>
      <c r="J204" s="323">
        <v>15</v>
      </c>
      <c r="K204" s="323">
        <v>17</v>
      </c>
      <c r="L204" s="323">
        <v>14</v>
      </c>
      <c r="M204" s="323"/>
      <c r="N204" s="323"/>
      <c r="O204" s="323"/>
      <c r="P204" s="323"/>
      <c r="Q204" s="323"/>
      <c r="R204" s="323"/>
      <c r="S204" s="323"/>
      <c r="T204" s="323"/>
      <c r="U204" s="323"/>
      <c r="V204" s="316">
        <f t="shared" si="31"/>
        <v>61</v>
      </c>
      <c r="W204" s="316">
        <v>15.18</v>
      </c>
      <c r="X204" s="316">
        <f t="shared" si="32"/>
        <v>925.98</v>
      </c>
      <c r="Y204" s="322">
        <f>X204/X203</f>
        <v>0.34856744494348635</v>
      </c>
      <c r="Z204" s="572"/>
      <c r="AA204" s="567"/>
    </row>
    <row r="205" spans="1:27" s="311" customFormat="1" ht="15" customHeight="1" outlineLevel="1">
      <c r="A205" s="273">
        <v>201</v>
      </c>
      <c r="B205" s="273" t="s">
        <v>0</v>
      </c>
      <c r="C205" s="376" t="s">
        <v>468</v>
      </c>
      <c r="D205" s="306" t="s">
        <v>469</v>
      </c>
      <c r="E205" s="377" t="s">
        <v>468</v>
      </c>
      <c r="F205" s="553" t="str">
        <f t="shared" si="30"/>
        <v>PREVFita isolante de borracha autofusão impermeável à prova dágua , até 69 kV (alta tensão)‐ 19mm x 5m ‐ SINAPI.AJUST 00000404</v>
      </c>
      <c r="G205" s="611" t="s">
        <v>74</v>
      </c>
      <c r="H205" s="307" t="s">
        <v>228</v>
      </c>
      <c r="I205" s="321">
        <v>6</v>
      </c>
      <c r="J205" s="321">
        <v>7.5</v>
      </c>
      <c r="K205" s="321">
        <v>7.5</v>
      </c>
      <c r="L205" s="321">
        <v>7.5</v>
      </c>
      <c r="M205" s="321">
        <v>7.5</v>
      </c>
      <c r="N205" s="321">
        <v>7.5</v>
      </c>
      <c r="O205" s="321">
        <v>7.5</v>
      </c>
      <c r="P205" s="321">
        <v>7.5</v>
      </c>
      <c r="Q205" s="321">
        <v>7.5</v>
      </c>
      <c r="R205" s="321">
        <v>7.5</v>
      </c>
      <c r="S205" s="321">
        <v>7.5</v>
      </c>
      <c r="T205" s="321">
        <v>7.5</v>
      </c>
      <c r="U205" s="321">
        <v>1.5</v>
      </c>
      <c r="V205" s="308">
        <f t="shared" si="31"/>
        <v>90</v>
      </c>
      <c r="W205" s="308">
        <v>10.29</v>
      </c>
      <c r="X205" s="308">
        <f t="shared" si="32"/>
        <v>926.09999999999991</v>
      </c>
      <c r="Y205" s="322" t="s">
        <v>74</v>
      </c>
      <c r="Z205" s="575"/>
      <c r="AA205" s="567"/>
    </row>
    <row r="206" spans="1:27" s="318" customFormat="1" ht="15" customHeight="1" outlineLevel="1">
      <c r="A206" s="282">
        <v>202</v>
      </c>
      <c r="B206" s="282" t="s">
        <v>1</v>
      </c>
      <c r="C206" s="378" t="s">
        <v>468</v>
      </c>
      <c r="D206" s="313" t="s">
        <v>469</v>
      </c>
      <c r="E206" s="379" t="s">
        <v>468</v>
      </c>
      <c r="F206" s="553" t="str">
        <f t="shared" si="30"/>
        <v>REALFita isolante de borracha autofusão impermeável à prova dágua , até 69 kV (alta tensão)‐ 19mm x 5m ‐ SINAPI.AJUST 00000404</v>
      </c>
      <c r="G206" s="609">
        <f>Y206</f>
        <v>0.3666666666666667</v>
      </c>
      <c r="H206" s="315" t="s">
        <v>228</v>
      </c>
      <c r="I206" s="323">
        <v>8</v>
      </c>
      <c r="J206" s="323">
        <v>8</v>
      </c>
      <c r="K206" s="323">
        <v>10</v>
      </c>
      <c r="L206" s="323">
        <v>7</v>
      </c>
      <c r="M206" s="323"/>
      <c r="N206" s="323"/>
      <c r="O206" s="323"/>
      <c r="P206" s="323"/>
      <c r="Q206" s="323"/>
      <c r="R206" s="323"/>
      <c r="S206" s="323"/>
      <c r="T206" s="323"/>
      <c r="U206" s="323"/>
      <c r="V206" s="316">
        <f t="shared" si="31"/>
        <v>33</v>
      </c>
      <c r="W206" s="316">
        <v>10.29</v>
      </c>
      <c r="X206" s="316">
        <f t="shared" si="32"/>
        <v>339.57</v>
      </c>
      <c r="Y206" s="322">
        <f>X206/X205</f>
        <v>0.3666666666666667</v>
      </c>
      <c r="Z206" s="572"/>
      <c r="AA206" s="567"/>
    </row>
    <row r="207" spans="1:27" s="311" customFormat="1" ht="15" customHeight="1" outlineLevel="1">
      <c r="A207" s="273">
        <v>203</v>
      </c>
      <c r="B207" s="273" t="s">
        <v>0</v>
      </c>
      <c r="C207" s="376" t="s">
        <v>470</v>
      </c>
      <c r="D207" s="306" t="s">
        <v>471</v>
      </c>
      <c r="E207" s="377" t="s">
        <v>470</v>
      </c>
      <c r="F207" s="553" t="str">
        <f t="shared" si="30"/>
        <v>PREVRecarga de gás SF6 (hexafluoreto de enxofre) ‐ 52,16 kg</v>
      </c>
      <c r="G207" s="611" t="s">
        <v>74</v>
      </c>
      <c r="H207" s="307" t="s">
        <v>228</v>
      </c>
      <c r="I207" s="321">
        <v>0.13600000000000001</v>
      </c>
      <c r="J207" s="321">
        <v>0.17</v>
      </c>
      <c r="K207" s="321">
        <v>0.17</v>
      </c>
      <c r="L207" s="321">
        <v>0.17</v>
      </c>
      <c r="M207" s="321">
        <v>0.17</v>
      </c>
      <c r="N207" s="321">
        <v>0.17</v>
      </c>
      <c r="O207" s="321">
        <v>0.17</v>
      </c>
      <c r="P207" s="321">
        <v>0.17</v>
      </c>
      <c r="Q207" s="321">
        <v>0.16</v>
      </c>
      <c r="R207" s="321">
        <v>0.16</v>
      </c>
      <c r="S207" s="321">
        <v>0.16</v>
      </c>
      <c r="T207" s="321">
        <v>0.16</v>
      </c>
      <c r="U207" s="321">
        <v>3.2000000000000001E-2</v>
      </c>
      <c r="V207" s="308">
        <f t="shared" si="31"/>
        <v>1.9979999999999998</v>
      </c>
      <c r="W207" s="308">
        <v>10036.31</v>
      </c>
      <c r="X207" s="308">
        <f t="shared" si="32"/>
        <v>20052.547379999996</v>
      </c>
      <c r="Y207" s="322" t="s">
        <v>74</v>
      </c>
      <c r="Z207" s="575"/>
      <c r="AA207" s="567"/>
    </row>
    <row r="208" spans="1:27" s="318" customFormat="1" ht="15" customHeight="1" outlineLevel="1">
      <c r="A208" s="282">
        <v>204</v>
      </c>
      <c r="B208" s="282" t="s">
        <v>1</v>
      </c>
      <c r="C208" s="378" t="s">
        <v>470</v>
      </c>
      <c r="D208" s="313" t="s">
        <v>471</v>
      </c>
      <c r="E208" s="379" t="s">
        <v>470</v>
      </c>
      <c r="F208" s="553" t="str">
        <f t="shared" si="30"/>
        <v>REALRecarga de gás SF6 (hexafluoreto de enxofre) ‐ 52,16 kg</v>
      </c>
      <c r="G208" s="609">
        <f>Y208</f>
        <v>7.8682977455983599E-2</v>
      </c>
      <c r="H208" s="315" t="s">
        <v>228</v>
      </c>
      <c r="I208" s="323">
        <v>3.4509202453987732E-2</v>
      </c>
      <c r="J208" s="323">
        <v>3.4509202453987732E-2</v>
      </c>
      <c r="K208" s="323">
        <v>4.4095092024539879E-2</v>
      </c>
      <c r="L208" s="323">
        <v>4.4095092024539879E-2</v>
      </c>
      <c r="M208" s="323"/>
      <c r="N208" s="323"/>
      <c r="O208" s="323"/>
      <c r="P208" s="323"/>
      <c r="Q208" s="323"/>
      <c r="R208" s="323"/>
      <c r="S208" s="323"/>
      <c r="T208" s="323"/>
      <c r="U208" s="323"/>
      <c r="V208" s="316">
        <f t="shared" si="31"/>
        <v>0.15720858895705522</v>
      </c>
      <c r="W208" s="316">
        <v>10036.31</v>
      </c>
      <c r="X208" s="316">
        <f t="shared" si="32"/>
        <v>1577.7941334355828</v>
      </c>
      <c r="Y208" s="322">
        <f>X208/X207</f>
        <v>7.8682977455983599E-2</v>
      </c>
      <c r="Z208" s="572"/>
      <c r="AA208" s="567"/>
    </row>
    <row r="209" spans="1:27" s="311" customFormat="1" ht="15" customHeight="1" outlineLevel="1">
      <c r="A209" s="273">
        <v>205</v>
      </c>
      <c r="B209" s="273" t="s">
        <v>0</v>
      </c>
      <c r="C209" s="376" t="s">
        <v>472</v>
      </c>
      <c r="D209" s="306" t="s">
        <v>473</v>
      </c>
      <c r="E209" s="377" t="s">
        <v>472</v>
      </c>
      <c r="F209" s="553" t="str">
        <f t="shared" si="30"/>
        <v>PREVÓleo diesel comum ‐ SICRO M0043</v>
      </c>
      <c r="G209" s="611" t="s">
        <v>74</v>
      </c>
      <c r="H209" s="307" t="s">
        <v>474</v>
      </c>
      <c r="I209" s="321">
        <v>648</v>
      </c>
      <c r="J209" s="321">
        <v>810</v>
      </c>
      <c r="K209" s="321">
        <v>810</v>
      </c>
      <c r="L209" s="321">
        <v>810</v>
      </c>
      <c r="M209" s="321">
        <v>810</v>
      </c>
      <c r="N209" s="321">
        <v>810</v>
      </c>
      <c r="O209" s="321">
        <v>810</v>
      </c>
      <c r="P209" s="321">
        <v>810</v>
      </c>
      <c r="Q209" s="321">
        <v>810</v>
      </c>
      <c r="R209" s="321">
        <v>810</v>
      </c>
      <c r="S209" s="321">
        <v>810</v>
      </c>
      <c r="T209" s="321">
        <v>810</v>
      </c>
      <c r="U209" s="321">
        <v>162</v>
      </c>
      <c r="V209" s="308">
        <f t="shared" si="31"/>
        <v>9720</v>
      </c>
      <c r="W209" s="308">
        <v>4.87</v>
      </c>
      <c r="X209" s="308">
        <f t="shared" si="32"/>
        <v>47336.4</v>
      </c>
      <c r="Y209" s="322" t="s">
        <v>74</v>
      </c>
      <c r="Z209" s="575"/>
      <c r="AA209" s="567"/>
    </row>
    <row r="210" spans="1:27" s="318" customFormat="1" ht="15" customHeight="1" outlineLevel="1">
      <c r="A210" s="282">
        <v>206</v>
      </c>
      <c r="B210" s="282" t="s">
        <v>1</v>
      </c>
      <c r="C210" s="378" t="s">
        <v>472</v>
      </c>
      <c r="D210" s="313" t="s">
        <v>473</v>
      </c>
      <c r="E210" s="379">
        <v>40607</v>
      </c>
      <c r="F210" s="553" t="str">
        <f t="shared" si="30"/>
        <v>REALÓleo diesel comum ‐ SICRO M0043</v>
      </c>
      <c r="G210" s="609">
        <f>Y210</f>
        <v>0.18106995884773663</v>
      </c>
      <c r="H210" s="315" t="s">
        <v>474</v>
      </c>
      <c r="I210" s="323">
        <v>560</v>
      </c>
      <c r="J210" s="323">
        <v>560</v>
      </c>
      <c r="K210" s="323">
        <v>480</v>
      </c>
      <c r="L210" s="323">
        <v>160</v>
      </c>
      <c r="M210" s="323"/>
      <c r="N210" s="323"/>
      <c r="O210" s="323"/>
      <c r="P210" s="323"/>
      <c r="Q210" s="323"/>
      <c r="R210" s="323"/>
      <c r="S210" s="323"/>
      <c r="T210" s="323"/>
      <c r="U210" s="323"/>
      <c r="V210" s="316">
        <f t="shared" si="31"/>
        <v>1760</v>
      </c>
      <c r="W210" s="316">
        <v>4.87</v>
      </c>
      <c r="X210" s="316">
        <f t="shared" si="32"/>
        <v>8571.2000000000007</v>
      </c>
      <c r="Y210" s="322">
        <f>X210/X209</f>
        <v>0.18106995884773663</v>
      </c>
      <c r="Z210" s="572"/>
      <c r="AA210" s="567"/>
    </row>
    <row r="211" spans="1:27" s="311" customFormat="1" ht="15" customHeight="1" outlineLevel="1">
      <c r="A211" s="273">
        <v>207</v>
      </c>
      <c r="B211" s="273" t="s">
        <v>0</v>
      </c>
      <c r="C211" s="376" t="s">
        <v>475</v>
      </c>
      <c r="D211" s="306" t="s">
        <v>476</v>
      </c>
      <c r="E211" s="377" t="s">
        <v>475</v>
      </c>
      <c r="F211" s="553" t="str">
        <f t="shared" si="30"/>
        <v>PREVAnilha Identificação ‐ 0,5 a 6mm² (pacote com 100 unidades)</v>
      </c>
      <c r="G211" s="611" t="s">
        <v>74</v>
      </c>
      <c r="H211" s="307" t="s">
        <v>228</v>
      </c>
      <c r="I211" s="321">
        <v>0.66400000000000003</v>
      </c>
      <c r="J211" s="321">
        <v>0.83</v>
      </c>
      <c r="K211" s="321">
        <v>0.83</v>
      </c>
      <c r="L211" s="321">
        <v>0.83</v>
      </c>
      <c r="M211" s="321">
        <v>0.83</v>
      </c>
      <c r="N211" s="321">
        <v>0.83</v>
      </c>
      <c r="O211" s="321">
        <v>0.83</v>
      </c>
      <c r="P211" s="321">
        <v>0.83</v>
      </c>
      <c r="Q211" s="321">
        <v>0.84</v>
      </c>
      <c r="R211" s="321">
        <v>0.84</v>
      </c>
      <c r="S211" s="321">
        <v>0.84</v>
      </c>
      <c r="T211" s="321">
        <v>0.84</v>
      </c>
      <c r="U211" s="321">
        <v>0.16800000000000001</v>
      </c>
      <c r="V211" s="308">
        <f t="shared" si="31"/>
        <v>10.001999999999999</v>
      </c>
      <c r="W211" s="308">
        <v>22.35</v>
      </c>
      <c r="X211" s="308">
        <f t="shared" si="32"/>
        <v>223.54469999999998</v>
      </c>
      <c r="Y211" s="322" t="s">
        <v>74</v>
      </c>
      <c r="Z211" s="575"/>
      <c r="AA211" s="567"/>
    </row>
    <row r="212" spans="1:27" s="318" customFormat="1" ht="15" customHeight="1" outlineLevel="1">
      <c r="A212" s="282">
        <v>208</v>
      </c>
      <c r="B212" s="282" t="s">
        <v>1</v>
      </c>
      <c r="C212" s="378" t="s">
        <v>475</v>
      </c>
      <c r="D212" s="313" t="s">
        <v>476</v>
      </c>
      <c r="E212" s="379">
        <v>41032</v>
      </c>
      <c r="F212" s="553" t="str">
        <f t="shared" si="30"/>
        <v>REALAnilha Identificação ‐ 0,5 a 6mm² (pacote com 100 unidades)</v>
      </c>
      <c r="G212" s="609">
        <f>Y212</f>
        <v>0</v>
      </c>
      <c r="H212" s="315" t="s">
        <v>228</v>
      </c>
      <c r="I212" s="323">
        <v>0</v>
      </c>
      <c r="J212" s="323">
        <v>0</v>
      </c>
      <c r="K212" s="323">
        <v>0</v>
      </c>
      <c r="L212" s="323">
        <v>0</v>
      </c>
      <c r="M212" s="323"/>
      <c r="N212" s="323"/>
      <c r="O212" s="323"/>
      <c r="P212" s="323"/>
      <c r="Q212" s="323"/>
      <c r="R212" s="323"/>
      <c r="S212" s="323"/>
      <c r="T212" s="323"/>
      <c r="U212" s="323"/>
      <c r="V212" s="316">
        <f t="shared" si="31"/>
        <v>0</v>
      </c>
      <c r="W212" s="316">
        <v>22.35</v>
      </c>
      <c r="X212" s="316">
        <f t="shared" si="32"/>
        <v>0</v>
      </c>
      <c r="Y212" s="322">
        <f>X212/X211</f>
        <v>0</v>
      </c>
      <c r="Z212" s="572"/>
      <c r="AA212" s="567"/>
    </row>
    <row r="213" spans="1:27" s="311" customFormat="1" ht="15" customHeight="1" outlineLevel="1">
      <c r="A213" s="273">
        <v>209</v>
      </c>
      <c r="B213" s="273" t="s">
        <v>0</v>
      </c>
      <c r="C213" s="376" t="s">
        <v>477</v>
      </c>
      <c r="D213" s="306" t="s">
        <v>478</v>
      </c>
      <c r="E213" s="377" t="s">
        <v>477</v>
      </c>
      <c r="F213" s="553" t="str">
        <f t="shared" si="30"/>
        <v>PREVAnilha Identificação ‐ 10 a 16mm² (pacote com 100 unidades)</v>
      </c>
      <c r="G213" s="611" t="s">
        <v>74</v>
      </c>
      <c r="H213" s="307" t="s">
        <v>228</v>
      </c>
      <c r="I213" s="321">
        <v>0.66400000000000003</v>
      </c>
      <c r="J213" s="321">
        <v>0.83</v>
      </c>
      <c r="K213" s="321">
        <v>0.83</v>
      </c>
      <c r="L213" s="321">
        <v>0.83</v>
      </c>
      <c r="M213" s="321">
        <v>0.83</v>
      </c>
      <c r="N213" s="321">
        <v>0.83</v>
      </c>
      <c r="O213" s="321">
        <v>0.83</v>
      </c>
      <c r="P213" s="321">
        <v>0.83</v>
      </c>
      <c r="Q213" s="321">
        <v>0.84</v>
      </c>
      <c r="R213" s="321">
        <v>0.84</v>
      </c>
      <c r="S213" s="321">
        <v>0.84</v>
      </c>
      <c r="T213" s="321">
        <v>0.84</v>
      </c>
      <c r="U213" s="321">
        <v>0.16800000000000001</v>
      </c>
      <c r="V213" s="308">
        <f t="shared" si="31"/>
        <v>10.001999999999999</v>
      </c>
      <c r="W213" s="308">
        <v>32.92</v>
      </c>
      <c r="X213" s="308">
        <f t="shared" si="32"/>
        <v>329.26583999999997</v>
      </c>
      <c r="Y213" s="322" t="s">
        <v>74</v>
      </c>
      <c r="Z213" s="575"/>
      <c r="AA213" s="567"/>
    </row>
    <row r="214" spans="1:27" s="318" customFormat="1" ht="15" customHeight="1" outlineLevel="1">
      <c r="A214" s="282">
        <v>210</v>
      </c>
      <c r="B214" s="282" t="s">
        <v>1</v>
      </c>
      <c r="C214" s="378" t="s">
        <v>477</v>
      </c>
      <c r="D214" s="313" t="s">
        <v>478</v>
      </c>
      <c r="E214" s="379" t="s">
        <v>477</v>
      </c>
      <c r="F214" s="553" t="str">
        <f t="shared" si="30"/>
        <v>REALAnilha Identificação ‐ 10 a 16mm² (pacote com 100 unidades)</v>
      </c>
      <c r="G214" s="609">
        <f>Y214</f>
        <v>0</v>
      </c>
      <c r="H214" s="315" t="s">
        <v>228</v>
      </c>
      <c r="I214" s="323">
        <v>0</v>
      </c>
      <c r="J214" s="323">
        <v>0</v>
      </c>
      <c r="K214" s="323">
        <v>0</v>
      </c>
      <c r="L214" s="323">
        <v>0</v>
      </c>
      <c r="M214" s="323"/>
      <c r="N214" s="323"/>
      <c r="O214" s="323"/>
      <c r="P214" s="323"/>
      <c r="Q214" s="323"/>
      <c r="R214" s="323"/>
      <c r="S214" s="323"/>
      <c r="T214" s="323"/>
      <c r="U214" s="323"/>
      <c r="V214" s="316">
        <f t="shared" si="31"/>
        <v>0</v>
      </c>
      <c r="W214" s="316">
        <v>32.92</v>
      </c>
      <c r="X214" s="316">
        <f t="shared" si="32"/>
        <v>0</v>
      </c>
      <c r="Y214" s="322">
        <f>X214/X213</f>
        <v>0</v>
      </c>
      <c r="Z214" s="572"/>
      <c r="AA214" s="567"/>
    </row>
    <row r="215" spans="1:27" s="311" customFormat="1" ht="15" customHeight="1" outlineLevel="1">
      <c r="A215" s="273">
        <v>211</v>
      </c>
      <c r="B215" s="273" t="s">
        <v>0</v>
      </c>
      <c r="C215" s="376" t="s">
        <v>479</v>
      </c>
      <c r="D215" s="306" t="s">
        <v>480</v>
      </c>
      <c r="E215" s="377" t="s">
        <v>479</v>
      </c>
      <c r="F215" s="553" t="str">
        <f t="shared" si="30"/>
        <v>PREVAnilha Identificação ‐ 25 a 70mm² (pacote com 100 unidades)</v>
      </c>
      <c r="G215" s="611" t="s">
        <v>74</v>
      </c>
      <c r="H215" s="307" t="s">
        <v>228</v>
      </c>
      <c r="I215" s="321">
        <v>0.66400000000000003</v>
      </c>
      <c r="J215" s="321">
        <v>0.83</v>
      </c>
      <c r="K215" s="321">
        <v>0.83</v>
      </c>
      <c r="L215" s="321">
        <v>0.83</v>
      </c>
      <c r="M215" s="321">
        <v>0.83</v>
      </c>
      <c r="N215" s="321">
        <v>0.83</v>
      </c>
      <c r="O215" s="321">
        <v>0.83</v>
      </c>
      <c r="P215" s="321">
        <v>0.83</v>
      </c>
      <c r="Q215" s="321">
        <v>0.84</v>
      </c>
      <c r="R215" s="321">
        <v>0.84</v>
      </c>
      <c r="S215" s="321">
        <v>0.84</v>
      </c>
      <c r="T215" s="321">
        <v>0.84</v>
      </c>
      <c r="U215" s="321">
        <v>0.16800000000000001</v>
      </c>
      <c r="V215" s="308">
        <f t="shared" si="31"/>
        <v>10.001999999999999</v>
      </c>
      <c r="W215" s="308">
        <v>35.83</v>
      </c>
      <c r="X215" s="308">
        <f t="shared" si="32"/>
        <v>358.37165999999996</v>
      </c>
      <c r="Y215" s="322" t="s">
        <v>74</v>
      </c>
      <c r="Z215" s="575"/>
      <c r="AA215" s="567"/>
    </row>
    <row r="216" spans="1:27" s="318" customFormat="1" ht="15" customHeight="1" outlineLevel="1">
      <c r="A216" s="282">
        <v>212</v>
      </c>
      <c r="B216" s="282" t="s">
        <v>1</v>
      </c>
      <c r="C216" s="378" t="s">
        <v>479</v>
      </c>
      <c r="D216" s="313" t="s">
        <v>480</v>
      </c>
      <c r="E216" s="379" t="s">
        <v>479</v>
      </c>
      <c r="F216" s="553" t="str">
        <f t="shared" si="30"/>
        <v>REALAnilha Identificação ‐ 25 a 70mm² (pacote com 100 unidades)</v>
      </c>
      <c r="G216" s="609">
        <f>Y216</f>
        <v>0</v>
      </c>
      <c r="H216" s="315" t="s">
        <v>228</v>
      </c>
      <c r="I216" s="323">
        <v>0</v>
      </c>
      <c r="J216" s="323">
        <v>0</v>
      </c>
      <c r="K216" s="323">
        <v>0</v>
      </c>
      <c r="L216" s="323">
        <v>0</v>
      </c>
      <c r="M216" s="323"/>
      <c r="N216" s="323"/>
      <c r="O216" s="323"/>
      <c r="P216" s="323"/>
      <c r="Q216" s="323"/>
      <c r="R216" s="323"/>
      <c r="S216" s="323"/>
      <c r="T216" s="323"/>
      <c r="U216" s="323"/>
      <c r="V216" s="316">
        <f t="shared" si="31"/>
        <v>0</v>
      </c>
      <c r="W216" s="316">
        <v>35.83</v>
      </c>
      <c r="X216" s="316">
        <f t="shared" si="32"/>
        <v>0</v>
      </c>
      <c r="Y216" s="322">
        <f>X216/X215</f>
        <v>0</v>
      </c>
      <c r="Z216" s="572"/>
      <c r="AA216" s="567"/>
    </row>
    <row r="217" spans="1:27" s="311" customFormat="1" ht="15" customHeight="1" outlineLevel="1">
      <c r="A217" s="273">
        <v>213</v>
      </c>
      <c r="B217" s="273" t="s">
        <v>0</v>
      </c>
      <c r="C217" s="376" t="s">
        <v>481</v>
      </c>
      <c r="D217" s="306" t="s">
        <v>482</v>
      </c>
      <c r="E217" s="377" t="s">
        <v>481</v>
      </c>
      <c r="F217" s="553" t="str">
        <f t="shared" si="30"/>
        <v>PREVAnilha Identificação ‐ 95 a 120mm² (pacote com 100 unidades)</v>
      </c>
      <c r="G217" s="611" t="s">
        <v>74</v>
      </c>
      <c r="H217" s="307" t="s">
        <v>228</v>
      </c>
      <c r="I217" s="321">
        <v>0.66400000000000003</v>
      </c>
      <c r="J217" s="321">
        <v>0.83</v>
      </c>
      <c r="K217" s="321">
        <v>0.83</v>
      </c>
      <c r="L217" s="321">
        <v>0.83</v>
      </c>
      <c r="M217" s="321">
        <v>0.83</v>
      </c>
      <c r="N217" s="321">
        <v>0.83</v>
      </c>
      <c r="O217" s="321">
        <v>0.83</v>
      </c>
      <c r="P217" s="321">
        <v>0.83</v>
      </c>
      <c r="Q217" s="321">
        <v>0.84</v>
      </c>
      <c r="R217" s="321">
        <v>0.84</v>
      </c>
      <c r="S217" s="321">
        <v>0.84</v>
      </c>
      <c r="T217" s="321">
        <v>0.84</v>
      </c>
      <c r="U217" s="321">
        <v>0.16800000000000001</v>
      </c>
      <c r="V217" s="308">
        <f t="shared" si="31"/>
        <v>10.001999999999999</v>
      </c>
      <c r="W217" s="308">
        <v>46.68</v>
      </c>
      <c r="X217" s="308">
        <f t="shared" si="32"/>
        <v>466.89335999999997</v>
      </c>
      <c r="Y217" s="322" t="s">
        <v>74</v>
      </c>
      <c r="Z217" s="575"/>
      <c r="AA217" s="567"/>
    </row>
    <row r="218" spans="1:27" s="318" customFormat="1" ht="15" customHeight="1" outlineLevel="1">
      <c r="A218" s="282">
        <v>214</v>
      </c>
      <c r="B218" s="282" t="s">
        <v>1</v>
      </c>
      <c r="C218" s="378" t="s">
        <v>481</v>
      </c>
      <c r="D218" s="313" t="s">
        <v>482</v>
      </c>
      <c r="E218" s="379" t="s">
        <v>481</v>
      </c>
      <c r="F218" s="553" t="str">
        <f t="shared" si="30"/>
        <v>REALAnilha Identificação ‐ 95 a 120mm² (pacote com 100 unidades)</v>
      </c>
      <c r="G218" s="609">
        <f>Y218</f>
        <v>0</v>
      </c>
      <c r="H218" s="315" t="s">
        <v>228</v>
      </c>
      <c r="I218" s="323">
        <v>0</v>
      </c>
      <c r="J218" s="323">
        <v>0</v>
      </c>
      <c r="K218" s="323">
        <v>0</v>
      </c>
      <c r="L218" s="323">
        <v>0</v>
      </c>
      <c r="M218" s="323"/>
      <c r="N218" s="323"/>
      <c r="O218" s="323"/>
      <c r="P218" s="323"/>
      <c r="Q218" s="323"/>
      <c r="R218" s="323"/>
      <c r="S218" s="323"/>
      <c r="T218" s="323"/>
      <c r="U218" s="323"/>
      <c r="V218" s="316">
        <f t="shared" si="31"/>
        <v>0</v>
      </c>
      <c r="W218" s="316">
        <v>46.68</v>
      </c>
      <c r="X218" s="316">
        <f t="shared" si="32"/>
        <v>0</v>
      </c>
      <c r="Y218" s="322">
        <f>X218/X217</f>
        <v>0</v>
      </c>
      <c r="Z218" s="572"/>
      <c r="AA218" s="567"/>
    </row>
    <row r="219" spans="1:27" s="311" customFormat="1" ht="15" customHeight="1">
      <c r="A219" s="273">
        <v>215</v>
      </c>
      <c r="B219" s="273" t="s">
        <v>0</v>
      </c>
      <c r="C219" s="289" t="s">
        <v>483</v>
      </c>
      <c r="D219" s="380" t="s">
        <v>230</v>
      </c>
      <c r="E219" s="291" t="s">
        <v>483</v>
      </c>
      <c r="F219" s="291"/>
      <c r="G219" s="610"/>
      <c r="H219" s="292"/>
      <c r="I219" s="396"/>
      <c r="J219" s="396"/>
      <c r="K219" s="396"/>
      <c r="L219" s="396"/>
      <c r="M219" s="396"/>
      <c r="N219" s="396"/>
      <c r="O219" s="396"/>
      <c r="P219" s="396"/>
      <c r="Q219" s="396"/>
      <c r="R219" s="396"/>
      <c r="S219" s="396"/>
      <c r="T219" s="396"/>
      <c r="U219" s="396"/>
      <c r="V219" s="319"/>
      <c r="W219" s="319"/>
      <c r="X219" s="370">
        <f>SUMIF(B221:B436,B219,X221:X436)</f>
        <v>96084.695326666682</v>
      </c>
      <c r="Y219" s="295" t="s">
        <v>74</v>
      </c>
      <c r="Z219" s="578"/>
      <c r="AA219" s="567"/>
    </row>
    <row r="220" spans="1:27" s="318" customFormat="1" ht="15" customHeight="1">
      <c r="A220" s="282">
        <v>216</v>
      </c>
      <c r="B220" s="282" t="s">
        <v>1</v>
      </c>
      <c r="C220" s="297" t="s">
        <v>483</v>
      </c>
      <c r="D220" s="381" t="s">
        <v>230</v>
      </c>
      <c r="E220" s="320" t="s">
        <v>483</v>
      </c>
      <c r="F220" s="320"/>
      <c r="G220" s="612"/>
      <c r="H220" s="300"/>
      <c r="I220" s="397"/>
      <c r="J220" s="397"/>
      <c r="K220" s="397"/>
      <c r="L220" s="397"/>
      <c r="M220" s="397"/>
      <c r="N220" s="397"/>
      <c r="O220" s="397"/>
      <c r="P220" s="397"/>
      <c r="Q220" s="397"/>
      <c r="R220" s="397"/>
      <c r="S220" s="397"/>
      <c r="T220" s="397"/>
      <c r="U220" s="397"/>
      <c r="V220" s="302">
        <v>0</v>
      </c>
      <c r="W220" s="302">
        <v>0</v>
      </c>
      <c r="X220" s="303">
        <f>SUMIF(B221:B436,B220,X221:X436)</f>
        <v>16429.898333333342</v>
      </c>
      <c r="Y220" s="295">
        <f>X220/X219</f>
        <v>0.17099391612238896</v>
      </c>
      <c r="Z220" s="571"/>
      <c r="AA220" s="567"/>
    </row>
    <row r="221" spans="1:27" s="311" customFormat="1" ht="15" customHeight="1" outlineLevel="1">
      <c r="A221" s="273">
        <v>217</v>
      </c>
      <c r="B221" s="273" t="s">
        <v>0</v>
      </c>
      <c r="C221" s="305" t="s">
        <v>484</v>
      </c>
      <c r="D221" s="306" t="s">
        <v>485</v>
      </c>
      <c r="E221" s="307" t="s">
        <v>484</v>
      </c>
      <c r="F221" s="553" t="str">
        <f t="shared" ref="F221:F284" si="33">B221&amp;D221</f>
        <v>PREVAdaptador universal de tomadas</v>
      </c>
      <c r="G221" s="611" t="s">
        <v>74</v>
      </c>
      <c r="H221" s="307" t="s">
        <v>228</v>
      </c>
      <c r="I221" s="321">
        <v>4.4000000000000004</v>
      </c>
      <c r="J221" s="321">
        <v>5.5</v>
      </c>
      <c r="K221" s="321">
        <v>5.5</v>
      </c>
      <c r="L221" s="321">
        <v>5.5</v>
      </c>
      <c r="M221" s="321">
        <v>5.5</v>
      </c>
      <c r="N221" s="321">
        <v>5.5</v>
      </c>
      <c r="O221" s="321">
        <v>5.5</v>
      </c>
      <c r="P221" s="321">
        <v>5.5</v>
      </c>
      <c r="Q221" s="321">
        <v>5.5</v>
      </c>
      <c r="R221" s="321">
        <v>5.5</v>
      </c>
      <c r="S221" s="321">
        <v>5.5</v>
      </c>
      <c r="T221" s="321">
        <v>5.5</v>
      </c>
      <c r="U221" s="321">
        <v>1.1000000000000001</v>
      </c>
      <c r="V221" s="308">
        <f t="shared" ref="V221:V252" si="34">SUM(I221:U221)</f>
        <v>66</v>
      </c>
      <c r="W221" s="308">
        <v>4.4400000000000004</v>
      </c>
      <c r="X221" s="308">
        <f t="shared" ref="X221:X284" si="35">W221*V221</f>
        <v>293.04000000000002</v>
      </c>
      <c r="Y221" s="322" t="s">
        <v>74</v>
      </c>
      <c r="Z221" s="575"/>
      <c r="AA221" s="567"/>
    </row>
    <row r="222" spans="1:27" s="318" customFormat="1" ht="15" customHeight="1" outlineLevel="1">
      <c r="A222" s="282">
        <v>218</v>
      </c>
      <c r="B222" s="282" t="s">
        <v>1</v>
      </c>
      <c r="C222" s="312" t="s">
        <v>484</v>
      </c>
      <c r="D222" s="313" t="s">
        <v>485</v>
      </c>
      <c r="E222" s="314" t="s">
        <v>484</v>
      </c>
      <c r="F222" s="553" t="str">
        <f t="shared" si="33"/>
        <v>REALAdaptador universal de tomadas</v>
      </c>
      <c r="G222" s="609">
        <f>Y222</f>
        <v>0.36363636363636365</v>
      </c>
      <c r="H222" s="315" t="s">
        <v>228</v>
      </c>
      <c r="I222" s="323">
        <v>6</v>
      </c>
      <c r="J222" s="323">
        <v>6</v>
      </c>
      <c r="K222" s="323">
        <v>7</v>
      </c>
      <c r="L222" s="323">
        <v>5</v>
      </c>
      <c r="M222" s="323"/>
      <c r="N222" s="323"/>
      <c r="O222" s="323"/>
      <c r="P222" s="323"/>
      <c r="Q222" s="323"/>
      <c r="R222" s="323"/>
      <c r="S222" s="323"/>
      <c r="T222" s="323"/>
      <c r="U222" s="323"/>
      <c r="V222" s="316">
        <f t="shared" si="34"/>
        <v>24</v>
      </c>
      <c r="W222" s="316">
        <v>4.4400000000000004</v>
      </c>
      <c r="X222" s="316">
        <f t="shared" si="35"/>
        <v>106.56</v>
      </c>
      <c r="Y222" s="322">
        <f>X222/X221</f>
        <v>0.36363636363636365</v>
      </c>
      <c r="Z222" s="572"/>
      <c r="AA222" s="567"/>
    </row>
    <row r="223" spans="1:27" s="311" customFormat="1" ht="15" customHeight="1" outlineLevel="1">
      <c r="A223" s="273">
        <v>219</v>
      </c>
      <c r="B223" s="273" t="s">
        <v>0</v>
      </c>
      <c r="C223" s="305" t="s">
        <v>486</v>
      </c>
      <c r="D223" s="306" t="s">
        <v>487</v>
      </c>
      <c r="E223" s="307" t="s">
        <v>486</v>
      </c>
      <c r="F223" s="553" t="str">
        <f t="shared" si="33"/>
        <v>PREVAlavanca reta, 1,75 m</v>
      </c>
      <c r="G223" s="611" t="s">
        <v>74</v>
      </c>
      <c r="H223" s="307" t="s">
        <v>228</v>
      </c>
      <c r="I223" s="321">
        <v>0.93599999999999994</v>
      </c>
      <c r="J223" s="321">
        <v>1.17</v>
      </c>
      <c r="K223" s="321">
        <v>1.17</v>
      </c>
      <c r="L223" s="321">
        <v>1.17</v>
      </c>
      <c r="M223" s="321">
        <v>0.75</v>
      </c>
      <c r="N223" s="321">
        <v>1.17</v>
      </c>
      <c r="O223" s="321">
        <v>1.17</v>
      </c>
      <c r="P223" s="321">
        <v>1.17</v>
      </c>
      <c r="Q223" s="321">
        <v>1.1599999999999999</v>
      </c>
      <c r="R223" s="321">
        <v>1.1599999999999999</v>
      </c>
      <c r="S223" s="321">
        <v>1.1599999999999999</v>
      </c>
      <c r="T223" s="321">
        <v>1.1599999999999999</v>
      </c>
      <c r="U223" s="321">
        <v>0.23199999999999998</v>
      </c>
      <c r="V223" s="308">
        <f t="shared" si="34"/>
        <v>13.577999999999999</v>
      </c>
      <c r="W223" s="308">
        <v>88.56</v>
      </c>
      <c r="X223" s="308">
        <f t="shared" si="35"/>
        <v>1202.46768</v>
      </c>
      <c r="Y223" s="322" t="s">
        <v>74</v>
      </c>
      <c r="Z223" s="575"/>
      <c r="AA223" s="567"/>
    </row>
    <row r="224" spans="1:27" s="318" customFormat="1" ht="15" customHeight="1" outlineLevel="1">
      <c r="A224" s="282">
        <v>220</v>
      </c>
      <c r="B224" s="282" t="s">
        <v>1</v>
      </c>
      <c r="C224" s="312" t="s">
        <v>486</v>
      </c>
      <c r="D224" s="313" t="s">
        <v>487</v>
      </c>
      <c r="E224" s="314" t="s">
        <v>486</v>
      </c>
      <c r="F224" s="553" t="str">
        <f t="shared" si="33"/>
        <v>REALAlavanca reta, 1,75 m</v>
      </c>
      <c r="G224" s="609">
        <f>Y224</f>
        <v>0.34369322924338391</v>
      </c>
      <c r="H224" s="315" t="s">
        <v>228</v>
      </c>
      <c r="I224" s="323">
        <v>1.1666666666666667</v>
      </c>
      <c r="J224" s="323">
        <v>1.1666666666666667</v>
      </c>
      <c r="K224" s="323">
        <v>1.1666666666666667</v>
      </c>
      <c r="L224" s="323">
        <v>1.1666666666666667</v>
      </c>
      <c r="M224" s="323"/>
      <c r="N224" s="323"/>
      <c r="O224" s="323"/>
      <c r="P224" s="323"/>
      <c r="Q224" s="323"/>
      <c r="R224" s="323"/>
      <c r="S224" s="323"/>
      <c r="T224" s="323"/>
      <c r="U224" s="323"/>
      <c r="V224" s="316">
        <f t="shared" si="34"/>
        <v>4.666666666666667</v>
      </c>
      <c r="W224" s="316">
        <v>88.56</v>
      </c>
      <c r="X224" s="316">
        <f t="shared" si="35"/>
        <v>413.28000000000003</v>
      </c>
      <c r="Y224" s="322">
        <f>X224/X223</f>
        <v>0.34369322924338391</v>
      </c>
      <c r="Z224" s="572"/>
      <c r="AA224" s="567"/>
    </row>
    <row r="225" spans="1:27" s="311" customFormat="1" ht="15" customHeight="1" outlineLevel="1">
      <c r="A225" s="273">
        <v>221</v>
      </c>
      <c r="B225" s="273" t="s">
        <v>0</v>
      </c>
      <c r="C225" s="305" t="s">
        <v>488</v>
      </c>
      <c r="D225" s="306" t="s">
        <v>489</v>
      </c>
      <c r="E225" s="307" t="s">
        <v>488</v>
      </c>
      <c r="F225" s="553" t="str">
        <f t="shared" si="33"/>
        <v>PREVAlicate bico chato/pato, 6"</v>
      </c>
      <c r="G225" s="611" t="s">
        <v>74</v>
      </c>
      <c r="H225" s="307" t="s">
        <v>228</v>
      </c>
      <c r="I225" s="321">
        <v>1.2640000000000002</v>
      </c>
      <c r="J225" s="321">
        <v>1.58</v>
      </c>
      <c r="K225" s="321">
        <v>1.58</v>
      </c>
      <c r="L225" s="321">
        <v>1.58</v>
      </c>
      <c r="M225" s="321">
        <v>1</v>
      </c>
      <c r="N225" s="321">
        <v>1.58</v>
      </c>
      <c r="O225" s="321">
        <v>1.58</v>
      </c>
      <c r="P225" s="321">
        <v>1.58</v>
      </c>
      <c r="Q225" s="321">
        <v>1.59</v>
      </c>
      <c r="R225" s="321">
        <v>1.59</v>
      </c>
      <c r="S225" s="321">
        <v>1.59</v>
      </c>
      <c r="T225" s="321">
        <v>1.59</v>
      </c>
      <c r="U225" s="321">
        <v>0.31800000000000006</v>
      </c>
      <c r="V225" s="308">
        <f t="shared" si="34"/>
        <v>18.422000000000001</v>
      </c>
      <c r="W225" s="308">
        <v>28.51</v>
      </c>
      <c r="X225" s="308">
        <f t="shared" si="35"/>
        <v>525.21122000000003</v>
      </c>
      <c r="Y225" s="322" t="s">
        <v>74</v>
      </c>
      <c r="Z225" s="575"/>
      <c r="AA225" s="567"/>
    </row>
    <row r="226" spans="1:27" s="318" customFormat="1" ht="15" customHeight="1" outlineLevel="1">
      <c r="A226" s="282">
        <v>222</v>
      </c>
      <c r="B226" s="282" t="s">
        <v>1</v>
      </c>
      <c r="C226" s="312" t="s">
        <v>488</v>
      </c>
      <c r="D226" s="313" t="s">
        <v>489</v>
      </c>
      <c r="E226" s="314" t="s">
        <v>488</v>
      </c>
      <c r="F226" s="553" t="str">
        <f t="shared" si="33"/>
        <v>REALAlicate bico chato/pato, 6"</v>
      </c>
      <c r="G226" s="609">
        <f>Y226</f>
        <v>0.34379184308616506</v>
      </c>
      <c r="H226" s="315" t="s">
        <v>228</v>
      </c>
      <c r="I226" s="323">
        <v>1.5833333333333333</v>
      </c>
      <c r="J226" s="323">
        <v>1.5833333333333333</v>
      </c>
      <c r="K226" s="323">
        <v>1.5833333333333333</v>
      </c>
      <c r="L226" s="323">
        <v>1.5833333333333333</v>
      </c>
      <c r="M226" s="323"/>
      <c r="N226" s="323"/>
      <c r="O226" s="323"/>
      <c r="P226" s="323"/>
      <c r="Q226" s="323"/>
      <c r="R226" s="323"/>
      <c r="S226" s="323"/>
      <c r="T226" s="323"/>
      <c r="U226" s="323"/>
      <c r="V226" s="316">
        <f t="shared" si="34"/>
        <v>6.333333333333333</v>
      </c>
      <c r="W226" s="316">
        <v>28.51</v>
      </c>
      <c r="X226" s="316">
        <f t="shared" si="35"/>
        <v>180.56333333333333</v>
      </c>
      <c r="Y226" s="322">
        <f>X226/X225</f>
        <v>0.34379184308616506</v>
      </c>
      <c r="Z226" s="572"/>
      <c r="AA226" s="567"/>
    </row>
    <row r="227" spans="1:27" s="311" customFormat="1" ht="15" customHeight="1" outlineLevel="1">
      <c r="A227" s="273">
        <v>223</v>
      </c>
      <c r="B227" s="273" t="s">
        <v>0</v>
      </c>
      <c r="C227" s="305" t="s">
        <v>490</v>
      </c>
      <c r="D227" s="306" t="s">
        <v>491</v>
      </c>
      <c r="E227" s="307" t="s">
        <v>490</v>
      </c>
      <c r="F227" s="553" t="str">
        <f t="shared" si="33"/>
        <v>PREVAlicate cortador de cabos diagonal, 6" ‐ SINAPI 00038470</v>
      </c>
      <c r="G227" s="611" t="s">
        <v>74</v>
      </c>
      <c r="H227" s="307" t="s">
        <v>228</v>
      </c>
      <c r="I227" s="321">
        <v>2.2000000000000002</v>
      </c>
      <c r="J227" s="321">
        <v>2.75</v>
      </c>
      <c r="K227" s="321">
        <v>2.75</v>
      </c>
      <c r="L227" s="321">
        <v>2.75</v>
      </c>
      <c r="M227" s="321">
        <v>8.3333333333333329E-2</v>
      </c>
      <c r="N227" s="321">
        <v>2.75</v>
      </c>
      <c r="O227" s="321">
        <v>2.75</v>
      </c>
      <c r="P227" s="321">
        <v>2.75</v>
      </c>
      <c r="Q227" s="321">
        <v>2.75</v>
      </c>
      <c r="R227" s="321">
        <v>2.75</v>
      </c>
      <c r="S227" s="321">
        <v>2.75</v>
      </c>
      <c r="T227" s="321">
        <v>2.75</v>
      </c>
      <c r="U227" s="321">
        <v>0.55000000000000004</v>
      </c>
      <c r="V227" s="308">
        <f t="shared" si="34"/>
        <v>30.333333333333332</v>
      </c>
      <c r="W227" s="308">
        <v>12.04</v>
      </c>
      <c r="X227" s="308">
        <f t="shared" si="35"/>
        <v>365.21333333333331</v>
      </c>
      <c r="Y227" s="322" t="s">
        <v>74</v>
      </c>
      <c r="Z227" s="575"/>
      <c r="AA227" s="567"/>
    </row>
    <row r="228" spans="1:27" s="318" customFormat="1" ht="15" customHeight="1" outlineLevel="1">
      <c r="A228" s="282">
        <v>224</v>
      </c>
      <c r="B228" s="282" t="s">
        <v>1</v>
      </c>
      <c r="C228" s="312" t="s">
        <v>490</v>
      </c>
      <c r="D228" s="313" t="s">
        <v>491</v>
      </c>
      <c r="E228" s="314" t="s">
        <v>490</v>
      </c>
      <c r="F228" s="553" t="str">
        <f t="shared" si="33"/>
        <v>REALAlicate cortador de cabos diagonal, 6" ‐ SINAPI 00038470</v>
      </c>
      <c r="G228" s="609">
        <f>Y228</f>
        <v>0.16758241758241757</v>
      </c>
      <c r="H228" s="315" t="s">
        <v>228</v>
      </c>
      <c r="I228" s="323">
        <v>1.25</v>
      </c>
      <c r="J228" s="323">
        <v>1.25</v>
      </c>
      <c r="K228" s="323">
        <v>1.25</v>
      </c>
      <c r="L228" s="323">
        <v>1.3333333333333333</v>
      </c>
      <c r="M228" s="323"/>
      <c r="N228" s="323"/>
      <c r="O228" s="323"/>
      <c r="P228" s="323"/>
      <c r="Q228" s="323"/>
      <c r="R228" s="323"/>
      <c r="S228" s="323"/>
      <c r="T228" s="323"/>
      <c r="U228" s="323"/>
      <c r="V228" s="316">
        <f t="shared" si="34"/>
        <v>5.083333333333333</v>
      </c>
      <c r="W228" s="316">
        <v>12.04</v>
      </c>
      <c r="X228" s="316">
        <f t="shared" si="35"/>
        <v>61.203333333333326</v>
      </c>
      <c r="Y228" s="322">
        <f>X228/X227</f>
        <v>0.16758241758241757</v>
      </c>
      <c r="Z228" s="572"/>
      <c r="AA228" s="567"/>
    </row>
    <row r="229" spans="1:27" s="311" customFormat="1" ht="15" customHeight="1" outlineLevel="1">
      <c r="A229" s="273">
        <v>225</v>
      </c>
      <c r="B229" s="273" t="s">
        <v>0</v>
      </c>
      <c r="C229" s="305" t="s">
        <v>492</v>
      </c>
      <c r="D229" s="306" t="s">
        <v>491</v>
      </c>
      <c r="E229" s="307" t="s">
        <v>492</v>
      </c>
      <c r="F229" s="553" t="str">
        <f t="shared" si="33"/>
        <v>PREVAlicate cortador de cabos diagonal, 6" ‐ SINAPI 00038470</v>
      </c>
      <c r="G229" s="611" t="s">
        <v>74</v>
      </c>
      <c r="H229" s="307" t="s">
        <v>228</v>
      </c>
      <c r="I229" s="321">
        <v>1.2640000000000002</v>
      </c>
      <c r="J229" s="321">
        <v>1.58</v>
      </c>
      <c r="K229" s="321">
        <v>1.58</v>
      </c>
      <c r="L229" s="321">
        <v>1.58</v>
      </c>
      <c r="M229" s="321">
        <v>1.58</v>
      </c>
      <c r="N229" s="321">
        <v>1.58</v>
      </c>
      <c r="O229" s="321">
        <v>1.58</v>
      </c>
      <c r="P229" s="321">
        <v>1.58</v>
      </c>
      <c r="Q229" s="321">
        <v>1.59</v>
      </c>
      <c r="R229" s="321">
        <v>1.59</v>
      </c>
      <c r="S229" s="321">
        <v>1.59</v>
      </c>
      <c r="T229" s="321">
        <v>1.59</v>
      </c>
      <c r="U229" s="321">
        <v>0.31800000000000006</v>
      </c>
      <c r="V229" s="308">
        <f t="shared" si="34"/>
        <v>19.002000000000002</v>
      </c>
      <c r="W229" s="308">
        <v>12.04</v>
      </c>
      <c r="X229" s="308">
        <f t="shared" si="35"/>
        <v>228.78408000000002</v>
      </c>
      <c r="Y229" s="322" t="s">
        <v>74</v>
      </c>
      <c r="Z229" s="575"/>
      <c r="AA229" s="567"/>
    </row>
    <row r="230" spans="1:27" s="318" customFormat="1" ht="15" customHeight="1" outlineLevel="1">
      <c r="A230" s="282">
        <v>226</v>
      </c>
      <c r="B230" s="282" t="s">
        <v>1</v>
      </c>
      <c r="C230" s="312" t="s">
        <v>492</v>
      </c>
      <c r="D230" s="313" t="s">
        <v>491</v>
      </c>
      <c r="E230" s="314" t="s">
        <v>492</v>
      </c>
      <c r="F230" s="553" t="str">
        <f t="shared" si="33"/>
        <v>REALAlicate cortador de cabos diagonal, 6" ‐ SINAPI 00038470</v>
      </c>
      <c r="G230" s="609">
        <f>Y230</f>
        <v>0.16664912465354523</v>
      </c>
      <c r="H230" s="315" t="s">
        <v>228</v>
      </c>
      <c r="I230" s="323">
        <v>0</v>
      </c>
      <c r="J230" s="323">
        <v>0</v>
      </c>
      <c r="K230" s="323">
        <v>1.5833333333333333</v>
      </c>
      <c r="L230" s="323">
        <v>1.5833333333333333</v>
      </c>
      <c r="M230" s="323"/>
      <c r="N230" s="323"/>
      <c r="O230" s="323"/>
      <c r="P230" s="323"/>
      <c r="Q230" s="323"/>
      <c r="R230" s="323"/>
      <c r="S230" s="323"/>
      <c r="T230" s="323"/>
      <c r="U230" s="323"/>
      <c r="V230" s="316">
        <f t="shared" si="34"/>
        <v>3.1666666666666665</v>
      </c>
      <c r="W230" s="316">
        <v>12.04</v>
      </c>
      <c r="X230" s="316">
        <f t="shared" si="35"/>
        <v>38.126666666666665</v>
      </c>
      <c r="Y230" s="322">
        <f>X230/X229</f>
        <v>0.16664912465354523</v>
      </c>
      <c r="Z230" s="572"/>
      <c r="AA230" s="567"/>
    </row>
    <row r="231" spans="1:27" s="311" customFormat="1" ht="15" customHeight="1" outlineLevel="1">
      <c r="A231" s="273">
        <v>227</v>
      </c>
      <c r="B231" s="273" t="s">
        <v>0</v>
      </c>
      <c r="C231" s="305" t="s">
        <v>493</v>
      </c>
      <c r="D231" s="306" t="s">
        <v>494</v>
      </c>
      <c r="E231" s="307" t="s">
        <v>493</v>
      </c>
      <c r="F231" s="553" t="str">
        <f t="shared" si="33"/>
        <v>PREVAlicate/Tesoura cortador manual de cabos de até 300mm², 225mm</v>
      </c>
      <c r="G231" s="611" t="s">
        <v>74</v>
      </c>
      <c r="H231" s="307" t="s">
        <v>228</v>
      </c>
      <c r="I231" s="321">
        <v>1.2640000000000002</v>
      </c>
      <c r="J231" s="321">
        <v>1.58</v>
      </c>
      <c r="K231" s="321">
        <v>1.58</v>
      </c>
      <c r="L231" s="321">
        <v>1.58</v>
      </c>
      <c r="M231" s="321">
        <v>1.58</v>
      </c>
      <c r="N231" s="321">
        <v>1.58</v>
      </c>
      <c r="O231" s="321">
        <v>1.58</v>
      </c>
      <c r="P231" s="321">
        <v>1.58</v>
      </c>
      <c r="Q231" s="321">
        <v>1.59</v>
      </c>
      <c r="R231" s="321">
        <v>1.59</v>
      </c>
      <c r="S231" s="321">
        <v>1.59</v>
      </c>
      <c r="T231" s="321">
        <v>1.59</v>
      </c>
      <c r="U231" s="321">
        <v>0.31800000000000006</v>
      </c>
      <c r="V231" s="308">
        <f t="shared" si="34"/>
        <v>19.002000000000002</v>
      </c>
      <c r="W231" s="308">
        <v>235.87</v>
      </c>
      <c r="X231" s="308">
        <f t="shared" si="35"/>
        <v>4482.0017400000006</v>
      </c>
      <c r="Y231" s="322" t="s">
        <v>74</v>
      </c>
      <c r="Z231" s="575"/>
      <c r="AA231" s="567"/>
    </row>
    <row r="232" spans="1:27" s="318" customFormat="1" ht="15" customHeight="1" outlineLevel="1">
      <c r="A232" s="282">
        <v>228</v>
      </c>
      <c r="B232" s="282" t="s">
        <v>1</v>
      </c>
      <c r="C232" s="312" t="s">
        <v>493</v>
      </c>
      <c r="D232" s="313" t="s">
        <v>494</v>
      </c>
      <c r="E232" s="314" t="s">
        <v>493</v>
      </c>
      <c r="F232" s="553" t="str">
        <f t="shared" si="33"/>
        <v>REALAlicate/Tesoura cortador manual de cabos de até 300mm², 225mm</v>
      </c>
      <c r="G232" s="609">
        <f>Y232</f>
        <v>0</v>
      </c>
      <c r="H232" s="315" t="s">
        <v>228</v>
      </c>
      <c r="I232" s="323">
        <v>0</v>
      </c>
      <c r="J232" s="323">
        <v>0</v>
      </c>
      <c r="K232" s="323">
        <v>0</v>
      </c>
      <c r="L232" s="323">
        <v>0</v>
      </c>
      <c r="M232" s="323"/>
      <c r="N232" s="323"/>
      <c r="O232" s="323"/>
      <c r="P232" s="323"/>
      <c r="Q232" s="323"/>
      <c r="R232" s="323"/>
      <c r="S232" s="323"/>
      <c r="T232" s="323"/>
      <c r="U232" s="323"/>
      <c r="V232" s="316">
        <f t="shared" si="34"/>
        <v>0</v>
      </c>
      <c r="W232" s="316">
        <v>235.87</v>
      </c>
      <c r="X232" s="316">
        <f t="shared" si="35"/>
        <v>0</v>
      </c>
      <c r="Y232" s="322">
        <f>X232/X231</f>
        <v>0</v>
      </c>
      <c r="Z232" s="572"/>
      <c r="AA232" s="567"/>
    </row>
    <row r="233" spans="1:27" s="311" customFormat="1" ht="15" customHeight="1" outlineLevel="1">
      <c r="A233" s="273">
        <v>229</v>
      </c>
      <c r="B233" s="273" t="s">
        <v>0</v>
      </c>
      <c r="C233" s="305" t="s">
        <v>495</v>
      </c>
      <c r="D233" s="306" t="s">
        <v>494</v>
      </c>
      <c r="E233" s="307" t="s">
        <v>495</v>
      </c>
      <c r="F233" s="553" t="str">
        <f t="shared" si="33"/>
        <v>PREVAlicate/Tesoura cortador manual de cabos de até 300mm², 225mm</v>
      </c>
      <c r="G233" s="611" t="s">
        <v>74</v>
      </c>
      <c r="H233" s="307" t="s">
        <v>228</v>
      </c>
      <c r="I233" s="321">
        <v>0.46399999999999997</v>
      </c>
      <c r="J233" s="321">
        <v>0.57999999999999996</v>
      </c>
      <c r="K233" s="321">
        <v>0.57999999999999996</v>
      </c>
      <c r="L233" s="321">
        <v>0.57999999999999996</v>
      </c>
      <c r="M233" s="321">
        <v>0.57999999999999996</v>
      </c>
      <c r="N233" s="321">
        <v>0.57999999999999996</v>
      </c>
      <c r="O233" s="321">
        <v>0.57999999999999996</v>
      </c>
      <c r="P233" s="321">
        <v>0.57999999999999996</v>
      </c>
      <c r="Q233" s="321">
        <v>0.59</v>
      </c>
      <c r="R233" s="321">
        <v>0.59</v>
      </c>
      <c r="S233" s="321">
        <v>0.59</v>
      </c>
      <c r="T233" s="321">
        <v>0.59</v>
      </c>
      <c r="U233" s="321">
        <v>0.11799999999999999</v>
      </c>
      <c r="V233" s="308">
        <f t="shared" si="34"/>
        <v>7.0019999999999998</v>
      </c>
      <c r="W233" s="308">
        <v>235.87</v>
      </c>
      <c r="X233" s="308">
        <f t="shared" si="35"/>
        <v>1651.5617399999999</v>
      </c>
      <c r="Y233" s="322" t="s">
        <v>74</v>
      </c>
      <c r="Z233" s="575"/>
      <c r="AA233" s="567"/>
    </row>
    <row r="234" spans="1:27" s="318" customFormat="1" ht="15" customHeight="1" outlineLevel="1">
      <c r="A234" s="282">
        <v>230</v>
      </c>
      <c r="B234" s="282" t="s">
        <v>1</v>
      </c>
      <c r="C234" s="312" t="s">
        <v>495</v>
      </c>
      <c r="D234" s="313" t="s">
        <v>494</v>
      </c>
      <c r="E234" s="314" t="s">
        <v>495</v>
      </c>
      <c r="F234" s="553" t="str">
        <f t="shared" si="33"/>
        <v>REALAlicate/Tesoura cortador manual de cabos de até 300mm², 225mm</v>
      </c>
      <c r="G234" s="609">
        <f>Y234</f>
        <v>0</v>
      </c>
      <c r="H234" s="315" t="s">
        <v>228</v>
      </c>
      <c r="I234" s="323">
        <v>0</v>
      </c>
      <c r="J234" s="323">
        <v>0</v>
      </c>
      <c r="K234" s="323">
        <v>0</v>
      </c>
      <c r="L234" s="323">
        <v>0</v>
      </c>
      <c r="M234" s="323"/>
      <c r="N234" s="323"/>
      <c r="O234" s="323"/>
      <c r="P234" s="323"/>
      <c r="Q234" s="323"/>
      <c r="R234" s="323"/>
      <c r="S234" s="323"/>
      <c r="T234" s="323"/>
      <c r="U234" s="323"/>
      <c r="V234" s="316">
        <f t="shared" si="34"/>
        <v>0</v>
      </c>
      <c r="W234" s="316">
        <v>235.87</v>
      </c>
      <c r="X234" s="316">
        <f t="shared" si="35"/>
        <v>0</v>
      </c>
      <c r="Y234" s="322">
        <f>X234/X233</f>
        <v>0</v>
      </c>
      <c r="Z234" s="572"/>
      <c r="AA234" s="567"/>
    </row>
    <row r="235" spans="1:27" s="311" customFormat="1" ht="15" customHeight="1" outlineLevel="1">
      <c r="A235" s="273">
        <v>231</v>
      </c>
      <c r="B235" s="273" t="s">
        <v>0</v>
      </c>
      <c r="C235" s="305" t="s">
        <v>496</v>
      </c>
      <c r="D235" s="306" t="s">
        <v>497</v>
      </c>
      <c r="E235" s="307" t="s">
        <v>496</v>
      </c>
      <c r="F235" s="553" t="str">
        <f t="shared" si="33"/>
        <v>PREVAlicate crimpador, RJ‐11/RJ‐45, 200 mm ‐ SINAPI 00038547</v>
      </c>
      <c r="G235" s="611" t="s">
        <v>74</v>
      </c>
      <c r="H235" s="307" t="s">
        <v>228</v>
      </c>
      <c r="I235" s="321">
        <v>0.46399999999999997</v>
      </c>
      <c r="J235" s="321">
        <v>0.57999999999999996</v>
      </c>
      <c r="K235" s="321">
        <v>0.57999999999999996</v>
      </c>
      <c r="L235" s="321">
        <v>0.57999999999999996</v>
      </c>
      <c r="M235" s="321">
        <v>0.33333333333333331</v>
      </c>
      <c r="N235" s="321">
        <v>0.57999999999999996</v>
      </c>
      <c r="O235" s="321">
        <v>0.57999999999999996</v>
      </c>
      <c r="P235" s="321">
        <v>0.57999999999999996</v>
      </c>
      <c r="Q235" s="321">
        <v>0.59</v>
      </c>
      <c r="R235" s="321">
        <v>0.59</v>
      </c>
      <c r="S235" s="321">
        <v>0.59</v>
      </c>
      <c r="T235" s="321">
        <v>0.59</v>
      </c>
      <c r="U235" s="321">
        <v>0.11799999999999999</v>
      </c>
      <c r="V235" s="308">
        <f t="shared" si="34"/>
        <v>6.7553333333333336</v>
      </c>
      <c r="W235" s="308">
        <v>32.85</v>
      </c>
      <c r="X235" s="308">
        <f t="shared" si="35"/>
        <v>221.91270000000003</v>
      </c>
      <c r="Y235" s="322" t="s">
        <v>74</v>
      </c>
      <c r="Z235" s="575"/>
      <c r="AA235" s="567"/>
    </row>
    <row r="236" spans="1:27" s="318" customFormat="1" ht="15" customHeight="1" outlineLevel="1">
      <c r="A236" s="282">
        <v>232</v>
      </c>
      <c r="B236" s="282" t="s">
        <v>1</v>
      </c>
      <c r="C236" s="312" t="s">
        <v>496</v>
      </c>
      <c r="D236" s="313" t="s">
        <v>497</v>
      </c>
      <c r="E236" s="314" t="s">
        <v>496</v>
      </c>
      <c r="F236" s="553" t="str">
        <f t="shared" si="33"/>
        <v>REALAlicate crimpador, RJ‐11/RJ‐45, 200 mm ‐ SINAPI 00038547</v>
      </c>
      <c r="G236" s="609">
        <f>Y236</f>
        <v>0.3454060988848317</v>
      </c>
      <c r="H236" s="315" t="s">
        <v>228</v>
      </c>
      <c r="I236" s="323">
        <v>0.58333333333333337</v>
      </c>
      <c r="J236" s="323">
        <v>0.58333333333333337</v>
      </c>
      <c r="K236" s="323">
        <v>0.58333333333333337</v>
      </c>
      <c r="L236" s="323">
        <v>0.58333333333333337</v>
      </c>
      <c r="M236" s="323"/>
      <c r="N236" s="323"/>
      <c r="O236" s="323"/>
      <c r="P236" s="323"/>
      <c r="Q236" s="323"/>
      <c r="R236" s="323"/>
      <c r="S236" s="323"/>
      <c r="T236" s="323"/>
      <c r="U236" s="323"/>
      <c r="V236" s="316">
        <f t="shared" si="34"/>
        <v>2.3333333333333335</v>
      </c>
      <c r="W236" s="316">
        <v>32.85</v>
      </c>
      <c r="X236" s="316">
        <f t="shared" si="35"/>
        <v>76.650000000000006</v>
      </c>
      <c r="Y236" s="322">
        <f>X236/X235</f>
        <v>0.3454060988848317</v>
      </c>
      <c r="Z236" s="572"/>
      <c r="AA236" s="567"/>
    </row>
    <row r="237" spans="1:27" s="311" customFormat="1" ht="15" customHeight="1" outlineLevel="1">
      <c r="A237" s="273">
        <v>233</v>
      </c>
      <c r="B237" s="273" t="s">
        <v>0</v>
      </c>
      <c r="C237" s="305" t="s">
        <v>498</v>
      </c>
      <c r="D237" s="306" t="s">
        <v>499</v>
      </c>
      <c r="E237" s="307" t="s">
        <v>498</v>
      </c>
      <c r="F237" s="553" t="str">
        <f t="shared" si="33"/>
        <v>PREVAlicate crimpador, RG‐59 e RG‐6, 130mm</v>
      </c>
      <c r="G237" s="611" t="s">
        <v>74</v>
      </c>
      <c r="H237" s="307" t="s">
        <v>228</v>
      </c>
      <c r="I237" s="321">
        <v>0.46399999999999997</v>
      </c>
      <c r="J237" s="321">
        <v>0.57999999999999996</v>
      </c>
      <c r="K237" s="321">
        <v>0.57999999999999996</v>
      </c>
      <c r="L237" s="321">
        <v>0.57999999999999996</v>
      </c>
      <c r="M237" s="321">
        <v>0.25</v>
      </c>
      <c r="N237" s="321">
        <v>0.57999999999999996</v>
      </c>
      <c r="O237" s="321">
        <v>0.57999999999999996</v>
      </c>
      <c r="P237" s="321">
        <v>0.57999999999999996</v>
      </c>
      <c r="Q237" s="321">
        <v>0.59</v>
      </c>
      <c r="R237" s="321">
        <v>0.59</v>
      </c>
      <c r="S237" s="321">
        <v>0.59</v>
      </c>
      <c r="T237" s="321">
        <v>0.59</v>
      </c>
      <c r="U237" s="321">
        <v>0.11799999999999999</v>
      </c>
      <c r="V237" s="308">
        <f t="shared" si="34"/>
        <v>6.6719999999999997</v>
      </c>
      <c r="W237" s="308">
        <v>15.1</v>
      </c>
      <c r="X237" s="308">
        <f t="shared" si="35"/>
        <v>100.74719999999999</v>
      </c>
      <c r="Y237" s="322" t="s">
        <v>74</v>
      </c>
      <c r="Z237" s="575"/>
      <c r="AA237" s="567"/>
    </row>
    <row r="238" spans="1:27" s="318" customFormat="1" ht="15" customHeight="1" outlineLevel="1">
      <c r="A238" s="282">
        <v>234</v>
      </c>
      <c r="B238" s="282" t="s">
        <v>1</v>
      </c>
      <c r="C238" s="312" t="s">
        <v>498</v>
      </c>
      <c r="D238" s="313" t="s">
        <v>499</v>
      </c>
      <c r="E238" s="314" t="s">
        <v>498</v>
      </c>
      <c r="F238" s="553" t="str">
        <f t="shared" si="33"/>
        <v>REALAlicate crimpador, RG‐59 e RG‐6, 130mm</v>
      </c>
      <c r="G238" s="609">
        <f>Y238</f>
        <v>0.32474020783373303</v>
      </c>
      <c r="H238" s="315" t="s">
        <v>228</v>
      </c>
      <c r="I238" s="323">
        <v>0.5</v>
      </c>
      <c r="J238" s="323">
        <v>0.5</v>
      </c>
      <c r="K238" s="323">
        <v>0.58333333333333337</v>
      </c>
      <c r="L238" s="323">
        <v>0.58333333333333337</v>
      </c>
      <c r="M238" s="323"/>
      <c r="N238" s="323"/>
      <c r="O238" s="323"/>
      <c r="P238" s="323"/>
      <c r="Q238" s="323"/>
      <c r="R238" s="323"/>
      <c r="S238" s="323"/>
      <c r="T238" s="323"/>
      <c r="U238" s="323"/>
      <c r="V238" s="316">
        <f t="shared" si="34"/>
        <v>2.166666666666667</v>
      </c>
      <c r="W238" s="316">
        <v>15.1</v>
      </c>
      <c r="X238" s="316">
        <f t="shared" si="35"/>
        <v>32.716666666666669</v>
      </c>
      <c r="Y238" s="322">
        <f>X238/X237</f>
        <v>0.32474020783373303</v>
      </c>
      <c r="Z238" s="572"/>
      <c r="AA238" s="567"/>
    </row>
    <row r="239" spans="1:27" s="311" customFormat="1" ht="15" customHeight="1" outlineLevel="1">
      <c r="A239" s="273">
        <v>235</v>
      </c>
      <c r="B239" s="273" t="s">
        <v>0</v>
      </c>
      <c r="C239" s="305" t="s">
        <v>500</v>
      </c>
      <c r="D239" s="306" t="s">
        <v>501</v>
      </c>
      <c r="E239" s="307" t="s">
        <v>500</v>
      </c>
      <c r="F239" s="553" t="str">
        <f t="shared" si="33"/>
        <v>PREVAlicate crimpador para terminais 1,0 a 10mm², 220 mm</v>
      </c>
      <c r="G239" s="611" t="s">
        <v>74</v>
      </c>
      <c r="H239" s="307" t="s">
        <v>228</v>
      </c>
      <c r="I239" s="321">
        <v>1.2640000000000002</v>
      </c>
      <c r="J239" s="321">
        <v>1.58</v>
      </c>
      <c r="K239" s="321">
        <v>1.58</v>
      </c>
      <c r="L239" s="321">
        <v>1.58</v>
      </c>
      <c r="M239" s="321">
        <v>0.5</v>
      </c>
      <c r="N239" s="321">
        <v>1.58</v>
      </c>
      <c r="O239" s="321">
        <v>1.58</v>
      </c>
      <c r="P239" s="321">
        <v>1.58</v>
      </c>
      <c r="Q239" s="321">
        <v>1.59</v>
      </c>
      <c r="R239" s="321">
        <v>1.59</v>
      </c>
      <c r="S239" s="321">
        <v>1.59</v>
      </c>
      <c r="T239" s="321">
        <v>1.59</v>
      </c>
      <c r="U239" s="321">
        <v>0.31800000000000006</v>
      </c>
      <c r="V239" s="308">
        <f t="shared" si="34"/>
        <v>17.922000000000001</v>
      </c>
      <c r="W239" s="308">
        <v>29.05</v>
      </c>
      <c r="X239" s="308">
        <f t="shared" si="35"/>
        <v>520.63409999999999</v>
      </c>
      <c r="Y239" s="322" t="s">
        <v>74</v>
      </c>
      <c r="Z239" s="575"/>
      <c r="AA239" s="567"/>
    </row>
    <row r="240" spans="1:27" s="318" customFormat="1" ht="15" customHeight="1" outlineLevel="1">
      <c r="A240" s="282">
        <v>236</v>
      </c>
      <c r="B240" s="282" t="s">
        <v>1</v>
      </c>
      <c r="C240" s="312" t="s">
        <v>500</v>
      </c>
      <c r="D240" s="313" t="s">
        <v>501</v>
      </c>
      <c r="E240" s="314">
        <v>40243</v>
      </c>
      <c r="F240" s="553" t="str">
        <f t="shared" si="33"/>
        <v>REALAlicate crimpador para terminais 1,0 a 10mm², 220 mm</v>
      </c>
      <c r="G240" s="609">
        <f>Y240</f>
        <v>0.44637875237138713</v>
      </c>
      <c r="H240" s="315" t="s">
        <v>228</v>
      </c>
      <c r="I240" s="323">
        <v>2</v>
      </c>
      <c r="J240" s="323">
        <v>2</v>
      </c>
      <c r="K240" s="323">
        <v>2</v>
      </c>
      <c r="L240" s="323">
        <v>2</v>
      </c>
      <c r="M240" s="323"/>
      <c r="N240" s="323"/>
      <c r="O240" s="323"/>
      <c r="P240" s="323"/>
      <c r="Q240" s="323"/>
      <c r="R240" s="323"/>
      <c r="S240" s="323"/>
      <c r="T240" s="323"/>
      <c r="U240" s="323"/>
      <c r="V240" s="316">
        <f t="shared" si="34"/>
        <v>8</v>
      </c>
      <c r="W240" s="316">
        <v>29.05</v>
      </c>
      <c r="X240" s="316">
        <f t="shared" si="35"/>
        <v>232.4</v>
      </c>
      <c r="Y240" s="322">
        <f>X240/X239</f>
        <v>0.44637875237138713</v>
      </c>
      <c r="Z240" s="572"/>
      <c r="AA240" s="567"/>
    </row>
    <row r="241" spans="1:27" s="311" customFormat="1" ht="15" customHeight="1" outlineLevel="1">
      <c r="A241" s="273">
        <v>237</v>
      </c>
      <c r="B241" s="273" t="s">
        <v>0</v>
      </c>
      <c r="C241" s="305" t="s">
        <v>502</v>
      </c>
      <c r="D241" s="306" t="s">
        <v>503</v>
      </c>
      <c r="E241" s="307" t="s">
        <v>502</v>
      </c>
      <c r="F241" s="553" t="str">
        <f t="shared" si="33"/>
        <v>PREVAlicate crimpador para terminais 10 a 120mm², 620mm</v>
      </c>
      <c r="G241" s="611" t="s">
        <v>74</v>
      </c>
      <c r="H241" s="307" t="s">
        <v>228</v>
      </c>
      <c r="I241" s="321">
        <v>0.13600000000000001</v>
      </c>
      <c r="J241" s="321">
        <v>0.17</v>
      </c>
      <c r="K241" s="321">
        <v>0.17</v>
      </c>
      <c r="L241" s="321">
        <v>0.17</v>
      </c>
      <c r="M241" s="321">
        <v>0.17</v>
      </c>
      <c r="N241" s="321">
        <v>0.17</v>
      </c>
      <c r="O241" s="321">
        <v>0.17</v>
      </c>
      <c r="P241" s="321">
        <v>0.17</v>
      </c>
      <c r="Q241" s="321">
        <v>0.16</v>
      </c>
      <c r="R241" s="321">
        <v>0.16</v>
      </c>
      <c r="S241" s="321">
        <v>0.16</v>
      </c>
      <c r="T241" s="321">
        <v>0.16</v>
      </c>
      <c r="U241" s="321">
        <v>3.2000000000000001E-2</v>
      </c>
      <c r="V241" s="308">
        <f t="shared" si="34"/>
        <v>1.9979999999999998</v>
      </c>
      <c r="W241" s="308">
        <v>143.77000000000001</v>
      </c>
      <c r="X241" s="308">
        <f t="shared" si="35"/>
        <v>287.25245999999999</v>
      </c>
      <c r="Y241" s="322" t="s">
        <v>74</v>
      </c>
      <c r="Z241" s="575"/>
      <c r="AA241" s="567"/>
    </row>
    <row r="242" spans="1:27" s="318" customFormat="1" ht="15" customHeight="1" outlineLevel="1">
      <c r="A242" s="282">
        <v>238</v>
      </c>
      <c r="B242" s="282" t="s">
        <v>1</v>
      </c>
      <c r="C242" s="312" t="s">
        <v>502</v>
      </c>
      <c r="D242" s="313" t="s">
        <v>503</v>
      </c>
      <c r="E242" s="314" t="s">
        <v>502</v>
      </c>
      <c r="F242" s="553" t="str">
        <f t="shared" si="33"/>
        <v>REALAlicate crimpador para terminais 10 a 120mm², 620mm</v>
      </c>
      <c r="G242" s="609">
        <f>Y242</f>
        <v>0</v>
      </c>
      <c r="H242" s="315" t="s">
        <v>228</v>
      </c>
      <c r="I242" s="323">
        <v>0</v>
      </c>
      <c r="J242" s="323">
        <v>0</v>
      </c>
      <c r="K242" s="323">
        <v>0</v>
      </c>
      <c r="L242" s="323">
        <v>0</v>
      </c>
      <c r="M242" s="323"/>
      <c r="N242" s="323"/>
      <c r="O242" s="323"/>
      <c r="P242" s="323"/>
      <c r="Q242" s="323"/>
      <c r="R242" s="323"/>
      <c r="S242" s="323"/>
      <c r="T242" s="323"/>
      <c r="U242" s="323"/>
      <c r="V242" s="316">
        <f t="shared" si="34"/>
        <v>0</v>
      </c>
      <c r="W242" s="316">
        <v>143.77000000000001</v>
      </c>
      <c r="X242" s="316">
        <f t="shared" si="35"/>
        <v>0</v>
      </c>
      <c r="Y242" s="322">
        <f>X242/X241</f>
        <v>0</v>
      </c>
      <c r="Z242" s="572"/>
      <c r="AA242" s="567"/>
    </row>
    <row r="243" spans="1:27" s="311" customFormat="1" ht="15" customHeight="1" outlineLevel="1">
      <c r="A243" s="273">
        <v>239</v>
      </c>
      <c r="B243" s="273" t="s">
        <v>0</v>
      </c>
      <c r="C243" s="305" t="s">
        <v>504</v>
      </c>
      <c r="D243" s="306" t="s">
        <v>505</v>
      </c>
      <c r="E243" s="307" t="s">
        <v>504</v>
      </c>
      <c r="F243" s="553" t="str">
        <f t="shared" si="33"/>
        <v>PREVAlicate crimpador 11", 280 mm</v>
      </c>
      <c r="G243" s="611" t="s">
        <v>74</v>
      </c>
      <c r="H243" s="307" t="s">
        <v>228</v>
      </c>
      <c r="I243" s="321">
        <v>0.46399999999999997</v>
      </c>
      <c r="J243" s="321">
        <v>0.57999999999999996</v>
      </c>
      <c r="K243" s="321">
        <v>0.57999999999999996</v>
      </c>
      <c r="L243" s="321">
        <v>0.57999999999999996</v>
      </c>
      <c r="M243" s="321">
        <v>0.57999999999999996</v>
      </c>
      <c r="N243" s="321">
        <v>0.57999999999999996</v>
      </c>
      <c r="O243" s="321">
        <v>0.57999999999999996</v>
      </c>
      <c r="P243" s="321">
        <v>0.57999999999999996</v>
      </c>
      <c r="Q243" s="321">
        <v>0.59</v>
      </c>
      <c r="R243" s="321">
        <v>0.59</v>
      </c>
      <c r="S243" s="321">
        <v>0.59</v>
      </c>
      <c r="T243" s="321">
        <v>0.59</v>
      </c>
      <c r="U243" s="321">
        <v>0.11799999999999999</v>
      </c>
      <c r="V243" s="308">
        <f t="shared" si="34"/>
        <v>7.0019999999999998</v>
      </c>
      <c r="W243" s="308">
        <v>57.68</v>
      </c>
      <c r="X243" s="308">
        <f t="shared" si="35"/>
        <v>403.87536</v>
      </c>
      <c r="Y243" s="322" t="s">
        <v>74</v>
      </c>
      <c r="Z243" s="575"/>
      <c r="AA243" s="567"/>
    </row>
    <row r="244" spans="1:27" s="318" customFormat="1" ht="15" customHeight="1" outlineLevel="1">
      <c r="A244" s="282">
        <v>240</v>
      </c>
      <c r="B244" s="282" t="s">
        <v>1</v>
      </c>
      <c r="C244" s="312" t="s">
        <v>504</v>
      </c>
      <c r="D244" s="313" t="s">
        <v>505</v>
      </c>
      <c r="E244" s="314">
        <v>40974</v>
      </c>
      <c r="F244" s="553" t="str">
        <f t="shared" si="33"/>
        <v>REALAlicate crimpador 11", 280 mm</v>
      </c>
      <c r="G244" s="609">
        <f>Y244</f>
        <v>0</v>
      </c>
      <c r="H244" s="315" t="s">
        <v>228</v>
      </c>
      <c r="I244" s="323">
        <v>0</v>
      </c>
      <c r="J244" s="323">
        <v>0</v>
      </c>
      <c r="K244" s="323">
        <v>0</v>
      </c>
      <c r="L244" s="323">
        <v>0</v>
      </c>
      <c r="M244" s="323"/>
      <c r="N244" s="323"/>
      <c r="O244" s="323"/>
      <c r="P244" s="323"/>
      <c r="Q244" s="323"/>
      <c r="R244" s="323"/>
      <c r="S244" s="323"/>
      <c r="T244" s="323"/>
      <c r="U244" s="323"/>
      <c r="V244" s="316">
        <f t="shared" si="34"/>
        <v>0</v>
      </c>
      <c r="W244" s="316">
        <v>57.68</v>
      </c>
      <c r="X244" s="316">
        <f t="shared" si="35"/>
        <v>0</v>
      </c>
      <c r="Y244" s="322">
        <f>X244/X243</f>
        <v>0</v>
      </c>
      <c r="Z244" s="572"/>
      <c r="AA244" s="567"/>
    </row>
    <row r="245" spans="1:27" s="311" customFormat="1" ht="15" customHeight="1" outlineLevel="1">
      <c r="A245" s="273">
        <v>241</v>
      </c>
      <c r="B245" s="273" t="s">
        <v>0</v>
      </c>
      <c r="C245" s="305" t="s">
        <v>506</v>
      </c>
      <c r="D245" s="306" t="s">
        <v>507</v>
      </c>
      <c r="E245" s="307" t="s">
        <v>506</v>
      </c>
      <c r="F245" s="553" t="str">
        <f t="shared" si="33"/>
        <v>PREVAlicate crimpador, hidráulico, prensa terminal, com matriz de 10 a 300mm²</v>
      </c>
      <c r="G245" s="611" t="s">
        <v>74</v>
      </c>
      <c r="H245" s="307" t="s">
        <v>228</v>
      </c>
      <c r="I245" s="321">
        <v>0.13600000000000001</v>
      </c>
      <c r="J245" s="321">
        <v>0.17</v>
      </c>
      <c r="K245" s="321">
        <v>0.17</v>
      </c>
      <c r="L245" s="321">
        <v>0.17</v>
      </c>
      <c r="M245" s="321">
        <v>8.3333333333333329E-2</v>
      </c>
      <c r="N245" s="321">
        <v>0.17</v>
      </c>
      <c r="O245" s="321">
        <v>0.17</v>
      </c>
      <c r="P245" s="321">
        <v>0.17</v>
      </c>
      <c r="Q245" s="321">
        <v>0.16</v>
      </c>
      <c r="R245" s="321">
        <v>0.16</v>
      </c>
      <c r="S245" s="321">
        <v>0.16</v>
      </c>
      <c r="T245" s="321">
        <v>0.16</v>
      </c>
      <c r="U245" s="321">
        <v>3.2000000000000001E-2</v>
      </c>
      <c r="V245" s="308">
        <f t="shared" si="34"/>
        <v>1.9113333333333331</v>
      </c>
      <c r="W245" s="308">
        <v>161.6</v>
      </c>
      <c r="X245" s="308">
        <f t="shared" si="35"/>
        <v>308.87146666666661</v>
      </c>
      <c r="Y245" s="322" t="s">
        <v>74</v>
      </c>
      <c r="Z245" s="575"/>
      <c r="AA245" s="567"/>
    </row>
    <row r="246" spans="1:27" s="318" customFormat="1" ht="15" customHeight="1" outlineLevel="1">
      <c r="A246" s="282">
        <v>242</v>
      </c>
      <c r="B246" s="282" t="s">
        <v>1</v>
      </c>
      <c r="C246" s="312" t="s">
        <v>506</v>
      </c>
      <c r="D246" s="313" t="s">
        <v>507</v>
      </c>
      <c r="E246" s="314">
        <v>41339</v>
      </c>
      <c r="F246" s="553" t="str">
        <f t="shared" si="33"/>
        <v>REALAlicate crimpador, hidráulico, prensa terminal, com matriz de 10 a 300mm²</v>
      </c>
      <c r="G246" s="609">
        <f>Y246</f>
        <v>0.34879665155214512</v>
      </c>
      <c r="H246" s="315" t="s">
        <v>228</v>
      </c>
      <c r="I246" s="323">
        <v>0.16666666666666666</v>
      </c>
      <c r="J246" s="323">
        <v>0.16666666666666666</v>
      </c>
      <c r="K246" s="323">
        <v>0.16666666666666666</v>
      </c>
      <c r="L246" s="323">
        <v>0.16666666666666666</v>
      </c>
      <c r="M246" s="323"/>
      <c r="N246" s="323"/>
      <c r="O246" s="323"/>
      <c r="P246" s="323"/>
      <c r="Q246" s="323"/>
      <c r="R246" s="323"/>
      <c r="S246" s="323"/>
      <c r="T246" s="323"/>
      <c r="U246" s="323"/>
      <c r="V246" s="316">
        <f t="shared" si="34"/>
        <v>0.66666666666666663</v>
      </c>
      <c r="W246" s="316">
        <v>161.6</v>
      </c>
      <c r="X246" s="316">
        <f t="shared" si="35"/>
        <v>107.73333333333332</v>
      </c>
      <c r="Y246" s="322">
        <f>X246/X245</f>
        <v>0.34879665155214512</v>
      </c>
      <c r="Z246" s="572"/>
      <c r="AA246" s="567"/>
    </row>
    <row r="247" spans="1:27" s="311" customFormat="1" ht="15" customHeight="1" outlineLevel="1">
      <c r="A247" s="273">
        <v>243</v>
      </c>
      <c r="B247" s="273" t="s">
        <v>0</v>
      </c>
      <c r="C247" s="305" t="s">
        <v>508</v>
      </c>
      <c r="D247" s="306" t="s">
        <v>509</v>
      </c>
      <c r="E247" s="307" t="s">
        <v>508</v>
      </c>
      <c r="F247" s="553" t="str">
        <f t="shared" si="33"/>
        <v>PREVAlicate de pressão, 10", 280 mm ‐ 11275 ORSE</v>
      </c>
      <c r="G247" s="611" t="s">
        <v>74</v>
      </c>
      <c r="H247" s="307" t="s">
        <v>228</v>
      </c>
      <c r="I247" s="321">
        <v>0.46399999999999997</v>
      </c>
      <c r="J247" s="321">
        <v>0.57999999999999996</v>
      </c>
      <c r="K247" s="321">
        <v>0.57999999999999996</v>
      </c>
      <c r="L247" s="321">
        <v>0.57999999999999996</v>
      </c>
      <c r="M247" s="321">
        <v>0.58333333333333337</v>
      </c>
      <c r="N247" s="321">
        <v>0.57999999999999996</v>
      </c>
      <c r="O247" s="321">
        <v>0.57999999999999996</v>
      </c>
      <c r="P247" s="321">
        <v>0.57999999999999996</v>
      </c>
      <c r="Q247" s="321">
        <v>0.59</v>
      </c>
      <c r="R247" s="321">
        <v>0.59</v>
      </c>
      <c r="S247" s="321">
        <v>0.59</v>
      </c>
      <c r="T247" s="321">
        <v>0.59</v>
      </c>
      <c r="U247" s="321">
        <v>0.11799999999999999</v>
      </c>
      <c r="V247" s="308">
        <f t="shared" si="34"/>
        <v>7.0053333333333336</v>
      </c>
      <c r="W247" s="308">
        <v>13.08</v>
      </c>
      <c r="X247" s="308">
        <f t="shared" si="35"/>
        <v>91.629760000000005</v>
      </c>
      <c r="Y247" s="322" t="s">
        <v>74</v>
      </c>
      <c r="Z247" s="575"/>
      <c r="AA247" s="567"/>
    </row>
    <row r="248" spans="1:27" s="318" customFormat="1" ht="15" customHeight="1" outlineLevel="1">
      <c r="A248" s="282">
        <v>244</v>
      </c>
      <c r="B248" s="282" t="s">
        <v>1</v>
      </c>
      <c r="C248" s="312" t="s">
        <v>508</v>
      </c>
      <c r="D248" s="313" t="s">
        <v>509</v>
      </c>
      <c r="E248" s="314">
        <v>41704</v>
      </c>
      <c r="F248" s="553" t="str">
        <f t="shared" si="33"/>
        <v>REALAlicate de pressão, 10", 280 mm ‐ 11275 ORSE</v>
      </c>
      <c r="G248" s="609">
        <f>Y248</f>
        <v>0.33307955843167114</v>
      </c>
      <c r="H248" s="315" t="s">
        <v>228</v>
      </c>
      <c r="I248" s="323">
        <v>0.58333333333333337</v>
      </c>
      <c r="J248" s="323">
        <v>0.58333333333333337</v>
      </c>
      <c r="K248" s="323">
        <v>0.58333333333333337</v>
      </c>
      <c r="L248" s="323">
        <v>0.58333333333333337</v>
      </c>
      <c r="M248" s="323"/>
      <c r="N248" s="323"/>
      <c r="O248" s="323"/>
      <c r="P248" s="323"/>
      <c r="Q248" s="323"/>
      <c r="R248" s="323"/>
      <c r="S248" s="323"/>
      <c r="T248" s="323"/>
      <c r="U248" s="323"/>
      <c r="V248" s="316">
        <f t="shared" si="34"/>
        <v>2.3333333333333335</v>
      </c>
      <c r="W248" s="316">
        <v>13.08</v>
      </c>
      <c r="X248" s="316">
        <f t="shared" si="35"/>
        <v>30.520000000000003</v>
      </c>
      <c r="Y248" s="322">
        <f>X248/X247</f>
        <v>0.33307955843167114</v>
      </c>
      <c r="Z248" s="572"/>
      <c r="AA248" s="567"/>
    </row>
    <row r="249" spans="1:27" s="311" customFormat="1" ht="15" customHeight="1" outlineLevel="1">
      <c r="A249" s="273">
        <v>245</v>
      </c>
      <c r="B249" s="273" t="s">
        <v>0</v>
      </c>
      <c r="C249" s="305" t="s">
        <v>510</v>
      </c>
      <c r="D249" s="306" t="s">
        <v>511</v>
      </c>
      <c r="E249" s="307" t="s">
        <v>510</v>
      </c>
      <c r="F249" s="553" t="str">
        <f t="shared" si="33"/>
        <v>PREVAlicate profissional universal, 8". Material: Cromo Vanadium</v>
      </c>
      <c r="G249" s="611" t="s">
        <v>74</v>
      </c>
      <c r="H249" s="307" t="s">
        <v>228</v>
      </c>
      <c r="I249" s="321">
        <v>1.2640000000000002</v>
      </c>
      <c r="J249" s="321">
        <v>1.58</v>
      </c>
      <c r="K249" s="321">
        <v>1.58</v>
      </c>
      <c r="L249" s="321">
        <v>1.58</v>
      </c>
      <c r="M249" s="321">
        <v>1</v>
      </c>
      <c r="N249" s="321">
        <v>1.58</v>
      </c>
      <c r="O249" s="321">
        <v>1.58</v>
      </c>
      <c r="P249" s="321">
        <v>1.58</v>
      </c>
      <c r="Q249" s="321">
        <v>1.59</v>
      </c>
      <c r="R249" s="321">
        <v>1.59</v>
      </c>
      <c r="S249" s="321">
        <v>1.59</v>
      </c>
      <c r="T249" s="321">
        <v>1.59</v>
      </c>
      <c r="U249" s="321">
        <v>0.31800000000000006</v>
      </c>
      <c r="V249" s="308">
        <f t="shared" si="34"/>
        <v>18.422000000000001</v>
      </c>
      <c r="W249" s="308">
        <v>11.35</v>
      </c>
      <c r="X249" s="308">
        <f t="shared" si="35"/>
        <v>209.08969999999999</v>
      </c>
      <c r="Y249" s="322" t="s">
        <v>74</v>
      </c>
      <c r="Z249" s="575"/>
      <c r="AA249" s="567"/>
    </row>
    <row r="250" spans="1:27" s="318" customFormat="1" ht="15" customHeight="1" outlineLevel="1">
      <c r="A250" s="282">
        <v>246</v>
      </c>
      <c r="B250" s="282" t="s">
        <v>1</v>
      </c>
      <c r="C250" s="312" t="s">
        <v>510</v>
      </c>
      <c r="D250" s="313" t="s">
        <v>511</v>
      </c>
      <c r="E250" s="314">
        <v>42069</v>
      </c>
      <c r="F250" s="553" t="str">
        <f t="shared" si="33"/>
        <v>REALAlicate profissional universal, 8". Material: Cromo Vanadium</v>
      </c>
      <c r="G250" s="609">
        <f>Y250</f>
        <v>0.29855607425903813</v>
      </c>
      <c r="H250" s="315" t="s">
        <v>228</v>
      </c>
      <c r="I250" s="323">
        <v>1.1666666666666667</v>
      </c>
      <c r="J250" s="323">
        <v>1.1666666666666667</v>
      </c>
      <c r="K250" s="323">
        <v>1.5833333333333333</v>
      </c>
      <c r="L250" s="323">
        <v>1.5833333333333333</v>
      </c>
      <c r="M250" s="323"/>
      <c r="N250" s="323"/>
      <c r="O250" s="323"/>
      <c r="P250" s="323"/>
      <c r="Q250" s="323"/>
      <c r="R250" s="323"/>
      <c r="S250" s="323"/>
      <c r="T250" s="323"/>
      <c r="U250" s="323"/>
      <c r="V250" s="316">
        <f t="shared" si="34"/>
        <v>5.5</v>
      </c>
      <c r="W250" s="316">
        <v>11.35</v>
      </c>
      <c r="X250" s="316">
        <f t="shared" si="35"/>
        <v>62.424999999999997</v>
      </c>
      <c r="Y250" s="322">
        <f>X250/X249</f>
        <v>0.29855607425903813</v>
      </c>
      <c r="Z250" s="572"/>
      <c r="AA250" s="567"/>
    </row>
    <row r="251" spans="1:27" s="311" customFormat="1" ht="15" customHeight="1" outlineLevel="1">
      <c r="A251" s="273">
        <v>247</v>
      </c>
      <c r="B251" s="273" t="s">
        <v>0</v>
      </c>
      <c r="C251" s="305" t="s">
        <v>512</v>
      </c>
      <c r="D251" s="306" t="s">
        <v>513</v>
      </c>
      <c r="E251" s="307" t="s">
        <v>512</v>
      </c>
      <c r="F251" s="553" t="str">
        <f t="shared" si="33"/>
        <v>PREVAlicate universal, 8", com isolação 1000 V</v>
      </c>
      <c r="G251" s="611" t="s">
        <v>74</v>
      </c>
      <c r="H251" s="307" t="s">
        <v>228</v>
      </c>
      <c r="I251" s="321">
        <v>0.93599999999999994</v>
      </c>
      <c r="J251" s="321">
        <v>1.17</v>
      </c>
      <c r="K251" s="321">
        <v>1.17</v>
      </c>
      <c r="L251" s="321">
        <v>1.17</v>
      </c>
      <c r="M251" s="321">
        <v>0.66666666666666663</v>
      </c>
      <c r="N251" s="321">
        <v>1.17</v>
      </c>
      <c r="O251" s="321">
        <v>1.17</v>
      </c>
      <c r="P251" s="321">
        <v>1.17</v>
      </c>
      <c r="Q251" s="321">
        <v>1.1599999999999999</v>
      </c>
      <c r="R251" s="321">
        <v>1.1599999999999999</v>
      </c>
      <c r="S251" s="321">
        <v>1.1599999999999999</v>
      </c>
      <c r="T251" s="321">
        <v>1.1599999999999999</v>
      </c>
      <c r="U251" s="321">
        <v>0.23199999999999998</v>
      </c>
      <c r="V251" s="308">
        <f t="shared" si="34"/>
        <v>13.494666666666667</v>
      </c>
      <c r="W251" s="308">
        <v>12.35</v>
      </c>
      <c r="X251" s="308">
        <f t="shared" si="35"/>
        <v>166.65913333333333</v>
      </c>
      <c r="Y251" s="322" t="s">
        <v>74</v>
      </c>
      <c r="Z251" s="575"/>
      <c r="AA251" s="567"/>
    </row>
    <row r="252" spans="1:27" s="318" customFormat="1" ht="15" customHeight="1" outlineLevel="1">
      <c r="A252" s="282">
        <v>248</v>
      </c>
      <c r="B252" s="282" t="s">
        <v>1</v>
      </c>
      <c r="C252" s="312" t="s">
        <v>512</v>
      </c>
      <c r="D252" s="313" t="s">
        <v>513</v>
      </c>
      <c r="E252" s="314">
        <v>42435</v>
      </c>
      <c r="F252" s="553" t="str">
        <f t="shared" si="33"/>
        <v>REALAlicate universal, 8", com isolação 1000 V</v>
      </c>
      <c r="G252" s="609">
        <f>Y252</f>
        <v>0.34581563086651518</v>
      </c>
      <c r="H252" s="315" t="s">
        <v>228</v>
      </c>
      <c r="I252" s="323">
        <v>1.1666666666666667</v>
      </c>
      <c r="J252" s="323">
        <v>1.1666666666666667</v>
      </c>
      <c r="K252" s="323">
        <v>1.1666666666666667</v>
      </c>
      <c r="L252" s="323">
        <v>1.1666666666666667</v>
      </c>
      <c r="M252" s="323"/>
      <c r="N252" s="323"/>
      <c r="O252" s="323"/>
      <c r="P252" s="323"/>
      <c r="Q252" s="323"/>
      <c r="R252" s="323"/>
      <c r="S252" s="323"/>
      <c r="T252" s="323"/>
      <c r="U252" s="323"/>
      <c r="V252" s="316">
        <f t="shared" si="34"/>
        <v>4.666666666666667</v>
      </c>
      <c r="W252" s="316">
        <v>12.35</v>
      </c>
      <c r="X252" s="316">
        <f t="shared" si="35"/>
        <v>57.633333333333333</v>
      </c>
      <c r="Y252" s="322">
        <f>X252/X251</f>
        <v>0.34581563086651518</v>
      </c>
      <c r="Z252" s="572"/>
      <c r="AA252" s="567"/>
    </row>
    <row r="253" spans="1:27" s="311" customFormat="1" ht="15" customHeight="1" outlineLevel="1">
      <c r="A253" s="273">
        <v>249</v>
      </c>
      <c r="B253" s="273" t="s">
        <v>0</v>
      </c>
      <c r="C253" s="305" t="s">
        <v>514</v>
      </c>
      <c r="D253" s="306" t="s">
        <v>515</v>
      </c>
      <c r="E253" s="307" t="s">
        <v>514</v>
      </c>
      <c r="F253" s="553" t="str">
        <f t="shared" si="33"/>
        <v>PREVArco de Serra manual (com serra) ‐ 10585 ORSE</v>
      </c>
      <c r="G253" s="611" t="s">
        <v>74</v>
      </c>
      <c r="H253" s="307" t="s">
        <v>228</v>
      </c>
      <c r="I253" s="321">
        <v>2.2000000000000002</v>
      </c>
      <c r="J253" s="321">
        <v>2.75</v>
      </c>
      <c r="K253" s="321">
        <v>2.75</v>
      </c>
      <c r="L253" s="321">
        <v>2.75</v>
      </c>
      <c r="M253" s="321">
        <v>4</v>
      </c>
      <c r="N253" s="321">
        <v>2.75</v>
      </c>
      <c r="O253" s="321">
        <v>2.75</v>
      </c>
      <c r="P253" s="321">
        <v>2.75</v>
      </c>
      <c r="Q253" s="321">
        <v>2.75</v>
      </c>
      <c r="R253" s="321">
        <v>2.75</v>
      </c>
      <c r="S253" s="321">
        <v>2.75</v>
      </c>
      <c r="T253" s="321">
        <v>2.75</v>
      </c>
      <c r="U253" s="321">
        <v>0.55000000000000004</v>
      </c>
      <c r="V253" s="308">
        <f t="shared" ref="V253:V284" si="36">SUM(I253:U253)</f>
        <v>34.25</v>
      </c>
      <c r="W253" s="308">
        <v>5.61</v>
      </c>
      <c r="X253" s="308">
        <f t="shared" si="35"/>
        <v>192.14250000000001</v>
      </c>
      <c r="Y253" s="322" t="s">
        <v>74</v>
      </c>
      <c r="Z253" s="575"/>
      <c r="AA253" s="567"/>
    </row>
    <row r="254" spans="1:27" s="318" customFormat="1" ht="15" customHeight="1" outlineLevel="1">
      <c r="A254" s="282">
        <v>250</v>
      </c>
      <c r="B254" s="282" t="s">
        <v>1</v>
      </c>
      <c r="C254" s="312" t="s">
        <v>514</v>
      </c>
      <c r="D254" s="313" t="s">
        <v>515</v>
      </c>
      <c r="E254" s="314">
        <v>42800</v>
      </c>
      <c r="F254" s="553" t="str">
        <f t="shared" si="33"/>
        <v>REALArco de Serra manual (com serra) ‐ 10585 ORSE</v>
      </c>
      <c r="G254" s="609">
        <f>Y254</f>
        <v>0.37956204379562047</v>
      </c>
      <c r="H254" s="315" t="s">
        <v>228</v>
      </c>
      <c r="I254" s="323">
        <v>3</v>
      </c>
      <c r="J254" s="323">
        <v>3</v>
      </c>
      <c r="K254" s="323">
        <v>4</v>
      </c>
      <c r="L254" s="323">
        <v>3</v>
      </c>
      <c r="M254" s="323"/>
      <c r="N254" s="323"/>
      <c r="O254" s="323"/>
      <c r="P254" s="323"/>
      <c r="Q254" s="323"/>
      <c r="R254" s="323"/>
      <c r="S254" s="323"/>
      <c r="T254" s="323"/>
      <c r="U254" s="323"/>
      <c r="V254" s="316">
        <f t="shared" si="36"/>
        <v>13</v>
      </c>
      <c r="W254" s="316">
        <v>5.61</v>
      </c>
      <c r="X254" s="316">
        <f t="shared" si="35"/>
        <v>72.930000000000007</v>
      </c>
      <c r="Y254" s="322">
        <f>X254/X253</f>
        <v>0.37956204379562047</v>
      </c>
      <c r="Z254" s="572"/>
      <c r="AA254" s="567"/>
    </row>
    <row r="255" spans="1:27" s="311" customFormat="1" ht="15" customHeight="1" outlineLevel="1">
      <c r="A255" s="273">
        <v>251</v>
      </c>
      <c r="B255" s="273" t="s">
        <v>0</v>
      </c>
      <c r="C255" s="305" t="s">
        <v>516</v>
      </c>
      <c r="D255" s="306" t="s">
        <v>517</v>
      </c>
      <c r="E255" s="307" t="s">
        <v>516</v>
      </c>
      <c r="F255" s="553" t="str">
        <f t="shared" si="33"/>
        <v>PREVBastão/Vara de manobra 35 kV, Ø 32 mm, 3,0 m, 2 m isolante</v>
      </c>
      <c r="G255" s="611" t="s">
        <v>74</v>
      </c>
      <c r="H255" s="307" t="s">
        <v>228</v>
      </c>
      <c r="I255" s="321">
        <v>0.26400000000000001</v>
      </c>
      <c r="J255" s="321">
        <v>0.33</v>
      </c>
      <c r="K255" s="321">
        <v>0.33</v>
      </c>
      <c r="L255" s="321">
        <v>0.33</v>
      </c>
      <c r="M255" s="321">
        <v>8.3333333333333329E-2</v>
      </c>
      <c r="N255" s="321">
        <v>0.33</v>
      </c>
      <c r="O255" s="321">
        <v>0.33</v>
      </c>
      <c r="P255" s="321">
        <v>0.33</v>
      </c>
      <c r="Q255" s="321">
        <v>0.34</v>
      </c>
      <c r="R255" s="321">
        <v>0.34</v>
      </c>
      <c r="S255" s="321">
        <v>0.34</v>
      </c>
      <c r="T255" s="321">
        <v>0.34</v>
      </c>
      <c r="U255" s="321">
        <v>6.8000000000000005E-2</v>
      </c>
      <c r="V255" s="308">
        <f t="shared" si="36"/>
        <v>3.7553333333333332</v>
      </c>
      <c r="W255" s="308">
        <v>138.28</v>
      </c>
      <c r="X255" s="308">
        <f t="shared" si="35"/>
        <v>519.28749333333337</v>
      </c>
      <c r="Y255" s="322" t="s">
        <v>74</v>
      </c>
      <c r="Z255" s="575"/>
      <c r="AA255" s="567"/>
    </row>
    <row r="256" spans="1:27" s="318" customFormat="1" ht="15" customHeight="1" outlineLevel="1">
      <c r="A256" s="282">
        <v>252</v>
      </c>
      <c r="B256" s="282" t="s">
        <v>1</v>
      </c>
      <c r="C256" s="312" t="s">
        <v>516</v>
      </c>
      <c r="D256" s="313" t="s">
        <v>517</v>
      </c>
      <c r="E256" s="314">
        <v>43165</v>
      </c>
      <c r="F256" s="553" t="str">
        <f t="shared" si="33"/>
        <v>REALBastão/Vara de manobra 35 kV, Ø 32 mm, 3,0 m, 2 m isolante</v>
      </c>
      <c r="G256" s="609">
        <f>Y256</f>
        <v>0.35505059470974609</v>
      </c>
      <c r="H256" s="315" t="s">
        <v>228</v>
      </c>
      <c r="I256" s="323">
        <v>0.33333333333333331</v>
      </c>
      <c r="J256" s="323">
        <v>0.33333333333333331</v>
      </c>
      <c r="K256" s="323">
        <v>0.33333333333333331</v>
      </c>
      <c r="L256" s="323">
        <v>0.33333333333333331</v>
      </c>
      <c r="M256" s="323"/>
      <c r="N256" s="323"/>
      <c r="O256" s="323"/>
      <c r="P256" s="323"/>
      <c r="Q256" s="323"/>
      <c r="R256" s="323"/>
      <c r="S256" s="323"/>
      <c r="T256" s="323"/>
      <c r="U256" s="323"/>
      <c r="V256" s="316">
        <f t="shared" si="36"/>
        <v>1.3333333333333333</v>
      </c>
      <c r="W256" s="316">
        <v>138.28</v>
      </c>
      <c r="X256" s="316">
        <f t="shared" si="35"/>
        <v>184.37333333333333</v>
      </c>
      <c r="Y256" s="322">
        <f>X256/X255</f>
        <v>0.35505059470974609</v>
      </c>
      <c r="Z256" s="572"/>
      <c r="AA256" s="567"/>
    </row>
    <row r="257" spans="1:27" s="311" customFormat="1" ht="15" customHeight="1" outlineLevel="1">
      <c r="A257" s="273">
        <v>253</v>
      </c>
      <c r="B257" s="273" t="s">
        <v>0</v>
      </c>
      <c r="C257" s="305" t="s">
        <v>518</v>
      </c>
      <c r="D257" s="306" t="s">
        <v>519</v>
      </c>
      <c r="E257" s="307" t="s">
        <v>518</v>
      </c>
      <c r="F257" s="553" t="str">
        <f t="shared" si="33"/>
        <v>PREVBastão isolante universal Ø 38 mm, 6 m, com 2 cabeçotes</v>
      </c>
      <c r="G257" s="611" t="s">
        <v>74</v>
      </c>
      <c r="H257" s="307" t="s">
        <v>228</v>
      </c>
      <c r="I257" s="321">
        <v>0.26400000000000001</v>
      </c>
      <c r="J257" s="321">
        <v>0.33</v>
      </c>
      <c r="K257" s="321">
        <v>0.33</v>
      </c>
      <c r="L257" s="321">
        <v>0.33</v>
      </c>
      <c r="M257" s="321">
        <v>8.3333333333333329E-2</v>
      </c>
      <c r="N257" s="321">
        <v>0.33</v>
      </c>
      <c r="O257" s="321">
        <v>0.33</v>
      </c>
      <c r="P257" s="321">
        <v>0.33</v>
      </c>
      <c r="Q257" s="321">
        <v>0.34</v>
      </c>
      <c r="R257" s="321">
        <v>0.34</v>
      </c>
      <c r="S257" s="321">
        <v>0.34</v>
      </c>
      <c r="T257" s="321">
        <v>0.34</v>
      </c>
      <c r="U257" s="321">
        <v>6.8000000000000005E-2</v>
      </c>
      <c r="V257" s="308">
        <f t="shared" si="36"/>
        <v>3.7553333333333332</v>
      </c>
      <c r="W257" s="308">
        <v>269.20999999999998</v>
      </c>
      <c r="X257" s="308">
        <f t="shared" si="35"/>
        <v>1010.9732866666666</v>
      </c>
      <c r="Y257" s="322" t="s">
        <v>74</v>
      </c>
      <c r="Z257" s="575"/>
      <c r="AA257" s="567"/>
    </row>
    <row r="258" spans="1:27" s="318" customFormat="1" ht="15" customHeight="1" outlineLevel="1">
      <c r="A258" s="282">
        <v>254</v>
      </c>
      <c r="B258" s="282" t="s">
        <v>1</v>
      </c>
      <c r="C258" s="312" t="s">
        <v>518</v>
      </c>
      <c r="D258" s="313" t="s">
        <v>519</v>
      </c>
      <c r="E258" s="314">
        <v>43530</v>
      </c>
      <c r="F258" s="553" t="str">
        <f t="shared" si="33"/>
        <v>REALBastão isolante universal Ø 38 mm, 6 m, com 2 cabeçotes</v>
      </c>
      <c r="G258" s="609">
        <f>Y258</f>
        <v>0.53257589206461919</v>
      </c>
      <c r="H258" s="315" t="s">
        <v>228</v>
      </c>
      <c r="I258" s="323">
        <v>0.5</v>
      </c>
      <c r="J258" s="323">
        <v>0.5</v>
      </c>
      <c r="K258" s="323">
        <v>0.5</v>
      </c>
      <c r="L258" s="323">
        <v>0.5</v>
      </c>
      <c r="M258" s="323"/>
      <c r="N258" s="323"/>
      <c r="O258" s="323"/>
      <c r="P258" s="323"/>
      <c r="Q258" s="323"/>
      <c r="R258" s="323"/>
      <c r="S258" s="323"/>
      <c r="T258" s="323"/>
      <c r="U258" s="323"/>
      <c r="V258" s="316">
        <f t="shared" si="36"/>
        <v>2</v>
      </c>
      <c r="W258" s="316">
        <v>269.20999999999998</v>
      </c>
      <c r="X258" s="316">
        <f t="shared" si="35"/>
        <v>538.41999999999996</v>
      </c>
      <c r="Y258" s="322">
        <f>X258/X257</f>
        <v>0.53257589206461919</v>
      </c>
      <c r="Z258" s="572"/>
      <c r="AA258" s="567"/>
    </row>
    <row r="259" spans="1:27" s="311" customFormat="1" ht="15" customHeight="1" outlineLevel="1">
      <c r="A259" s="273">
        <v>255</v>
      </c>
      <c r="B259" s="273" t="s">
        <v>0</v>
      </c>
      <c r="C259" s="305" t="s">
        <v>520</v>
      </c>
      <c r="D259" s="306" t="s">
        <v>521</v>
      </c>
      <c r="E259" s="307" t="s">
        <v>520</v>
      </c>
      <c r="F259" s="553" t="str">
        <f t="shared" si="33"/>
        <v>PREVBastão de resgate ‐ 35 kV, 220 mm</v>
      </c>
      <c r="G259" s="611" t="s">
        <v>74</v>
      </c>
      <c r="H259" s="307" t="s">
        <v>228</v>
      </c>
      <c r="I259" s="321">
        <v>0.26400000000000001</v>
      </c>
      <c r="J259" s="321">
        <v>0.33</v>
      </c>
      <c r="K259" s="321">
        <v>0.33</v>
      </c>
      <c r="L259" s="321">
        <v>0.33</v>
      </c>
      <c r="M259" s="321">
        <v>0.33</v>
      </c>
      <c r="N259" s="321">
        <v>0.33</v>
      </c>
      <c r="O259" s="321">
        <v>0.33</v>
      </c>
      <c r="P259" s="321">
        <v>0.33</v>
      </c>
      <c r="Q259" s="321">
        <v>0.34</v>
      </c>
      <c r="R259" s="321">
        <v>0.34</v>
      </c>
      <c r="S259" s="321">
        <v>0.34</v>
      </c>
      <c r="T259" s="321">
        <v>0.34</v>
      </c>
      <c r="U259" s="321">
        <v>6.8000000000000005E-2</v>
      </c>
      <c r="V259" s="308">
        <f t="shared" si="36"/>
        <v>4.0019999999999998</v>
      </c>
      <c r="W259" s="308">
        <v>279.52999999999997</v>
      </c>
      <c r="X259" s="308">
        <f t="shared" si="35"/>
        <v>1118.6790599999999</v>
      </c>
      <c r="Y259" s="322" t="s">
        <v>74</v>
      </c>
      <c r="Z259" s="575"/>
      <c r="AA259" s="567"/>
    </row>
    <row r="260" spans="1:27" s="318" customFormat="1" ht="15" customHeight="1" outlineLevel="1">
      <c r="A260" s="282">
        <v>256</v>
      </c>
      <c r="B260" s="282" t="s">
        <v>1</v>
      </c>
      <c r="C260" s="312" t="s">
        <v>520</v>
      </c>
      <c r="D260" s="313" t="s">
        <v>521</v>
      </c>
      <c r="E260" s="314">
        <v>43896</v>
      </c>
      <c r="F260" s="553" t="str">
        <f t="shared" si="33"/>
        <v>REALBastão de resgate ‐ 35 kV, 220 mm</v>
      </c>
      <c r="G260" s="609">
        <f>Y260</f>
        <v>0</v>
      </c>
      <c r="H260" s="315" t="s">
        <v>228</v>
      </c>
      <c r="I260" s="323">
        <v>0</v>
      </c>
      <c r="J260" s="323">
        <v>0</v>
      </c>
      <c r="K260" s="323">
        <v>0</v>
      </c>
      <c r="L260" s="323">
        <v>0</v>
      </c>
      <c r="M260" s="323"/>
      <c r="N260" s="323"/>
      <c r="O260" s="323"/>
      <c r="P260" s="323"/>
      <c r="Q260" s="323"/>
      <c r="R260" s="323"/>
      <c r="S260" s="323"/>
      <c r="T260" s="323"/>
      <c r="U260" s="323"/>
      <c r="V260" s="316">
        <f t="shared" si="36"/>
        <v>0</v>
      </c>
      <c r="W260" s="316">
        <v>279.52999999999997</v>
      </c>
      <c r="X260" s="316">
        <f t="shared" si="35"/>
        <v>0</v>
      </c>
      <c r="Y260" s="322">
        <f>X260/X259</f>
        <v>0</v>
      </c>
      <c r="Z260" s="572"/>
      <c r="AA260" s="567"/>
    </row>
    <row r="261" spans="1:27" s="311" customFormat="1" ht="15" customHeight="1" outlineLevel="1">
      <c r="A261" s="273">
        <v>257</v>
      </c>
      <c r="B261" s="273" t="s">
        <v>0</v>
      </c>
      <c r="C261" s="305" t="s">
        <v>522</v>
      </c>
      <c r="D261" s="306" t="s">
        <v>523</v>
      </c>
      <c r="E261" s="307" t="s">
        <v>522</v>
      </c>
      <c r="F261" s="553" t="str">
        <f t="shared" si="33"/>
        <v>PREVBastão‐garra comprimento do isolante 3 m</v>
      </c>
      <c r="G261" s="611" t="s">
        <v>74</v>
      </c>
      <c r="H261" s="307" t="s">
        <v>228</v>
      </c>
      <c r="I261" s="321">
        <v>0.26400000000000001</v>
      </c>
      <c r="J261" s="321">
        <v>0.33</v>
      </c>
      <c r="K261" s="321">
        <v>0.33</v>
      </c>
      <c r="L261" s="321">
        <v>0.33</v>
      </c>
      <c r="M261" s="321">
        <v>0.33</v>
      </c>
      <c r="N261" s="321">
        <v>0.33</v>
      </c>
      <c r="O261" s="321">
        <v>0.33</v>
      </c>
      <c r="P261" s="321">
        <v>0.33</v>
      </c>
      <c r="Q261" s="321">
        <v>0.34</v>
      </c>
      <c r="R261" s="321">
        <v>0.34</v>
      </c>
      <c r="S261" s="321">
        <v>0.34</v>
      </c>
      <c r="T261" s="321">
        <v>0.34</v>
      </c>
      <c r="U261" s="321">
        <v>6.8000000000000005E-2</v>
      </c>
      <c r="V261" s="308">
        <f t="shared" si="36"/>
        <v>4.0019999999999998</v>
      </c>
      <c r="W261" s="308">
        <v>154.16</v>
      </c>
      <c r="X261" s="308">
        <f t="shared" si="35"/>
        <v>616.94831999999997</v>
      </c>
      <c r="Y261" s="322" t="s">
        <v>74</v>
      </c>
      <c r="Z261" s="575"/>
      <c r="AA261" s="567"/>
    </row>
    <row r="262" spans="1:27" s="318" customFormat="1" ht="15" customHeight="1" outlineLevel="1">
      <c r="A262" s="282">
        <v>258</v>
      </c>
      <c r="B262" s="282" t="s">
        <v>1</v>
      </c>
      <c r="C262" s="312" t="s">
        <v>522</v>
      </c>
      <c r="D262" s="313" t="s">
        <v>523</v>
      </c>
      <c r="E262" s="314" t="s">
        <v>522</v>
      </c>
      <c r="F262" s="553" t="str">
        <f t="shared" si="33"/>
        <v>REALBastão‐garra comprimento do isolante 3 m</v>
      </c>
      <c r="G262" s="609">
        <f>Y262</f>
        <v>0</v>
      </c>
      <c r="H262" s="315" t="s">
        <v>228</v>
      </c>
      <c r="I262" s="323">
        <v>0</v>
      </c>
      <c r="J262" s="323">
        <v>0</v>
      </c>
      <c r="K262" s="323">
        <v>0</v>
      </c>
      <c r="L262" s="323">
        <v>0</v>
      </c>
      <c r="M262" s="323"/>
      <c r="N262" s="323"/>
      <c r="O262" s="323"/>
      <c r="P262" s="323"/>
      <c r="Q262" s="323"/>
      <c r="R262" s="323"/>
      <c r="S262" s="323"/>
      <c r="T262" s="323"/>
      <c r="U262" s="323"/>
      <c r="V262" s="316">
        <f t="shared" si="36"/>
        <v>0</v>
      </c>
      <c r="W262" s="316">
        <v>154.16</v>
      </c>
      <c r="X262" s="316">
        <f t="shared" si="35"/>
        <v>0</v>
      </c>
      <c r="Y262" s="322">
        <f>X262/X261</f>
        <v>0</v>
      </c>
      <c r="Z262" s="572"/>
      <c r="AA262" s="567"/>
    </row>
    <row r="263" spans="1:27" s="311" customFormat="1" ht="15" customHeight="1" outlineLevel="1">
      <c r="A263" s="273">
        <v>259</v>
      </c>
      <c r="B263" s="273" t="s">
        <v>0</v>
      </c>
      <c r="C263" s="305" t="s">
        <v>524</v>
      </c>
      <c r="D263" s="306" t="s">
        <v>525</v>
      </c>
      <c r="E263" s="307" t="s">
        <v>524</v>
      </c>
      <c r="F263" s="553" t="str">
        <f t="shared" si="33"/>
        <v>PREVBastão tensor com luva ajustável Ø 51 mm, 72,5 kV, 2,30 m</v>
      </c>
      <c r="G263" s="611" t="s">
        <v>74</v>
      </c>
      <c r="H263" s="307" t="s">
        <v>228</v>
      </c>
      <c r="I263" s="321">
        <v>0.26400000000000001</v>
      </c>
      <c r="J263" s="321">
        <v>0.33</v>
      </c>
      <c r="K263" s="321">
        <v>0.33</v>
      </c>
      <c r="L263" s="321">
        <v>0.33</v>
      </c>
      <c r="M263" s="321">
        <v>0.33</v>
      </c>
      <c r="N263" s="321">
        <v>0.33</v>
      </c>
      <c r="O263" s="321">
        <v>0.33</v>
      </c>
      <c r="P263" s="321">
        <v>0.33</v>
      </c>
      <c r="Q263" s="321">
        <v>0.34</v>
      </c>
      <c r="R263" s="321">
        <v>0.34</v>
      </c>
      <c r="S263" s="321">
        <v>0.34</v>
      </c>
      <c r="T263" s="321">
        <v>0.34</v>
      </c>
      <c r="U263" s="321">
        <v>6.8000000000000005E-2</v>
      </c>
      <c r="V263" s="308">
        <f t="shared" si="36"/>
        <v>4.0019999999999998</v>
      </c>
      <c r="W263" s="308">
        <v>58.01</v>
      </c>
      <c r="X263" s="308">
        <f t="shared" si="35"/>
        <v>232.15601999999998</v>
      </c>
      <c r="Y263" s="322" t="s">
        <v>74</v>
      </c>
      <c r="Z263" s="575"/>
      <c r="AA263" s="567"/>
    </row>
    <row r="264" spans="1:27" s="318" customFormat="1" ht="15" customHeight="1" outlineLevel="1">
      <c r="A264" s="282">
        <v>260</v>
      </c>
      <c r="B264" s="282" t="s">
        <v>1</v>
      </c>
      <c r="C264" s="312" t="s">
        <v>524</v>
      </c>
      <c r="D264" s="313" t="s">
        <v>525</v>
      </c>
      <c r="E264" s="314" t="s">
        <v>524</v>
      </c>
      <c r="F264" s="553" t="str">
        <f t="shared" si="33"/>
        <v>REALBastão tensor com luva ajustável Ø 51 mm, 72,5 kV, 2,30 m</v>
      </c>
      <c r="G264" s="609">
        <f>Y264</f>
        <v>0</v>
      </c>
      <c r="H264" s="315" t="s">
        <v>228</v>
      </c>
      <c r="I264" s="323">
        <v>0</v>
      </c>
      <c r="J264" s="323">
        <v>0</v>
      </c>
      <c r="K264" s="323">
        <v>0</v>
      </c>
      <c r="L264" s="323">
        <v>0</v>
      </c>
      <c r="M264" s="323"/>
      <c r="N264" s="323"/>
      <c r="O264" s="323"/>
      <c r="P264" s="323"/>
      <c r="Q264" s="323"/>
      <c r="R264" s="323"/>
      <c r="S264" s="323"/>
      <c r="T264" s="323"/>
      <c r="U264" s="323"/>
      <c r="V264" s="316">
        <f t="shared" si="36"/>
        <v>0</v>
      </c>
      <c r="W264" s="316">
        <v>58.01</v>
      </c>
      <c r="X264" s="316">
        <f t="shared" si="35"/>
        <v>0</v>
      </c>
      <c r="Y264" s="322">
        <f>X264/X263</f>
        <v>0</v>
      </c>
      <c r="Z264" s="572"/>
      <c r="AA264" s="567"/>
    </row>
    <row r="265" spans="1:27" s="311" customFormat="1" ht="15" customHeight="1" outlineLevel="1">
      <c r="A265" s="273">
        <v>261</v>
      </c>
      <c r="B265" s="273" t="s">
        <v>0</v>
      </c>
      <c r="C265" s="305" t="s">
        <v>526</v>
      </c>
      <c r="D265" s="306" t="s">
        <v>527</v>
      </c>
      <c r="E265" s="307" t="s">
        <v>526</v>
      </c>
      <c r="F265" s="553" t="str">
        <f t="shared" si="33"/>
        <v>PREVBastão com gancho tipo "J" 90cm</v>
      </c>
      <c r="G265" s="611" t="s">
        <v>74</v>
      </c>
      <c r="H265" s="307" t="s">
        <v>228</v>
      </c>
      <c r="I265" s="321">
        <v>0.26400000000000001</v>
      </c>
      <c r="J265" s="321">
        <v>0.33</v>
      </c>
      <c r="K265" s="321">
        <v>0.33</v>
      </c>
      <c r="L265" s="321">
        <v>0.33</v>
      </c>
      <c r="M265" s="321">
        <v>0.33</v>
      </c>
      <c r="N265" s="321">
        <v>0.33</v>
      </c>
      <c r="O265" s="321">
        <v>0.33</v>
      </c>
      <c r="P265" s="321">
        <v>0.33</v>
      </c>
      <c r="Q265" s="321">
        <v>0.34</v>
      </c>
      <c r="R265" s="321">
        <v>0.34</v>
      </c>
      <c r="S265" s="321">
        <v>0.34</v>
      </c>
      <c r="T265" s="321">
        <v>0.34</v>
      </c>
      <c r="U265" s="321">
        <v>6.8000000000000005E-2</v>
      </c>
      <c r="V265" s="308">
        <f t="shared" si="36"/>
        <v>4.0019999999999998</v>
      </c>
      <c r="W265" s="308">
        <v>58.01</v>
      </c>
      <c r="X265" s="308">
        <f t="shared" si="35"/>
        <v>232.15601999999998</v>
      </c>
      <c r="Y265" s="322" t="s">
        <v>74</v>
      </c>
      <c r="Z265" s="575"/>
      <c r="AA265" s="567"/>
    </row>
    <row r="266" spans="1:27" s="318" customFormat="1" ht="15" customHeight="1" outlineLevel="1">
      <c r="A266" s="282">
        <v>262</v>
      </c>
      <c r="B266" s="282" t="s">
        <v>1</v>
      </c>
      <c r="C266" s="312" t="s">
        <v>526</v>
      </c>
      <c r="D266" s="313" t="s">
        <v>527</v>
      </c>
      <c r="E266" s="314" t="s">
        <v>526</v>
      </c>
      <c r="F266" s="553" t="str">
        <f t="shared" si="33"/>
        <v>REALBastão com gancho tipo "J" 90cm</v>
      </c>
      <c r="G266" s="609">
        <f>Y266</f>
        <v>0</v>
      </c>
      <c r="H266" s="315" t="s">
        <v>228</v>
      </c>
      <c r="I266" s="323">
        <v>0</v>
      </c>
      <c r="J266" s="323">
        <v>0</v>
      </c>
      <c r="K266" s="323">
        <v>0</v>
      </c>
      <c r="L266" s="323">
        <v>0</v>
      </c>
      <c r="M266" s="323"/>
      <c r="N266" s="323"/>
      <c r="O266" s="323"/>
      <c r="P266" s="323"/>
      <c r="Q266" s="323"/>
      <c r="R266" s="323"/>
      <c r="S266" s="323"/>
      <c r="T266" s="323"/>
      <c r="U266" s="323"/>
      <c r="V266" s="316">
        <f t="shared" si="36"/>
        <v>0</v>
      </c>
      <c r="W266" s="316">
        <v>58.01</v>
      </c>
      <c r="X266" s="316">
        <f t="shared" si="35"/>
        <v>0</v>
      </c>
      <c r="Y266" s="322">
        <f>X266/X265</f>
        <v>0</v>
      </c>
      <c r="Z266" s="572"/>
      <c r="AA266" s="567"/>
    </row>
    <row r="267" spans="1:27" s="311" customFormat="1" ht="15" customHeight="1" outlineLevel="1">
      <c r="A267" s="273">
        <v>263</v>
      </c>
      <c r="B267" s="273" t="s">
        <v>0</v>
      </c>
      <c r="C267" s="305" t="s">
        <v>528</v>
      </c>
      <c r="D267" s="306" t="s">
        <v>529</v>
      </c>
      <c r="E267" s="307" t="s">
        <v>528</v>
      </c>
      <c r="F267" s="553" t="str">
        <f t="shared" si="33"/>
        <v>PREVBanqueta isolante, 500x500x300 mm, 40 kV</v>
      </c>
      <c r="G267" s="611" t="s">
        <v>74</v>
      </c>
      <c r="H267" s="307" t="s">
        <v>228</v>
      </c>
      <c r="I267" s="321">
        <v>0.26400000000000001</v>
      </c>
      <c r="J267" s="321">
        <v>0.33</v>
      </c>
      <c r="K267" s="321">
        <v>0.33</v>
      </c>
      <c r="L267" s="321">
        <v>0.33</v>
      </c>
      <c r="M267" s="321">
        <v>0.33</v>
      </c>
      <c r="N267" s="321">
        <v>0.33</v>
      </c>
      <c r="O267" s="321">
        <v>0.33</v>
      </c>
      <c r="P267" s="321">
        <v>0.33</v>
      </c>
      <c r="Q267" s="321">
        <v>0.34</v>
      </c>
      <c r="R267" s="321">
        <v>0.34</v>
      </c>
      <c r="S267" s="321">
        <v>0.34</v>
      </c>
      <c r="T267" s="321">
        <v>0.34</v>
      </c>
      <c r="U267" s="321">
        <v>6.8000000000000005E-2</v>
      </c>
      <c r="V267" s="308">
        <f t="shared" si="36"/>
        <v>4.0019999999999998</v>
      </c>
      <c r="W267" s="308">
        <v>170.09</v>
      </c>
      <c r="X267" s="308">
        <f t="shared" si="35"/>
        <v>680.70017999999993</v>
      </c>
      <c r="Y267" s="322" t="s">
        <v>74</v>
      </c>
      <c r="Z267" s="575"/>
      <c r="AA267" s="567"/>
    </row>
    <row r="268" spans="1:27" s="318" customFormat="1" ht="15" customHeight="1" outlineLevel="1">
      <c r="A268" s="282">
        <v>264</v>
      </c>
      <c r="B268" s="282" t="s">
        <v>1</v>
      </c>
      <c r="C268" s="312" t="s">
        <v>528</v>
      </c>
      <c r="D268" s="313" t="s">
        <v>529</v>
      </c>
      <c r="E268" s="314" t="s">
        <v>528</v>
      </c>
      <c r="F268" s="553" t="str">
        <f t="shared" si="33"/>
        <v>REALBanqueta isolante, 500x500x300 mm, 40 kV</v>
      </c>
      <c r="G268" s="609">
        <f>Y268</f>
        <v>0.33316674995835416</v>
      </c>
      <c r="H268" s="315" t="s">
        <v>228</v>
      </c>
      <c r="I268" s="323">
        <v>0.33333333333333331</v>
      </c>
      <c r="J268" s="323">
        <v>0.33333333333333331</v>
      </c>
      <c r="K268" s="323">
        <v>0.33333333333333331</v>
      </c>
      <c r="L268" s="323">
        <v>0.33333333333333331</v>
      </c>
      <c r="M268" s="323"/>
      <c r="N268" s="323"/>
      <c r="O268" s="323"/>
      <c r="P268" s="323"/>
      <c r="Q268" s="323"/>
      <c r="R268" s="323"/>
      <c r="S268" s="323"/>
      <c r="T268" s="323"/>
      <c r="U268" s="323"/>
      <c r="V268" s="316">
        <f t="shared" si="36"/>
        <v>1.3333333333333333</v>
      </c>
      <c r="W268" s="316">
        <v>170.09</v>
      </c>
      <c r="X268" s="316">
        <f t="shared" si="35"/>
        <v>226.78666666666666</v>
      </c>
      <c r="Y268" s="322">
        <f>X268/X267</f>
        <v>0.33316674995835416</v>
      </c>
      <c r="Z268" s="572"/>
      <c r="AA268" s="567"/>
    </row>
    <row r="269" spans="1:27" s="311" customFormat="1" ht="15" customHeight="1" outlineLevel="1">
      <c r="A269" s="273">
        <v>265</v>
      </c>
      <c r="B269" s="273" t="s">
        <v>0</v>
      </c>
      <c r="C269" s="305" t="s">
        <v>530</v>
      </c>
      <c r="D269" s="306" t="s">
        <v>531</v>
      </c>
      <c r="E269" s="307" t="s">
        <v>530</v>
      </c>
      <c r="F269" s="553" t="str">
        <f t="shared" si="33"/>
        <v>PREVBerço simples para cadeia de isoladores 230 kV para até 6 isoladores de até Ø 254 mm</v>
      </c>
      <c r="G269" s="611" t="s">
        <v>74</v>
      </c>
      <c r="H269" s="307" t="s">
        <v>228</v>
      </c>
      <c r="I269" s="321">
        <v>0.26400000000000001</v>
      </c>
      <c r="J269" s="321">
        <v>0.33</v>
      </c>
      <c r="K269" s="321">
        <v>0.33</v>
      </c>
      <c r="L269" s="321">
        <v>0.33</v>
      </c>
      <c r="M269" s="321">
        <v>0.33</v>
      </c>
      <c r="N269" s="321">
        <v>0.33</v>
      </c>
      <c r="O269" s="321">
        <v>0.33</v>
      </c>
      <c r="P269" s="321">
        <v>0.33</v>
      </c>
      <c r="Q269" s="321">
        <v>0.34</v>
      </c>
      <c r="R269" s="321">
        <v>0.34</v>
      </c>
      <c r="S269" s="321">
        <v>0.34</v>
      </c>
      <c r="T269" s="321">
        <v>0.34</v>
      </c>
      <c r="U269" s="321">
        <v>6.8000000000000005E-2</v>
      </c>
      <c r="V269" s="308">
        <f t="shared" si="36"/>
        <v>4.0019999999999998</v>
      </c>
      <c r="W269" s="308">
        <v>20.97</v>
      </c>
      <c r="X269" s="308">
        <f t="shared" si="35"/>
        <v>83.921939999999992</v>
      </c>
      <c r="Y269" s="322" t="s">
        <v>74</v>
      </c>
      <c r="Z269" s="575"/>
      <c r="AA269" s="567"/>
    </row>
    <row r="270" spans="1:27" s="318" customFormat="1" ht="15" customHeight="1" outlineLevel="1">
      <c r="A270" s="282">
        <v>266</v>
      </c>
      <c r="B270" s="282" t="s">
        <v>1</v>
      </c>
      <c r="C270" s="312" t="s">
        <v>530</v>
      </c>
      <c r="D270" s="313" t="s">
        <v>531</v>
      </c>
      <c r="E270" s="314" t="s">
        <v>530</v>
      </c>
      <c r="F270" s="553" t="str">
        <f t="shared" si="33"/>
        <v>REALBerço simples para cadeia de isoladores 230 kV para até 6 isoladores de até Ø 254 mm</v>
      </c>
      <c r="G270" s="609">
        <f>Y270</f>
        <v>0</v>
      </c>
      <c r="H270" s="315" t="s">
        <v>228</v>
      </c>
      <c r="I270" s="323">
        <v>0</v>
      </c>
      <c r="J270" s="323">
        <v>0</v>
      </c>
      <c r="K270" s="323">
        <v>0</v>
      </c>
      <c r="L270" s="323">
        <v>0</v>
      </c>
      <c r="M270" s="323"/>
      <c r="N270" s="323"/>
      <c r="O270" s="323"/>
      <c r="P270" s="323"/>
      <c r="Q270" s="323"/>
      <c r="R270" s="323"/>
      <c r="S270" s="323"/>
      <c r="T270" s="323"/>
      <c r="U270" s="323"/>
      <c r="V270" s="316">
        <f t="shared" si="36"/>
        <v>0</v>
      </c>
      <c r="W270" s="316">
        <v>20.97</v>
      </c>
      <c r="X270" s="316">
        <f t="shared" si="35"/>
        <v>0</v>
      </c>
      <c r="Y270" s="322">
        <f>X270/X269</f>
        <v>0</v>
      </c>
      <c r="Z270" s="572"/>
      <c r="AA270" s="567"/>
    </row>
    <row r="271" spans="1:27" s="311" customFormat="1" ht="15" customHeight="1" outlineLevel="1">
      <c r="A271" s="273">
        <v>267</v>
      </c>
      <c r="B271" s="273" t="s">
        <v>0</v>
      </c>
      <c r="C271" s="305" t="s">
        <v>532</v>
      </c>
      <c r="D271" s="306" t="s">
        <v>533</v>
      </c>
      <c r="E271" s="307" t="s">
        <v>532</v>
      </c>
      <c r="F271" s="553" t="str">
        <f t="shared" si="33"/>
        <v>PREVBalancim (Ref. RE402‐0099 ou similar) para escada perfil de fibra de vidro extensiva</v>
      </c>
      <c r="G271" s="611" t="s">
        <v>74</v>
      </c>
      <c r="H271" s="307" t="s">
        <v>228</v>
      </c>
      <c r="I271" s="321">
        <v>0.26400000000000001</v>
      </c>
      <c r="J271" s="321">
        <v>0.33</v>
      </c>
      <c r="K271" s="321">
        <v>0.33</v>
      </c>
      <c r="L271" s="321">
        <v>0.33</v>
      </c>
      <c r="M271" s="321">
        <v>0.33</v>
      </c>
      <c r="N271" s="321">
        <v>0.33</v>
      </c>
      <c r="O271" s="321">
        <v>0.33</v>
      </c>
      <c r="P271" s="321">
        <v>0.33</v>
      </c>
      <c r="Q271" s="321">
        <v>0.34</v>
      </c>
      <c r="R271" s="321">
        <v>0.34</v>
      </c>
      <c r="S271" s="321">
        <v>0.34</v>
      </c>
      <c r="T271" s="321">
        <v>0.34</v>
      </c>
      <c r="U271" s="321">
        <v>6.8000000000000005E-2</v>
      </c>
      <c r="V271" s="308">
        <f t="shared" si="36"/>
        <v>4.0019999999999998</v>
      </c>
      <c r="W271" s="308">
        <v>40.020000000000003</v>
      </c>
      <c r="X271" s="308">
        <f t="shared" si="35"/>
        <v>160.16004000000001</v>
      </c>
      <c r="Y271" s="322" t="s">
        <v>74</v>
      </c>
      <c r="Z271" s="575"/>
      <c r="AA271" s="567"/>
    </row>
    <row r="272" spans="1:27" s="318" customFormat="1" ht="15" customHeight="1" outlineLevel="1">
      <c r="A272" s="282">
        <v>268</v>
      </c>
      <c r="B272" s="282" t="s">
        <v>1</v>
      </c>
      <c r="C272" s="312" t="s">
        <v>532</v>
      </c>
      <c r="D272" s="313" t="s">
        <v>533</v>
      </c>
      <c r="E272" s="314" t="s">
        <v>532</v>
      </c>
      <c r="F272" s="553" t="str">
        <f t="shared" si="33"/>
        <v>REALBalancim (Ref. RE402‐0099 ou similar) para escada perfil de fibra de vidro extensiva</v>
      </c>
      <c r="G272" s="609">
        <f>Y272</f>
        <v>0</v>
      </c>
      <c r="H272" s="315" t="s">
        <v>228</v>
      </c>
      <c r="I272" s="323">
        <v>0</v>
      </c>
      <c r="J272" s="323">
        <v>0</v>
      </c>
      <c r="K272" s="323">
        <v>0</v>
      </c>
      <c r="L272" s="323">
        <v>0</v>
      </c>
      <c r="M272" s="323"/>
      <c r="N272" s="323"/>
      <c r="O272" s="323"/>
      <c r="P272" s="323"/>
      <c r="Q272" s="323"/>
      <c r="R272" s="323"/>
      <c r="S272" s="323"/>
      <c r="T272" s="323"/>
      <c r="U272" s="323"/>
      <c r="V272" s="316">
        <f t="shared" si="36"/>
        <v>0</v>
      </c>
      <c r="W272" s="316">
        <v>40.020000000000003</v>
      </c>
      <c r="X272" s="316">
        <f t="shared" si="35"/>
        <v>0</v>
      </c>
      <c r="Y272" s="322">
        <f>X272/X271</f>
        <v>0</v>
      </c>
      <c r="Z272" s="572"/>
      <c r="AA272" s="567"/>
    </row>
    <row r="273" spans="1:27" s="311" customFormat="1" ht="15" customHeight="1" outlineLevel="1">
      <c r="A273" s="273">
        <v>269</v>
      </c>
      <c r="B273" s="273" t="s">
        <v>0</v>
      </c>
      <c r="C273" s="305" t="s">
        <v>534</v>
      </c>
      <c r="D273" s="306" t="s">
        <v>185</v>
      </c>
      <c r="E273" s="307" t="s">
        <v>534</v>
      </c>
      <c r="F273" s="553" t="str">
        <f t="shared" si="33"/>
        <v>PREVBinóculo Profissional Ampliação 8 à 24x 50mm</v>
      </c>
      <c r="G273" s="611" t="s">
        <v>74</v>
      </c>
      <c r="H273" s="307" t="s">
        <v>228</v>
      </c>
      <c r="I273" s="321">
        <v>0.26400000000000001</v>
      </c>
      <c r="J273" s="321">
        <v>0.33</v>
      </c>
      <c r="K273" s="321">
        <v>0.33</v>
      </c>
      <c r="L273" s="321">
        <v>0.33</v>
      </c>
      <c r="M273" s="321">
        <v>0.33</v>
      </c>
      <c r="N273" s="321">
        <v>0.33</v>
      </c>
      <c r="O273" s="321">
        <v>0.33</v>
      </c>
      <c r="P273" s="321">
        <v>0.33</v>
      </c>
      <c r="Q273" s="321">
        <v>0.34</v>
      </c>
      <c r="R273" s="321">
        <v>0.34</v>
      </c>
      <c r="S273" s="321">
        <v>0.34</v>
      </c>
      <c r="T273" s="321">
        <v>0.34</v>
      </c>
      <c r="U273" s="321">
        <v>6.8000000000000005E-2</v>
      </c>
      <c r="V273" s="308">
        <f t="shared" si="36"/>
        <v>4.0019999999999998</v>
      </c>
      <c r="W273" s="308">
        <v>24.34</v>
      </c>
      <c r="X273" s="308">
        <f t="shared" si="35"/>
        <v>97.40867999999999</v>
      </c>
      <c r="Y273" s="322" t="s">
        <v>74</v>
      </c>
      <c r="Z273" s="575"/>
      <c r="AA273" s="567"/>
    </row>
    <row r="274" spans="1:27" s="318" customFormat="1" ht="15" customHeight="1" outlineLevel="1">
      <c r="A274" s="282">
        <v>270</v>
      </c>
      <c r="B274" s="282" t="s">
        <v>1</v>
      </c>
      <c r="C274" s="312" t="s">
        <v>534</v>
      </c>
      <c r="D274" s="313" t="s">
        <v>185</v>
      </c>
      <c r="E274" s="314">
        <v>46452</v>
      </c>
      <c r="F274" s="553" t="str">
        <f t="shared" si="33"/>
        <v>REALBinóculo Profissional Ampliação 8 à 24x 50mm</v>
      </c>
      <c r="G274" s="609">
        <f>Y274</f>
        <v>0.33316674995835421</v>
      </c>
      <c r="H274" s="315" t="s">
        <v>228</v>
      </c>
      <c r="I274" s="323">
        <v>0.33333333333333331</v>
      </c>
      <c r="J274" s="323">
        <v>0.33333333333333331</v>
      </c>
      <c r="K274" s="323">
        <v>0.33333333333333331</v>
      </c>
      <c r="L274" s="323">
        <v>0.33333333333333331</v>
      </c>
      <c r="M274" s="323"/>
      <c r="N274" s="323"/>
      <c r="O274" s="323"/>
      <c r="P274" s="323"/>
      <c r="Q274" s="323"/>
      <c r="R274" s="323"/>
      <c r="S274" s="323"/>
      <c r="T274" s="323"/>
      <c r="U274" s="323"/>
      <c r="V274" s="316">
        <f t="shared" si="36"/>
        <v>1.3333333333333333</v>
      </c>
      <c r="W274" s="316">
        <v>24.34</v>
      </c>
      <c r="X274" s="316">
        <f t="shared" si="35"/>
        <v>32.453333333333333</v>
      </c>
      <c r="Y274" s="322">
        <f>X274/X273</f>
        <v>0.33316674995835421</v>
      </c>
      <c r="Z274" s="572"/>
      <c r="AA274" s="567"/>
    </row>
    <row r="275" spans="1:27" s="311" customFormat="1" ht="15" customHeight="1" outlineLevel="1">
      <c r="A275" s="273">
        <v>271</v>
      </c>
      <c r="B275" s="273" t="s">
        <v>0</v>
      </c>
      <c r="C275" s="305" t="s">
        <v>535</v>
      </c>
      <c r="D275" s="306" t="s">
        <v>536</v>
      </c>
      <c r="E275" s="307" t="s">
        <v>535</v>
      </c>
      <c r="F275" s="553" t="str">
        <f t="shared" si="33"/>
        <v>PREVChave de boca ajustável 8"</v>
      </c>
      <c r="G275" s="611" t="s">
        <v>74</v>
      </c>
      <c r="H275" s="307" t="s">
        <v>228</v>
      </c>
      <c r="I275" s="321">
        <v>0.93599999999999994</v>
      </c>
      <c r="J275" s="321">
        <v>1.17</v>
      </c>
      <c r="K275" s="321">
        <v>1.17</v>
      </c>
      <c r="L275" s="321">
        <v>1.17</v>
      </c>
      <c r="M275" s="321">
        <v>0.41666666666666669</v>
      </c>
      <c r="N275" s="321">
        <v>1.17</v>
      </c>
      <c r="O275" s="321">
        <v>1.17</v>
      </c>
      <c r="P275" s="321">
        <v>1.17</v>
      </c>
      <c r="Q275" s="321">
        <v>1.1599999999999999</v>
      </c>
      <c r="R275" s="321">
        <v>1.1599999999999999</v>
      </c>
      <c r="S275" s="321">
        <v>1.1599999999999999</v>
      </c>
      <c r="T275" s="321">
        <v>1.1599999999999999</v>
      </c>
      <c r="U275" s="321">
        <v>0.23199999999999998</v>
      </c>
      <c r="V275" s="308">
        <f t="shared" si="36"/>
        <v>13.244666666666667</v>
      </c>
      <c r="W275" s="308">
        <v>15.36</v>
      </c>
      <c r="X275" s="308">
        <f t="shared" si="35"/>
        <v>203.43808000000001</v>
      </c>
      <c r="Y275" s="322" t="s">
        <v>74</v>
      </c>
      <c r="Z275" s="575"/>
      <c r="AA275" s="567"/>
    </row>
    <row r="276" spans="1:27" s="318" customFormat="1" ht="15" customHeight="1" outlineLevel="1">
      <c r="A276" s="282">
        <v>272</v>
      </c>
      <c r="B276" s="282" t="s">
        <v>1</v>
      </c>
      <c r="C276" s="312" t="s">
        <v>535</v>
      </c>
      <c r="D276" s="313" t="s">
        <v>536</v>
      </c>
      <c r="E276" s="314">
        <v>46818</v>
      </c>
      <c r="F276" s="553" t="str">
        <f t="shared" si="33"/>
        <v>REALChave de boca ajustável 8"</v>
      </c>
      <c r="G276" s="609">
        <f>Y276</f>
        <v>0.30200835556450389</v>
      </c>
      <c r="H276" s="315" t="s">
        <v>228</v>
      </c>
      <c r="I276" s="323">
        <v>0.83333333333333337</v>
      </c>
      <c r="J276" s="323">
        <v>0.83333333333333337</v>
      </c>
      <c r="K276" s="323">
        <v>1.1666666666666667</v>
      </c>
      <c r="L276" s="323">
        <v>1.1666666666666667</v>
      </c>
      <c r="M276" s="323"/>
      <c r="N276" s="323"/>
      <c r="O276" s="323"/>
      <c r="P276" s="323"/>
      <c r="Q276" s="323"/>
      <c r="R276" s="323"/>
      <c r="S276" s="323"/>
      <c r="T276" s="323"/>
      <c r="U276" s="323"/>
      <c r="V276" s="316">
        <f t="shared" si="36"/>
        <v>4</v>
      </c>
      <c r="W276" s="316">
        <v>15.36</v>
      </c>
      <c r="X276" s="316">
        <f t="shared" si="35"/>
        <v>61.44</v>
      </c>
      <c r="Y276" s="322">
        <f>X276/X275</f>
        <v>0.30200835556450389</v>
      </c>
      <c r="Z276" s="572"/>
      <c r="AA276" s="567"/>
    </row>
    <row r="277" spans="1:27" s="311" customFormat="1" ht="15" customHeight="1" outlineLevel="1">
      <c r="A277" s="273">
        <v>273</v>
      </c>
      <c r="B277" s="273" t="s">
        <v>0</v>
      </c>
      <c r="C277" s="305" t="s">
        <v>537</v>
      </c>
      <c r="D277" s="306" t="s">
        <v>538</v>
      </c>
      <c r="E277" s="307" t="s">
        <v>537</v>
      </c>
      <c r="F277" s="553" t="str">
        <f t="shared" si="33"/>
        <v>PREVChave de boca ajustável 12"</v>
      </c>
      <c r="G277" s="611" t="s">
        <v>74</v>
      </c>
      <c r="H277" s="307" t="s">
        <v>228</v>
      </c>
      <c r="I277" s="321">
        <v>0.93599999999999994</v>
      </c>
      <c r="J277" s="321">
        <v>1.17</v>
      </c>
      <c r="K277" s="321">
        <v>1.17</v>
      </c>
      <c r="L277" s="321">
        <v>1.17</v>
      </c>
      <c r="M277" s="321">
        <v>0.5</v>
      </c>
      <c r="N277" s="321">
        <v>1.17</v>
      </c>
      <c r="O277" s="321">
        <v>1.17</v>
      </c>
      <c r="P277" s="321">
        <v>1.17</v>
      </c>
      <c r="Q277" s="321">
        <v>1.1599999999999999</v>
      </c>
      <c r="R277" s="321">
        <v>1.1599999999999999</v>
      </c>
      <c r="S277" s="321">
        <v>1.1599999999999999</v>
      </c>
      <c r="T277" s="321">
        <v>1.1599999999999999</v>
      </c>
      <c r="U277" s="321">
        <v>0.23199999999999998</v>
      </c>
      <c r="V277" s="308">
        <f t="shared" si="36"/>
        <v>13.327999999999999</v>
      </c>
      <c r="W277" s="308">
        <v>30.21</v>
      </c>
      <c r="X277" s="308">
        <f t="shared" si="35"/>
        <v>402.63887999999997</v>
      </c>
      <c r="Y277" s="322" t="s">
        <v>74</v>
      </c>
      <c r="Z277" s="575"/>
      <c r="AA277" s="567"/>
    </row>
    <row r="278" spans="1:27" s="318" customFormat="1" ht="15" customHeight="1" outlineLevel="1">
      <c r="A278" s="282">
        <v>274</v>
      </c>
      <c r="B278" s="282" t="s">
        <v>1</v>
      </c>
      <c r="C278" s="312" t="s">
        <v>537</v>
      </c>
      <c r="D278" s="313" t="s">
        <v>538</v>
      </c>
      <c r="E278" s="314">
        <v>47183</v>
      </c>
      <c r="F278" s="553" t="str">
        <f t="shared" si="33"/>
        <v>REALChave de boca ajustável 12"</v>
      </c>
      <c r="G278" s="609">
        <f>Y278</f>
        <v>0.30012004801920772</v>
      </c>
      <c r="H278" s="315" t="s">
        <v>228</v>
      </c>
      <c r="I278" s="323">
        <v>0.83333333333333337</v>
      </c>
      <c r="J278" s="323">
        <v>0.83333333333333337</v>
      </c>
      <c r="K278" s="323">
        <v>1.1666666666666667</v>
      </c>
      <c r="L278" s="323">
        <v>1.1666666666666667</v>
      </c>
      <c r="M278" s="323"/>
      <c r="N278" s="323"/>
      <c r="O278" s="323"/>
      <c r="P278" s="323"/>
      <c r="Q278" s="323"/>
      <c r="R278" s="323"/>
      <c r="S278" s="323"/>
      <c r="T278" s="323"/>
      <c r="U278" s="323"/>
      <c r="V278" s="316">
        <f t="shared" si="36"/>
        <v>4</v>
      </c>
      <c r="W278" s="316">
        <v>30.21</v>
      </c>
      <c r="X278" s="316">
        <f t="shared" si="35"/>
        <v>120.84</v>
      </c>
      <c r="Y278" s="322">
        <f>X278/X277</f>
        <v>0.30012004801920772</v>
      </c>
      <c r="Z278" s="572"/>
      <c r="AA278" s="567"/>
    </row>
    <row r="279" spans="1:27" s="311" customFormat="1" ht="15" customHeight="1" outlineLevel="1">
      <c r="A279" s="273">
        <v>275</v>
      </c>
      <c r="B279" s="273" t="s">
        <v>0</v>
      </c>
      <c r="C279" s="305" t="s">
        <v>539</v>
      </c>
      <c r="D279" s="306" t="s">
        <v>540</v>
      </c>
      <c r="E279" s="307" t="s">
        <v>539</v>
      </c>
      <c r="F279" s="553" t="str">
        <f t="shared" si="33"/>
        <v>PREVChave de boca ajustável 18"</v>
      </c>
      <c r="G279" s="611" t="s">
        <v>74</v>
      </c>
      <c r="H279" s="307" t="s">
        <v>228</v>
      </c>
      <c r="I279" s="321">
        <v>0.93599999999999994</v>
      </c>
      <c r="J279" s="321">
        <v>1.17</v>
      </c>
      <c r="K279" s="321">
        <v>1.17</v>
      </c>
      <c r="L279" s="321">
        <v>1.17</v>
      </c>
      <c r="M279" s="321">
        <v>0.33333333333333331</v>
      </c>
      <c r="N279" s="321">
        <v>1.17</v>
      </c>
      <c r="O279" s="321">
        <v>1.17</v>
      </c>
      <c r="P279" s="321">
        <v>1.17</v>
      </c>
      <c r="Q279" s="321">
        <v>1.1599999999999999</v>
      </c>
      <c r="R279" s="321">
        <v>1.1599999999999999</v>
      </c>
      <c r="S279" s="321">
        <v>1.1599999999999999</v>
      </c>
      <c r="T279" s="321">
        <v>1.1599999999999999</v>
      </c>
      <c r="U279" s="321">
        <v>0.23199999999999998</v>
      </c>
      <c r="V279" s="308">
        <f t="shared" si="36"/>
        <v>13.161333333333332</v>
      </c>
      <c r="W279" s="308">
        <v>88.67</v>
      </c>
      <c r="X279" s="308">
        <f t="shared" si="35"/>
        <v>1167.0154266666666</v>
      </c>
      <c r="Y279" s="322" t="s">
        <v>74</v>
      </c>
      <c r="Z279" s="575"/>
      <c r="AA279" s="567"/>
    </row>
    <row r="280" spans="1:27" s="318" customFormat="1" ht="15" customHeight="1" outlineLevel="1">
      <c r="A280" s="282">
        <v>276</v>
      </c>
      <c r="B280" s="282" t="s">
        <v>1</v>
      </c>
      <c r="C280" s="312" t="s">
        <v>539</v>
      </c>
      <c r="D280" s="313" t="s">
        <v>540</v>
      </c>
      <c r="E280" s="314">
        <v>47548</v>
      </c>
      <c r="F280" s="553" t="str">
        <f t="shared" si="33"/>
        <v>REALChave de boca ajustável 18"</v>
      </c>
      <c r="G280" s="609">
        <f>Y280</f>
        <v>0.30392057542295614</v>
      </c>
      <c r="H280" s="315" t="s">
        <v>228</v>
      </c>
      <c r="I280" s="323">
        <v>0.83333333333333337</v>
      </c>
      <c r="J280" s="323">
        <v>0.83333333333333337</v>
      </c>
      <c r="K280" s="323">
        <v>1.1666666666666667</v>
      </c>
      <c r="L280" s="323">
        <v>1.1666666666666667</v>
      </c>
      <c r="M280" s="323"/>
      <c r="N280" s="323"/>
      <c r="O280" s="323"/>
      <c r="P280" s="323"/>
      <c r="Q280" s="323"/>
      <c r="R280" s="323"/>
      <c r="S280" s="323"/>
      <c r="T280" s="323"/>
      <c r="U280" s="323"/>
      <c r="V280" s="316">
        <f t="shared" si="36"/>
        <v>4</v>
      </c>
      <c r="W280" s="316">
        <v>88.67</v>
      </c>
      <c r="X280" s="316">
        <f t="shared" si="35"/>
        <v>354.68</v>
      </c>
      <c r="Y280" s="322">
        <f>X280/X279</f>
        <v>0.30392057542295614</v>
      </c>
      <c r="Z280" s="572"/>
      <c r="AA280" s="567"/>
    </row>
    <row r="281" spans="1:27" s="311" customFormat="1" ht="15" customHeight="1" outlineLevel="1">
      <c r="A281" s="273">
        <v>277</v>
      </c>
      <c r="B281" s="273" t="s">
        <v>0</v>
      </c>
      <c r="C281" s="305" t="s">
        <v>541</v>
      </c>
      <c r="D281" s="306" t="s">
        <v>542</v>
      </c>
      <c r="E281" s="307" t="s">
        <v>541</v>
      </c>
      <c r="F281" s="553" t="str">
        <f t="shared" si="33"/>
        <v>PREVCadeado 40mm</v>
      </c>
      <c r="G281" s="611" t="s">
        <v>74</v>
      </c>
      <c r="H281" s="307" t="s">
        <v>228</v>
      </c>
      <c r="I281" s="321">
        <v>2.9359999999999999</v>
      </c>
      <c r="J281" s="321">
        <v>3.67</v>
      </c>
      <c r="K281" s="321">
        <v>3.67</v>
      </c>
      <c r="L281" s="321">
        <v>3.67</v>
      </c>
      <c r="M281" s="321">
        <v>0.25</v>
      </c>
      <c r="N281" s="321">
        <v>3.67</v>
      </c>
      <c r="O281" s="321">
        <v>3.67</v>
      </c>
      <c r="P281" s="321">
        <v>3.67</v>
      </c>
      <c r="Q281" s="321">
        <v>3.66</v>
      </c>
      <c r="R281" s="321">
        <v>3.66</v>
      </c>
      <c r="S281" s="321">
        <v>3.66</v>
      </c>
      <c r="T281" s="321">
        <v>3.66</v>
      </c>
      <c r="U281" s="321">
        <v>0.7320000000000001</v>
      </c>
      <c r="V281" s="308">
        <f t="shared" si="36"/>
        <v>40.578000000000003</v>
      </c>
      <c r="W281" s="308">
        <v>6.92</v>
      </c>
      <c r="X281" s="308">
        <f t="shared" si="35"/>
        <v>280.79975999999999</v>
      </c>
      <c r="Y281" s="322" t="s">
        <v>74</v>
      </c>
      <c r="Z281" s="575"/>
      <c r="AA281" s="567"/>
    </row>
    <row r="282" spans="1:27" s="318" customFormat="1" ht="15" customHeight="1" outlineLevel="1">
      <c r="A282" s="282">
        <v>278</v>
      </c>
      <c r="B282" s="282" t="s">
        <v>1</v>
      </c>
      <c r="C282" s="312" t="s">
        <v>541</v>
      </c>
      <c r="D282" s="313" t="s">
        <v>542</v>
      </c>
      <c r="E282" s="314">
        <v>47913</v>
      </c>
      <c r="F282" s="553" t="str">
        <f t="shared" si="33"/>
        <v>REALCadeado 40mm</v>
      </c>
      <c r="G282" s="609">
        <f>Y282</f>
        <v>0.37787306750784494</v>
      </c>
      <c r="H282" s="315" t="s">
        <v>228</v>
      </c>
      <c r="I282" s="323">
        <v>4</v>
      </c>
      <c r="J282" s="323">
        <v>4</v>
      </c>
      <c r="K282" s="323">
        <v>3.6666666666666665</v>
      </c>
      <c r="L282" s="323">
        <v>3.6666666666666665</v>
      </c>
      <c r="M282" s="323"/>
      <c r="N282" s="323"/>
      <c r="O282" s="323"/>
      <c r="P282" s="323"/>
      <c r="Q282" s="323"/>
      <c r="R282" s="323"/>
      <c r="S282" s="323"/>
      <c r="T282" s="323"/>
      <c r="U282" s="323"/>
      <c r="V282" s="316">
        <f t="shared" si="36"/>
        <v>15.333333333333332</v>
      </c>
      <c r="W282" s="316">
        <v>6.92</v>
      </c>
      <c r="X282" s="316">
        <f t="shared" si="35"/>
        <v>106.10666666666665</v>
      </c>
      <c r="Y282" s="322">
        <f>X282/X281</f>
        <v>0.37787306750784494</v>
      </c>
      <c r="Z282" s="572"/>
      <c r="AA282" s="567"/>
    </row>
    <row r="283" spans="1:27" s="311" customFormat="1" ht="15" customHeight="1" outlineLevel="1">
      <c r="A283" s="273">
        <v>279</v>
      </c>
      <c r="B283" s="273" t="s">
        <v>0</v>
      </c>
      <c r="C283" s="305" t="s">
        <v>543</v>
      </c>
      <c r="D283" s="306" t="s">
        <v>544</v>
      </c>
      <c r="E283" s="307" t="s">
        <v>543</v>
      </c>
      <c r="F283" s="553" t="str">
        <f t="shared" si="33"/>
        <v>PREVCaixa de ferramentas para eletricista NR10 com 34 peças ‐ Equipes de_x000D_
Manutenção</v>
      </c>
      <c r="G283" s="611" t="s">
        <v>74</v>
      </c>
      <c r="H283" s="307" t="s">
        <v>228</v>
      </c>
      <c r="I283" s="321">
        <v>0.60000000000000009</v>
      </c>
      <c r="J283" s="321">
        <v>0.75</v>
      </c>
      <c r="K283" s="321">
        <v>0.75</v>
      </c>
      <c r="L283" s="321">
        <v>0.75</v>
      </c>
      <c r="M283" s="321">
        <v>8.3333333333333329E-2</v>
      </c>
      <c r="N283" s="321">
        <v>0.75</v>
      </c>
      <c r="O283" s="321">
        <v>0.75</v>
      </c>
      <c r="P283" s="321">
        <v>0.75</v>
      </c>
      <c r="Q283" s="321">
        <v>0.75</v>
      </c>
      <c r="R283" s="321">
        <v>0.75</v>
      </c>
      <c r="S283" s="321">
        <v>0.75</v>
      </c>
      <c r="T283" s="321">
        <v>0.75</v>
      </c>
      <c r="U283" s="321">
        <v>0.15000000000000002</v>
      </c>
      <c r="V283" s="308">
        <f t="shared" si="36"/>
        <v>8.3333333333333339</v>
      </c>
      <c r="W283" s="308">
        <v>29.98</v>
      </c>
      <c r="X283" s="308">
        <f t="shared" si="35"/>
        <v>249.83333333333334</v>
      </c>
      <c r="Y283" s="322" t="s">
        <v>74</v>
      </c>
      <c r="Z283" s="575"/>
      <c r="AA283" s="567"/>
    </row>
    <row r="284" spans="1:27" s="318" customFormat="1" ht="15" customHeight="1" outlineLevel="1">
      <c r="A284" s="282">
        <v>280</v>
      </c>
      <c r="B284" s="282" t="s">
        <v>1</v>
      </c>
      <c r="C284" s="312" t="s">
        <v>543</v>
      </c>
      <c r="D284" s="313" t="s">
        <v>544</v>
      </c>
      <c r="E284" s="314">
        <v>48279</v>
      </c>
      <c r="F284" s="553" t="str">
        <f t="shared" si="33"/>
        <v>REALCaixa de ferramentas para eletricista NR10 com 34 peças ‐ Equipes de_x000D_
Manutenção</v>
      </c>
      <c r="G284" s="609">
        <f>Y284</f>
        <v>0.32</v>
      </c>
      <c r="H284" s="315" t="s">
        <v>228</v>
      </c>
      <c r="I284" s="323">
        <v>0.58333333333333337</v>
      </c>
      <c r="J284" s="323">
        <v>0.58333333333333337</v>
      </c>
      <c r="K284" s="323">
        <v>0.75</v>
      </c>
      <c r="L284" s="323">
        <v>0.75</v>
      </c>
      <c r="M284" s="323"/>
      <c r="N284" s="323"/>
      <c r="O284" s="323"/>
      <c r="P284" s="323"/>
      <c r="Q284" s="323"/>
      <c r="R284" s="323"/>
      <c r="S284" s="323"/>
      <c r="T284" s="323"/>
      <c r="U284" s="323"/>
      <c r="V284" s="316">
        <f t="shared" si="36"/>
        <v>2.666666666666667</v>
      </c>
      <c r="W284" s="316">
        <v>29.98</v>
      </c>
      <c r="X284" s="316">
        <f t="shared" si="35"/>
        <v>79.946666666666673</v>
      </c>
      <c r="Y284" s="322">
        <f>X284/X283</f>
        <v>0.32</v>
      </c>
      <c r="Z284" s="572"/>
      <c r="AA284" s="567"/>
    </row>
    <row r="285" spans="1:27" s="311" customFormat="1" ht="15" customHeight="1" outlineLevel="1">
      <c r="A285" s="273">
        <v>281</v>
      </c>
      <c r="B285" s="273" t="s">
        <v>0</v>
      </c>
      <c r="C285" s="305" t="s">
        <v>545</v>
      </c>
      <c r="D285" s="306" t="s">
        <v>546</v>
      </c>
      <c r="E285" s="307" t="s">
        <v>545</v>
      </c>
      <c r="F285" s="553" t="str">
        <f t="shared" ref="F285:F348" si="37">B285&amp;D285</f>
        <v>PREVCaixa de ferramentas com 40 peças (Para técnicos de automação e telecom)</v>
      </c>
      <c r="G285" s="611" t="s">
        <v>74</v>
      </c>
      <c r="H285" s="307" t="s">
        <v>228</v>
      </c>
      <c r="I285" s="321">
        <v>0.46399999999999997</v>
      </c>
      <c r="J285" s="321">
        <v>0.57999999999999996</v>
      </c>
      <c r="K285" s="321">
        <v>0.57999999999999996</v>
      </c>
      <c r="L285" s="321">
        <v>0.57999999999999996</v>
      </c>
      <c r="M285" s="321">
        <v>8.3333333333333329E-2</v>
      </c>
      <c r="N285" s="321">
        <v>0.57999999999999996</v>
      </c>
      <c r="O285" s="321">
        <v>0.57999999999999996</v>
      </c>
      <c r="P285" s="321">
        <v>0.57999999999999996</v>
      </c>
      <c r="Q285" s="321">
        <v>0.59</v>
      </c>
      <c r="R285" s="321">
        <v>0.59</v>
      </c>
      <c r="S285" s="321">
        <v>0.59</v>
      </c>
      <c r="T285" s="321">
        <v>0.59</v>
      </c>
      <c r="U285" s="321">
        <v>0.11799999999999999</v>
      </c>
      <c r="V285" s="308">
        <f t="shared" ref="V285:V310" si="38">SUM(I285:U285)</f>
        <v>6.5053333333333336</v>
      </c>
      <c r="W285" s="308">
        <v>299.19</v>
      </c>
      <c r="X285" s="308">
        <f t="shared" ref="X285:X348" si="39">W285*V285</f>
        <v>1946.33068</v>
      </c>
      <c r="Y285" s="322" t="s">
        <v>74</v>
      </c>
      <c r="Z285" s="575"/>
      <c r="AA285" s="567"/>
    </row>
    <row r="286" spans="1:27" s="318" customFormat="1" ht="15" customHeight="1" outlineLevel="1">
      <c r="A286" s="282">
        <v>282</v>
      </c>
      <c r="B286" s="282" t="s">
        <v>1</v>
      </c>
      <c r="C286" s="312" t="s">
        <v>545</v>
      </c>
      <c r="D286" s="313" t="s">
        <v>546</v>
      </c>
      <c r="E286" s="314" t="s">
        <v>545</v>
      </c>
      <c r="F286" s="553" t="str">
        <f t="shared" si="37"/>
        <v>REALCaixa de ferramentas com 40 peças (Para técnicos de automação e telecom)</v>
      </c>
      <c r="G286" s="609">
        <f>Y286</f>
        <v>0.30744004919040785</v>
      </c>
      <c r="H286" s="315" t="s">
        <v>228</v>
      </c>
      <c r="I286" s="323">
        <v>0.5</v>
      </c>
      <c r="J286" s="323">
        <v>0.5</v>
      </c>
      <c r="K286" s="323">
        <v>0.5</v>
      </c>
      <c r="L286" s="323">
        <v>0.5</v>
      </c>
      <c r="M286" s="323"/>
      <c r="N286" s="323"/>
      <c r="O286" s="323"/>
      <c r="P286" s="323"/>
      <c r="Q286" s="323"/>
      <c r="R286" s="323"/>
      <c r="S286" s="323"/>
      <c r="T286" s="323"/>
      <c r="U286" s="323"/>
      <c r="V286" s="316">
        <f t="shared" si="38"/>
        <v>2</v>
      </c>
      <c r="W286" s="316">
        <v>299.19</v>
      </c>
      <c r="X286" s="316">
        <f t="shared" si="39"/>
        <v>598.38</v>
      </c>
      <c r="Y286" s="322">
        <f>X286/X285</f>
        <v>0.30744004919040785</v>
      </c>
      <c r="Z286" s="572"/>
      <c r="AA286" s="567"/>
    </row>
    <row r="287" spans="1:27" s="311" customFormat="1" ht="15" customHeight="1" outlineLevel="1">
      <c r="A287" s="273">
        <v>283</v>
      </c>
      <c r="B287" s="273" t="s">
        <v>0</v>
      </c>
      <c r="C287" s="305" t="s">
        <v>547</v>
      </c>
      <c r="D287" s="306" t="s">
        <v>548</v>
      </c>
      <c r="E287" s="307" t="s">
        <v>547</v>
      </c>
      <c r="F287" s="553" t="str">
        <f t="shared" si="37"/>
        <v>PREVCaixa de ferramentas tipo sanfonada, confeccionada em chapa de aço, com rodas e puxador</v>
      </c>
      <c r="G287" s="611" t="s">
        <v>74</v>
      </c>
      <c r="H287" s="307" t="s">
        <v>228</v>
      </c>
      <c r="I287" s="321">
        <v>1.2640000000000002</v>
      </c>
      <c r="J287" s="321">
        <v>1.58</v>
      </c>
      <c r="K287" s="321">
        <v>1.58</v>
      </c>
      <c r="L287" s="321">
        <v>1.58</v>
      </c>
      <c r="M287" s="321">
        <v>1.25</v>
      </c>
      <c r="N287" s="321">
        <v>1.58</v>
      </c>
      <c r="O287" s="321">
        <v>1.58</v>
      </c>
      <c r="P287" s="321">
        <v>1.58</v>
      </c>
      <c r="Q287" s="321">
        <v>1.59</v>
      </c>
      <c r="R287" s="321">
        <v>1.59</v>
      </c>
      <c r="S287" s="321">
        <v>1.59</v>
      </c>
      <c r="T287" s="321">
        <v>1.59</v>
      </c>
      <c r="U287" s="321">
        <v>0.31800000000000006</v>
      </c>
      <c r="V287" s="308">
        <f t="shared" si="38"/>
        <v>18.672000000000001</v>
      </c>
      <c r="W287" s="308">
        <v>62.73</v>
      </c>
      <c r="X287" s="308">
        <f t="shared" si="39"/>
        <v>1171.29456</v>
      </c>
      <c r="Y287" s="322" t="s">
        <v>74</v>
      </c>
      <c r="Z287" s="575"/>
      <c r="AA287" s="567"/>
    </row>
    <row r="288" spans="1:27" s="318" customFormat="1" ht="15" customHeight="1" outlineLevel="1">
      <c r="A288" s="282">
        <v>284</v>
      </c>
      <c r="B288" s="282" t="s">
        <v>1</v>
      </c>
      <c r="C288" s="312" t="s">
        <v>547</v>
      </c>
      <c r="D288" s="313" t="s">
        <v>548</v>
      </c>
      <c r="E288" s="314" t="s">
        <v>547</v>
      </c>
      <c r="F288" s="553" t="str">
        <f t="shared" si="37"/>
        <v>REALCaixa de ferramentas tipo sanfonada, confeccionada em chapa de aço, com rodas e puxador</v>
      </c>
      <c r="G288" s="609">
        <f>Y288</f>
        <v>0.32133676092544988</v>
      </c>
      <c r="H288" s="315" t="s">
        <v>228</v>
      </c>
      <c r="I288" s="323">
        <v>1.4166666666666667</v>
      </c>
      <c r="J288" s="323">
        <v>1.4166666666666667</v>
      </c>
      <c r="K288" s="323">
        <v>1.5833333333333333</v>
      </c>
      <c r="L288" s="323">
        <v>1.5833333333333333</v>
      </c>
      <c r="M288" s="323"/>
      <c r="N288" s="323"/>
      <c r="O288" s="323"/>
      <c r="P288" s="323"/>
      <c r="Q288" s="323"/>
      <c r="R288" s="323"/>
      <c r="S288" s="323"/>
      <c r="T288" s="323"/>
      <c r="U288" s="323"/>
      <c r="V288" s="316">
        <f t="shared" si="38"/>
        <v>6</v>
      </c>
      <c r="W288" s="316">
        <v>62.73</v>
      </c>
      <c r="X288" s="316">
        <f t="shared" si="39"/>
        <v>376.38</v>
      </c>
      <c r="Y288" s="322">
        <f>X288/X287</f>
        <v>0.32133676092544988</v>
      </c>
      <c r="Z288" s="572"/>
      <c r="AA288" s="567"/>
    </row>
    <row r="289" spans="1:27" s="311" customFormat="1" ht="15" customHeight="1" outlineLevel="1">
      <c r="A289" s="273">
        <v>285</v>
      </c>
      <c r="B289" s="273" t="s">
        <v>0</v>
      </c>
      <c r="C289" s="305" t="s">
        <v>549</v>
      </c>
      <c r="D289" s="663" t="s">
        <v>550</v>
      </c>
      <c r="E289" s="307" t="s">
        <v>549</v>
      </c>
      <c r="F289" s="553" t="str">
        <f t="shared" si="37"/>
        <v>PREVCâmera fotográfica digital 20MP, 5x Zoom Óptico</v>
      </c>
      <c r="G289" s="611" t="s">
        <v>74</v>
      </c>
      <c r="H289" s="307" t="s">
        <v>228</v>
      </c>
      <c r="I289" s="321">
        <v>0.26400000000000001</v>
      </c>
      <c r="J289" s="321">
        <v>0.33</v>
      </c>
      <c r="K289" s="321">
        <v>0.33</v>
      </c>
      <c r="L289" s="321">
        <v>0.33</v>
      </c>
      <c r="M289" s="321">
        <v>8.3333333333333329E-2</v>
      </c>
      <c r="N289" s="321">
        <v>0.33</v>
      </c>
      <c r="O289" s="321">
        <v>0.33</v>
      </c>
      <c r="P289" s="321">
        <v>0.33</v>
      </c>
      <c r="Q289" s="321">
        <v>0.34</v>
      </c>
      <c r="R289" s="321">
        <v>0.34</v>
      </c>
      <c r="S289" s="321">
        <v>0.34</v>
      </c>
      <c r="T289" s="321">
        <v>0.34</v>
      </c>
      <c r="U289" s="321">
        <v>6.8000000000000005E-2</v>
      </c>
      <c r="V289" s="308">
        <f t="shared" si="38"/>
        <v>3.7553333333333332</v>
      </c>
      <c r="W289" s="308">
        <v>259.08999999999997</v>
      </c>
      <c r="X289" s="308">
        <f t="shared" si="39"/>
        <v>972.96931333333316</v>
      </c>
      <c r="Y289" s="322" t="s">
        <v>74</v>
      </c>
      <c r="Z289" s="575"/>
      <c r="AA289" s="567"/>
    </row>
    <row r="290" spans="1:27" s="318" customFormat="1" ht="15" customHeight="1" outlineLevel="1">
      <c r="A290" s="282">
        <v>286</v>
      </c>
      <c r="B290" s="282" t="s">
        <v>1</v>
      </c>
      <c r="C290" s="312" t="s">
        <v>549</v>
      </c>
      <c r="D290" s="313" t="s">
        <v>550</v>
      </c>
      <c r="E290" s="314" t="s">
        <v>549</v>
      </c>
      <c r="F290" s="553" t="str">
        <f t="shared" si="37"/>
        <v>REALCâmera fotográfica digital 20MP, 5x Zoom Óptico</v>
      </c>
      <c r="G290" s="609">
        <f>Y290</f>
        <v>0.35505059470974615</v>
      </c>
      <c r="H290" s="315" t="s">
        <v>228</v>
      </c>
      <c r="I290" s="323">
        <v>0.33333333333333331</v>
      </c>
      <c r="J290" s="323">
        <v>0.33333333333333331</v>
      </c>
      <c r="K290" s="323">
        <v>0.33333333333333331</v>
      </c>
      <c r="L290" s="323">
        <v>0.33333333333333331</v>
      </c>
      <c r="M290" s="323"/>
      <c r="N290" s="323"/>
      <c r="O290" s="323"/>
      <c r="P290" s="323"/>
      <c r="Q290" s="323"/>
      <c r="R290" s="323"/>
      <c r="S290" s="323"/>
      <c r="T290" s="323"/>
      <c r="U290" s="323"/>
      <c r="V290" s="316">
        <f t="shared" si="38"/>
        <v>1.3333333333333333</v>
      </c>
      <c r="W290" s="316">
        <v>259.08999999999997</v>
      </c>
      <c r="X290" s="316">
        <f t="shared" si="39"/>
        <v>345.45333333333326</v>
      </c>
      <c r="Y290" s="322">
        <f>X290/X289</f>
        <v>0.35505059470974615</v>
      </c>
      <c r="Z290" s="572"/>
      <c r="AA290" s="567"/>
    </row>
    <row r="291" spans="1:27" s="311" customFormat="1" ht="15" customHeight="1" outlineLevel="1">
      <c r="A291" s="273">
        <v>287</v>
      </c>
      <c r="B291" s="273" t="s">
        <v>0</v>
      </c>
      <c r="C291" s="305" t="s">
        <v>551</v>
      </c>
      <c r="D291" s="306" t="s">
        <v>552</v>
      </c>
      <c r="E291" s="307" t="s">
        <v>551</v>
      </c>
      <c r="F291" s="553" t="str">
        <f t="shared" si="37"/>
        <v>PREVChave com catraca 4 bocas 8x9x10x11 mm (Ref. 44637101 ou similar)</v>
      </c>
      <c r="G291" s="611" t="s">
        <v>74</v>
      </c>
      <c r="H291" s="307" t="s">
        <v>228</v>
      </c>
      <c r="I291" s="321">
        <v>0.93599999999999994</v>
      </c>
      <c r="J291" s="321">
        <v>1.17</v>
      </c>
      <c r="K291" s="321">
        <v>1.17</v>
      </c>
      <c r="L291" s="321">
        <v>1.17</v>
      </c>
      <c r="M291" s="321">
        <v>1.17</v>
      </c>
      <c r="N291" s="321">
        <v>1.17</v>
      </c>
      <c r="O291" s="321">
        <v>1.17</v>
      </c>
      <c r="P291" s="321">
        <v>1.17</v>
      </c>
      <c r="Q291" s="321">
        <v>1.1599999999999999</v>
      </c>
      <c r="R291" s="321">
        <v>1.1599999999999999</v>
      </c>
      <c r="S291" s="321">
        <v>1.1599999999999999</v>
      </c>
      <c r="T291" s="321">
        <v>1.1599999999999999</v>
      </c>
      <c r="U291" s="321">
        <v>0.23199999999999998</v>
      </c>
      <c r="V291" s="308">
        <f t="shared" si="38"/>
        <v>13.997999999999999</v>
      </c>
      <c r="W291" s="308">
        <v>45.51</v>
      </c>
      <c r="X291" s="308">
        <f t="shared" si="39"/>
        <v>637.04897999999991</v>
      </c>
      <c r="Y291" s="322" t="s">
        <v>74</v>
      </c>
      <c r="Z291" s="575"/>
      <c r="AA291" s="567"/>
    </row>
    <row r="292" spans="1:27" s="318" customFormat="1" ht="15" customHeight="1" outlineLevel="1">
      <c r="A292" s="282">
        <v>288</v>
      </c>
      <c r="B292" s="282" t="s">
        <v>1</v>
      </c>
      <c r="C292" s="312" t="s">
        <v>551</v>
      </c>
      <c r="D292" s="313" t="s">
        <v>552</v>
      </c>
      <c r="E292" s="314" t="s">
        <v>551</v>
      </c>
      <c r="F292" s="553" t="str">
        <f t="shared" si="37"/>
        <v>REALChave com catraca 4 bocas 8x9x10x11 mm (Ref. 44637101 ou similar)</v>
      </c>
      <c r="G292" s="609">
        <f>Y292</f>
        <v>0.20240986807639189</v>
      </c>
      <c r="H292" s="315" t="s">
        <v>228</v>
      </c>
      <c r="I292" s="323">
        <v>0.25</v>
      </c>
      <c r="J292" s="323">
        <v>0.25</v>
      </c>
      <c r="K292" s="323">
        <v>1.1666666666666667</v>
      </c>
      <c r="L292" s="323">
        <v>1.1666666666666667</v>
      </c>
      <c r="M292" s="323"/>
      <c r="N292" s="323"/>
      <c r="O292" s="323"/>
      <c r="P292" s="323"/>
      <c r="Q292" s="323"/>
      <c r="R292" s="323"/>
      <c r="S292" s="323"/>
      <c r="T292" s="323"/>
      <c r="U292" s="323"/>
      <c r="V292" s="316">
        <f t="shared" si="38"/>
        <v>2.8333333333333335</v>
      </c>
      <c r="W292" s="316">
        <v>45.51</v>
      </c>
      <c r="X292" s="316">
        <f t="shared" si="39"/>
        <v>128.94499999999999</v>
      </c>
      <c r="Y292" s="322">
        <f>X292/X291</f>
        <v>0.20240986807639189</v>
      </c>
      <c r="Z292" s="572"/>
      <c r="AA292" s="567"/>
    </row>
    <row r="293" spans="1:27" s="311" customFormat="1" ht="15" customHeight="1" outlineLevel="1">
      <c r="A293" s="273">
        <v>289</v>
      </c>
      <c r="B293" s="273" t="s">
        <v>0</v>
      </c>
      <c r="C293" s="305" t="s">
        <v>553</v>
      </c>
      <c r="D293" s="306" t="s">
        <v>554</v>
      </c>
      <c r="E293" s="307" t="s">
        <v>553</v>
      </c>
      <c r="F293" s="553" t="str">
        <f t="shared" si="37"/>
        <v>PREVConjunto de aterramento rápido e temporário para cubículos até 35kV</v>
      </c>
      <c r="G293" s="611" t="s">
        <v>74</v>
      </c>
      <c r="H293" s="307" t="s">
        <v>228</v>
      </c>
      <c r="I293" s="321">
        <v>0.4</v>
      </c>
      <c r="J293" s="321">
        <v>0.5</v>
      </c>
      <c r="K293" s="321">
        <v>0.5</v>
      </c>
      <c r="L293" s="321">
        <v>0.5</v>
      </c>
      <c r="M293" s="321">
        <v>0.5</v>
      </c>
      <c r="N293" s="321">
        <v>0.5</v>
      </c>
      <c r="O293" s="321">
        <v>0.5</v>
      </c>
      <c r="P293" s="321">
        <v>0.5</v>
      </c>
      <c r="Q293" s="321">
        <v>0.5</v>
      </c>
      <c r="R293" s="321">
        <v>0.5</v>
      </c>
      <c r="S293" s="321">
        <v>0.5</v>
      </c>
      <c r="T293" s="321">
        <v>0.5</v>
      </c>
      <c r="U293" s="321">
        <v>0.1</v>
      </c>
      <c r="V293" s="308">
        <f t="shared" si="38"/>
        <v>6</v>
      </c>
      <c r="W293" s="308">
        <v>404.78</v>
      </c>
      <c r="X293" s="308">
        <f t="shared" si="39"/>
        <v>2428.6799999999998</v>
      </c>
      <c r="Y293" s="322" t="s">
        <v>74</v>
      </c>
      <c r="Z293" s="575"/>
      <c r="AA293" s="567"/>
    </row>
    <row r="294" spans="1:27" s="318" customFormat="1" ht="15" customHeight="1" outlineLevel="1">
      <c r="A294" s="282">
        <v>290</v>
      </c>
      <c r="B294" s="282" t="s">
        <v>1</v>
      </c>
      <c r="C294" s="312" t="s">
        <v>553</v>
      </c>
      <c r="D294" s="313" t="s">
        <v>554</v>
      </c>
      <c r="E294" s="314" t="s">
        <v>553</v>
      </c>
      <c r="F294" s="553" t="str">
        <f t="shared" si="37"/>
        <v>REALConjunto de aterramento rápido e temporário para cubículos até 35kV</v>
      </c>
      <c r="G294" s="609">
        <f>Y294</f>
        <v>0.22222222222222221</v>
      </c>
      <c r="H294" s="315" t="s">
        <v>228</v>
      </c>
      <c r="I294" s="323">
        <v>0.33333333333333331</v>
      </c>
      <c r="J294" s="323">
        <v>0.33333333333333331</v>
      </c>
      <c r="K294" s="323">
        <v>0.33333333333333331</v>
      </c>
      <c r="L294" s="323">
        <v>0.33333333333333331</v>
      </c>
      <c r="M294" s="323"/>
      <c r="N294" s="323"/>
      <c r="O294" s="323"/>
      <c r="P294" s="323"/>
      <c r="Q294" s="323"/>
      <c r="R294" s="323"/>
      <c r="S294" s="323"/>
      <c r="T294" s="323"/>
      <c r="U294" s="323"/>
      <c r="V294" s="316">
        <f t="shared" si="38"/>
        <v>1.3333333333333333</v>
      </c>
      <c r="W294" s="316">
        <v>404.78</v>
      </c>
      <c r="X294" s="316">
        <f t="shared" si="39"/>
        <v>539.70666666666659</v>
      </c>
      <c r="Y294" s="322">
        <f>X294/X293</f>
        <v>0.22222222222222221</v>
      </c>
      <c r="Z294" s="572"/>
      <c r="AA294" s="567"/>
    </row>
    <row r="295" spans="1:27" s="311" customFormat="1" ht="15" customHeight="1" outlineLevel="1">
      <c r="A295" s="273">
        <v>291</v>
      </c>
      <c r="B295" s="273" t="s">
        <v>0</v>
      </c>
      <c r="C295" s="305" t="s">
        <v>555</v>
      </c>
      <c r="D295" s="306" t="s">
        <v>556</v>
      </c>
      <c r="E295" s="307" t="s">
        <v>555</v>
      </c>
      <c r="F295" s="553" t="str">
        <f t="shared" si="37"/>
        <v>PREVConjunto de aterramento rápido e temporário para redes isoladas até 1kV</v>
      </c>
      <c r="G295" s="611" t="s">
        <v>74</v>
      </c>
      <c r="H295" s="307" t="s">
        <v>228</v>
      </c>
      <c r="I295" s="321">
        <v>0.26400000000000001</v>
      </c>
      <c r="J295" s="321">
        <v>0.33</v>
      </c>
      <c r="K295" s="321">
        <v>0.33</v>
      </c>
      <c r="L295" s="321">
        <v>0.33</v>
      </c>
      <c r="M295" s="321">
        <v>0.33</v>
      </c>
      <c r="N295" s="321">
        <v>0.33</v>
      </c>
      <c r="O295" s="321">
        <v>0.33</v>
      </c>
      <c r="P295" s="321">
        <v>0.33</v>
      </c>
      <c r="Q295" s="321">
        <v>0.34</v>
      </c>
      <c r="R295" s="321">
        <v>0.34</v>
      </c>
      <c r="S295" s="321">
        <v>0.34</v>
      </c>
      <c r="T295" s="321">
        <v>0.34</v>
      </c>
      <c r="U295" s="321">
        <v>6.8000000000000005E-2</v>
      </c>
      <c r="V295" s="308">
        <f t="shared" si="38"/>
        <v>4.0019999999999998</v>
      </c>
      <c r="W295" s="308">
        <v>141.38</v>
      </c>
      <c r="X295" s="308">
        <f t="shared" si="39"/>
        <v>565.80275999999992</v>
      </c>
      <c r="Y295" s="322" t="s">
        <v>74</v>
      </c>
      <c r="Z295" s="575"/>
      <c r="AA295" s="567"/>
    </row>
    <row r="296" spans="1:27" s="318" customFormat="1" ht="15" customHeight="1" outlineLevel="1">
      <c r="A296" s="282">
        <v>292</v>
      </c>
      <c r="B296" s="282" t="s">
        <v>1</v>
      </c>
      <c r="C296" s="312" t="s">
        <v>555</v>
      </c>
      <c r="D296" s="313" t="s">
        <v>556</v>
      </c>
      <c r="E296" s="314" t="s">
        <v>555</v>
      </c>
      <c r="F296" s="553" t="str">
        <f t="shared" si="37"/>
        <v>REALConjunto de aterramento rápido e temporário para redes isoladas até 1kV</v>
      </c>
      <c r="G296" s="609">
        <f>Y296</f>
        <v>0</v>
      </c>
      <c r="H296" s="315" t="s">
        <v>228</v>
      </c>
      <c r="I296" s="323">
        <v>0</v>
      </c>
      <c r="J296" s="323">
        <v>0</v>
      </c>
      <c r="K296" s="323">
        <v>0</v>
      </c>
      <c r="L296" s="323">
        <v>0</v>
      </c>
      <c r="M296" s="323"/>
      <c r="N296" s="323"/>
      <c r="O296" s="323"/>
      <c r="P296" s="323"/>
      <c r="Q296" s="323"/>
      <c r="R296" s="323"/>
      <c r="S296" s="323"/>
      <c r="T296" s="323"/>
      <c r="U296" s="323"/>
      <c r="V296" s="316">
        <f t="shared" si="38"/>
        <v>0</v>
      </c>
      <c r="W296" s="316">
        <v>141.38</v>
      </c>
      <c r="X296" s="316">
        <f t="shared" si="39"/>
        <v>0</v>
      </c>
      <c r="Y296" s="322">
        <f>X296/X295</f>
        <v>0</v>
      </c>
      <c r="Z296" s="572"/>
      <c r="AA296" s="567"/>
    </row>
    <row r="297" spans="1:27" s="311" customFormat="1" ht="15" customHeight="1" outlineLevel="1">
      <c r="A297" s="273">
        <v>293</v>
      </c>
      <c r="B297" s="273" t="s">
        <v>0</v>
      </c>
      <c r="C297" s="305" t="s">
        <v>557</v>
      </c>
      <c r="D297" s="306" t="s">
        <v>558</v>
      </c>
      <c r="E297" s="307" t="s">
        <v>557</v>
      </c>
      <c r="F297" s="553" t="str">
        <f t="shared" si="37"/>
        <v>PREVConjunto de aterramento temporário para subestações até 36kV</v>
      </c>
      <c r="G297" s="611" t="s">
        <v>74</v>
      </c>
      <c r="H297" s="307" t="s">
        <v>228</v>
      </c>
      <c r="I297" s="321">
        <v>0.26400000000000001</v>
      </c>
      <c r="J297" s="321">
        <v>0.33</v>
      </c>
      <c r="K297" s="321">
        <v>0.33</v>
      </c>
      <c r="L297" s="321">
        <v>0.33</v>
      </c>
      <c r="M297" s="321">
        <v>0.33</v>
      </c>
      <c r="N297" s="321">
        <v>0.33</v>
      </c>
      <c r="O297" s="321">
        <v>0.33</v>
      </c>
      <c r="P297" s="321">
        <v>0.33</v>
      </c>
      <c r="Q297" s="321">
        <v>0.34</v>
      </c>
      <c r="R297" s="321">
        <v>0.34</v>
      </c>
      <c r="S297" s="321">
        <v>0.34</v>
      </c>
      <c r="T297" s="321">
        <v>0.34</v>
      </c>
      <c r="U297" s="321">
        <v>6.8000000000000005E-2</v>
      </c>
      <c r="V297" s="308">
        <f t="shared" si="38"/>
        <v>4.0019999999999998</v>
      </c>
      <c r="W297" s="308">
        <v>361.97</v>
      </c>
      <c r="X297" s="308">
        <f t="shared" si="39"/>
        <v>1448.60394</v>
      </c>
      <c r="Y297" s="322" t="s">
        <v>74</v>
      </c>
      <c r="Z297" s="575"/>
      <c r="AA297" s="567"/>
    </row>
    <row r="298" spans="1:27" s="318" customFormat="1" ht="15" customHeight="1" outlineLevel="1">
      <c r="A298" s="282">
        <v>294</v>
      </c>
      <c r="B298" s="282" t="s">
        <v>1</v>
      </c>
      <c r="C298" s="312" t="s">
        <v>557</v>
      </c>
      <c r="D298" s="313" t="s">
        <v>558</v>
      </c>
      <c r="E298" s="314" t="s">
        <v>557</v>
      </c>
      <c r="F298" s="553" t="str">
        <f t="shared" si="37"/>
        <v>REALConjunto de aterramento temporário para subestações até 36kV</v>
      </c>
      <c r="G298" s="609">
        <f>Y298</f>
        <v>0.24987506246876565</v>
      </c>
      <c r="H298" s="315" t="s">
        <v>228</v>
      </c>
      <c r="I298" s="323">
        <v>0.25</v>
      </c>
      <c r="J298" s="323">
        <v>0.25</v>
      </c>
      <c r="K298" s="323">
        <v>0.25</v>
      </c>
      <c r="L298" s="323">
        <v>0.25</v>
      </c>
      <c r="M298" s="323"/>
      <c r="N298" s="323"/>
      <c r="O298" s="323"/>
      <c r="P298" s="323"/>
      <c r="Q298" s="323"/>
      <c r="R298" s="323"/>
      <c r="S298" s="323"/>
      <c r="T298" s="323"/>
      <c r="U298" s="323"/>
      <c r="V298" s="316">
        <f t="shared" si="38"/>
        <v>1</v>
      </c>
      <c r="W298" s="316">
        <v>361.97</v>
      </c>
      <c r="X298" s="316">
        <f t="shared" si="39"/>
        <v>361.97</v>
      </c>
      <c r="Y298" s="322">
        <f>X298/X297</f>
        <v>0.24987506246876565</v>
      </c>
      <c r="Z298" s="572"/>
      <c r="AA298" s="567"/>
    </row>
    <row r="299" spans="1:27" s="311" customFormat="1" ht="15" customHeight="1" outlineLevel="1">
      <c r="A299" s="273">
        <v>295</v>
      </c>
      <c r="B299" s="273" t="s">
        <v>0</v>
      </c>
      <c r="C299" s="305" t="s">
        <v>559</v>
      </c>
      <c r="D299" s="306" t="s">
        <v>560</v>
      </c>
      <c r="E299" s="307" t="s">
        <v>559</v>
      </c>
      <c r="F299" s="553" t="str">
        <f t="shared" si="37"/>
        <v>PREVConjunto de chaves básicas para eletricista com 06 peças</v>
      </c>
      <c r="G299" s="611" t="s">
        <v>74</v>
      </c>
      <c r="H299" s="307" t="s">
        <v>228</v>
      </c>
      <c r="I299" s="321">
        <v>0.93599999999999994</v>
      </c>
      <c r="J299" s="321">
        <v>1.17</v>
      </c>
      <c r="K299" s="321">
        <v>1.17</v>
      </c>
      <c r="L299" s="321">
        <v>1.17</v>
      </c>
      <c r="M299" s="321">
        <v>1.17</v>
      </c>
      <c r="N299" s="321">
        <v>1.17</v>
      </c>
      <c r="O299" s="321">
        <v>1.17</v>
      </c>
      <c r="P299" s="321">
        <v>1.17</v>
      </c>
      <c r="Q299" s="321">
        <v>1.1599999999999999</v>
      </c>
      <c r="R299" s="321">
        <v>1.1599999999999999</v>
      </c>
      <c r="S299" s="321">
        <v>1.1599999999999999</v>
      </c>
      <c r="T299" s="321">
        <v>1.1599999999999999</v>
      </c>
      <c r="U299" s="321">
        <v>0.23199999999999998</v>
      </c>
      <c r="V299" s="308">
        <f t="shared" si="38"/>
        <v>13.997999999999999</v>
      </c>
      <c r="W299" s="308">
        <v>27.88</v>
      </c>
      <c r="X299" s="308">
        <f t="shared" si="39"/>
        <v>390.26423999999997</v>
      </c>
      <c r="Y299" s="322" t="s">
        <v>74</v>
      </c>
      <c r="Z299" s="575"/>
      <c r="AA299" s="567"/>
    </row>
    <row r="300" spans="1:27" s="318" customFormat="1" ht="15" customHeight="1" outlineLevel="1">
      <c r="A300" s="282">
        <v>296</v>
      </c>
      <c r="B300" s="282" t="s">
        <v>1</v>
      </c>
      <c r="C300" s="312" t="s">
        <v>559</v>
      </c>
      <c r="D300" s="313" t="s">
        <v>560</v>
      </c>
      <c r="E300" s="314" t="s">
        <v>559</v>
      </c>
      <c r="F300" s="553" t="str">
        <f t="shared" si="37"/>
        <v>REALConjunto de chaves básicas para eletricista com 06 peças</v>
      </c>
      <c r="G300" s="609">
        <f>Y300</f>
        <v>0.25003571938848407</v>
      </c>
      <c r="H300" s="315" t="s">
        <v>228</v>
      </c>
      <c r="I300" s="323">
        <v>0.58333333333333337</v>
      </c>
      <c r="J300" s="323">
        <v>0.58333333333333337</v>
      </c>
      <c r="K300" s="323">
        <v>1.1666666666666667</v>
      </c>
      <c r="L300" s="323">
        <v>1.1666666666666667</v>
      </c>
      <c r="M300" s="323"/>
      <c r="N300" s="323"/>
      <c r="O300" s="323"/>
      <c r="P300" s="323"/>
      <c r="Q300" s="323"/>
      <c r="R300" s="323"/>
      <c r="S300" s="323"/>
      <c r="T300" s="323"/>
      <c r="U300" s="323"/>
      <c r="V300" s="316">
        <f t="shared" si="38"/>
        <v>3.5</v>
      </c>
      <c r="W300" s="316">
        <v>27.88</v>
      </c>
      <c r="X300" s="316">
        <f t="shared" si="39"/>
        <v>97.58</v>
      </c>
      <c r="Y300" s="322">
        <f>X300/X299</f>
        <v>0.25003571938848407</v>
      </c>
      <c r="Z300" s="572"/>
      <c r="AA300" s="567"/>
    </row>
    <row r="301" spans="1:27" s="311" customFormat="1" ht="15" customHeight="1" outlineLevel="1">
      <c r="A301" s="273">
        <v>297</v>
      </c>
      <c r="B301" s="273" t="s">
        <v>0</v>
      </c>
      <c r="C301" s="305" t="s">
        <v>561</v>
      </c>
      <c r="D301" s="306" t="s">
        <v>562</v>
      </c>
      <c r="E301" s="307" t="s">
        <v>561</v>
      </c>
      <c r="F301" s="553" t="str">
        <f t="shared" si="37"/>
        <v>PREVDetector de Tensão por contato 1kV</v>
      </c>
      <c r="G301" s="611" t="s">
        <v>74</v>
      </c>
      <c r="H301" s="307" t="s">
        <v>228</v>
      </c>
      <c r="I301" s="321">
        <v>2.2000000000000002</v>
      </c>
      <c r="J301" s="321">
        <v>2.75</v>
      </c>
      <c r="K301" s="321">
        <v>2.75</v>
      </c>
      <c r="L301" s="321">
        <v>2.75</v>
      </c>
      <c r="M301" s="321">
        <v>2.75</v>
      </c>
      <c r="N301" s="321">
        <v>2.75</v>
      </c>
      <c r="O301" s="321">
        <v>2.75</v>
      </c>
      <c r="P301" s="321">
        <v>2.75</v>
      </c>
      <c r="Q301" s="321">
        <v>2.75</v>
      </c>
      <c r="R301" s="321">
        <v>2.75</v>
      </c>
      <c r="S301" s="321">
        <v>2.75</v>
      </c>
      <c r="T301" s="321">
        <v>2.75</v>
      </c>
      <c r="U301" s="321">
        <v>0.55000000000000004</v>
      </c>
      <c r="V301" s="308">
        <f t="shared" si="38"/>
        <v>33</v>
      </c>
      <c r="W301" s="308">
        <v>241.6</v>
      </c>
      <c r="X301" s="308">
        <f t="shared" si="39"/>
        <v>7972.8</v>
      </c>
      <c r="Y301" s="322" t="s">
        <v>74</v>
      </c>
      <c r="Z301" s="575"/>
      <c r="AA301" s="567"/>
    </row>
    <row r="302" spans="1:27" s="318" customFormat="1" ht="15" customHeight="1" outlineLevel="1">
      <c r="A302" s="282">
        <v>298</v>
      </c>
      <c r="B302" s="282" t="s">
        <v>1</v>
      </c>
      <c r="C302" s="312" t="s">
        <v>561</v>
      </c>
      <c r="D302" s="313" t="s">
        <v>562</v>
      </c>
      <c r="E302" s="314" t="s">
        <v>561</v>
      </c>
      <c r="F302" s="553" t="str">
        <f t="shared" si="37"/>
        <v>REALDetector de Tensão por contato 1kV</v>
      </c>
      <c r="G302" s="609">
        <f>Y302</f>
        <v>0.25252525252525254</v>
      </c>
      <c r="H302" s="315" t="s">
        <v>228</v>
      </c>
      <c r="I302" s="323">
        <v>1.4166666666666667</v>
      </c>
      <c r="J302" s="323">
        <v>1.4166666666666667</v>
      </c>
      <c r="K302" s="323">
        <v>2.75</v>
      </c>
      <c r="L302" s="323">
        <v>2.75</v>
      </c>
      <c r="M302" s="323"/>
      <c r="N302" s="323"/>
      <c r="O302" s="323"/>
      <c r="P302" s="323"/>
      <c r="Q302" s="323"/>
      <c r="R302" s="323"/>
      <c r="S302" s="323"/>
      <c r="T302" s="323"/>
      <c r="U302" s="323"/>
      <c r="V302" s="316">
        <f t="shared" si="38"/>
        <v>8.3333333333333339</v>
      </c>
      <c r="W302" s="316">
        <v>241.6</v>
      </c>
      <c r="X302" s="316">
        <f t="shared" si="39"/>
        <v>2013.3333333333335</v>
      </c>
      <c r="Y302" s="322">
        <f>X302/X301</f>
        <v>0.25252525252525254</v>
      </c>
      <c r="Z302" s="572"/>
      <c r="AA302" s="567"/>
    </row>
    <row r="303" spans="1:27" s="311" customFormat="1" ht="15" customHeight="1" outlineLevel="1">
      <c r="A303" s="273">
        <v>299</v>
      </c>
      <c r="B303" s="273" t="s">
        <v>0</v>
      </c>
      <c r="C303" s="305" t="s">
        <v>563</v>
      </c>
      <c r="D303" s="306" t="s">
        <v>564</v>
      </c>
      <c r="E303" s="307" t="s">
        <v>563</v>
      </c>
      <c r="F303" s="553" t="str">
        <f t="shared" si="37"/>
        <v>PREVDetector unipolar de tensão por aproximação ‐ 10 a 40KV</v>
      </c>
      <c r="G303" s="611" t="s">
        <v>74</v>
      </c>
      <c r="H303" s="307" t="s">
        <v>228</v>
      </c>
      <c r="I303" s="321">
        <v>1.2640000000000002</v>
      </c>
      <c r="J303" s="321">
        <v>1.58</v>
      </c>
      <c r="K303" s="321">
        <v>1.58</v>
      </c>
      <c r="L303" s="321">
        <v>1.58</v>
      </c>
      <c r="M303" s="321">
        <v>1.58</v>
      </c>
      <c r="N303" s="321">
        <v>1.58</v>
      </c>
      <c r="O303" s="321">
        <v>1.58</v>
      </c>
      <c r="P303" s="321">
        <v>1.58</v>
      </c>
      <c r="Q303" s="321">
        <v>1.59</v>
      </c>
      <c r="R303" s="321">
        <v>1.59</v>
      </c>
      <c r="S303" s="321">
        <v>1.59</v>
      </c>
      <c r="T303" s="321">
        <v>1.59</v>
      </c>
      <c r="U303" s="321">
        <v>0.31800000000000006</v>
      </c>
      <c r="V303" s="308">
        <f t="shared" si="38"/>
        <v>19.002000000000002</v>
      </c>
      <c r="W303" s="308">
        <v>223.89</v>
      </c>
      <c r="X303" s="308">
        <f t="shared" si="39"/>
        <v>4254.3577800000003</v>
      </c>
      <c r="Y303" s="322" t="s">
        <v>74</v>
      </c>
      <c r="Z303" s="575"/>
      <c r="AA303" s="567"/>
    </row>
    <row r="304" spans="1:27" s="318" customFormat="1" ht="15" customHeight="1" outlineLevel="1">
      <c r="A304" s="282">
        <v>300</v>
      </c>
      <c r="B304" s="282" t="s">
        <v>1</v>
      </c>
      <c r="C304" s="312" t="s">
        <v>563</v>
      </c>
      <c r="D304" s="313" t="s">
        <v>564</v>
      </c>
      <c r="E304" s="314" t="s">
        <v>563</v>
      </c>
      <c r="F304" s="553" t="str">
        <f t="shared" si="37"/>
        <v>REALDetector unipolar de tensão por aproximação ‐ 10 a 40KV</v>
      </c>
      <c r="G304" s="609">
        <f>Y304</f>
        <v>7.8939059046416155E-2</v>
      </c>
      <c r="H304" s="315" t="s">
        <v>228</v>
      </c>
      <c r="I304" s="323">
        <v>0.33333333333333331</v>
      </c>
      <c r="J304" s="323">
        <v>0.33333333333333331</v>
      </c>
      <c r="K304" s="323">
        <v>0.33333333333333331</v>
      </c>
      <c r="L304" s="323">
        <v>0.5</v>
      </c>
      <c r="M304" s="323"/>
      <c r="N304" s="323"/>
      <c r="O304" s="323"/>
      <c r="P304" s="323"/>
      <c r="Q304" s="323"/>
      <c r="R304" s="323"/>
      <c r="S304" s="323"/>
      <c r="T304" s="323"/>
      <c r="U304" s="323"/>
      <c r="V304" s="316">
        <f t="shared" si="38"/>
        <v>1.5</v>
      </c>
      <c r="W304" s="316">
        <v>223.89</v>
      </c>
      <c r="X304" s="316">
        <f t="shared" si="39"/>
        <v>335.83499999999998</v>
      </c>
      <c r="Y304" s="322">
        <f>X304/X303</f>
        <v>7.8939059046416155E-2</v>
      </c>
      <c r="Z304" s="572"/>
      <c r="AA304" s="567"/>
    </row>
    <row r="305" spans="1:27" s="311" customFormat="1" ht="15" customHeight="1" outlineLevel="1">
      <c r="A305" s="273">
        <v>301</v>
      </c>
      <c r="B305" s="273" t="s">
        <v>0</v>
      </c>
      <c r="C305" s="305" t="s">
        <v>565</v>
      </c>
      <c r="D305" s="306" t="s">
        <v>566</v>
      </c>
      <c r="E305" s="307" t="s">
        <v>565</v>
      </c>
      <c r="F305" s="553" t="str">
        <f t="shared" si="37"/>
        <v>PREVEncerado de lona (3x2 m)</v>
      </c>
      <c r="G305" s="611" t="s">
        <v>74</v>
      </c>
      <c r="H305" s="307" t="s">
        <v>228</v>
      </c>
      <c r="I305" s="321">
        <v>0.93599999999999994</v>
      </c>
      <c r="J305" s="321">
        <v>1.17</v>
      </c>
      <c r="K305" s="321">
        <v>1.17</v>
      </c>
      <c r="L305" s="321">
        <v>1.17</v>
      </c>
      <c r="M305" s="321">
        <v>1.17</v>
      </c>
      <c r="N305" s="321">
        <v>1.17</v>
      </c>
      <c r="O305" s="321">
        <v>1.17</v>
      </c>
      <c r="P305" s="321">
        <v>1.17</v>
      </c>
      <c r="Q305" s="321">
        <v>1.1599999999999999</v>
      </c>
      <c r="R305" s="321">
        <v>1.1599999999999999</v>
      </c>
      <c r="S305" s="321">
        <v>1.1599999999999999</v>
      </c>
      <c r="T305" s="321">
        <v>1.1599999999999999</v>
      </c>
      <c r="U305" s="321">
        <v>0.23199999999999998</v>
      </c>
      <c r="V305" s="308">
        <f t="shared" si="38"/>
        <v>13.997999999999999</v>
      </c>
      <c r="W305" s="308">
        <v>11.79</v>
      </c>
      <c r="X305" s="308">
        <f t="shared" si="39"/>
        <v>165.03641999999999</v>
      </c>
      <c r="Y305" s="322" t="s">
        <v>74</v>
      </c>
      <c r="Z305" s="575"/>
      <c r="AA305" s="567"/>
    </row>
    <row r="306" spans="1:27" s="318" customFormat="1" ht="15" customHeight="1" outlineLevel="1">
      <c r="A306" s="282">
        <v>302</v>
      </c>
      <c r="B306" s="282" t="s">
        <v>1</v>
      </c>
      <c r="C306" s="312" t="s">
        <v>565</v>
      </c>
      <c r="D306" s="313" t="s">
        <v>566</v>
      </c>
      <c r="E306" s="314" t="s">
        <v>565</v>
      </c>
      <c r="F306" s="553" t="str">
        <f t="shared" si="37"/>
        <v>REALEncerado de lona (3x2 m)</v>
      </c>
      <c r="G306" s="609">
        <f>Y306</f>
        <v>0.2857551078725532</v>
      </c>
      <c r="H306" s="315" t="s">
        <v>228</v>
      </c>
      <c r="I306" s="323">
        <v>0.83333333333333337</v>
      </c>
      <c r="J306" s="323">
        <v>0.83333333333333337</v>
      </c>
      <c r="K306" s="323">
        <v>1.1666666666666667</v>
      </c>
      <c r="L306" s="323">
        <v>1.1666666666666667</v>
      </c>
      <c r="M306" s="323"/>
      <c r="N306" s="323"/>
      <c r="O306" s="323"/>
      <c r="P306" s="323"/>
      <c r="Q306" s="323"/>
      <c r="R306" s="323"/>
      <c r="S306" s="323"/>
      <c r="T306" s="323"/>
      <c r="U306" s="323"/>
      <c r="V306" s="316">
        <f t="shared" si="38"/>
        <v>4</v>
      </c>
      <c r="W306" s="316">
        <v>11.79</v>
      </c>
      <c r="X306" s="316">
        <f t="shared" si="39"/>
        <v>47.16</v>
      </c>
      <c r="Y306" s="322">
        <f>X306/X305</f>
        <v>0.2857551078725532</v>
      </c>
      <c r="Z306" s="572"/>
      <c r="AA306" s="567"/>
    </row>
    <row r="307" spans="1:27" s="311" customFormat="1" ht="15" customHeight="1" outlineLevel="1">
      <c r="A307" s="273">
        <v>303</v>
      </c>
      <c r="B307" s="273" t="s">
        <v>0</v>
      </c>
      <c r="C307" s="305" t="s">
        <v>567</v>
      </c>
      <c r="D307" s="306" t="s">
        <v>568</v>
      </c>
      <c r="E307" s="307" t="s">
        <v>567</v>
      </c>
      <c r="F307" s="553" t="str">
        <f t="shared" si="37"/>
        <v>PREVEscada perfil "U" de fibra de vidro extensiva ‐ altura esticada 8,40 m ‐ 15 kV</v>
      </c>
      <c r="G307" s="611" t="s">
        <v>74</v>
      </c>
      <c r="H307" s="307" t="s">
        <v>228</v>
      </c>
      <c r="I307" s="321">
        <v>0.93599999999999994</v>
      </c>
      <c r="J307" s="321">
        <v>1.17</v>
      </c>
      <c r="K307" s="321">
        <v>1.17</v>
      </c>
      <c r="L307" s="321">
        <v>1.17</v>
      </c>
      <c r="M307" s="321">
        <v>1.17</v>
      </c>
      <c r="N307" s="321">
        <v>1.17</v>
      </c>
      <c r="O307" s="321">
        <v>1.17</v>
      </c>
      <c r="P307" s="321">
        <v>1.17</v>
      </c>
      <c r="Q307" s="321">
        <v>1.1599999999999999</v>
      </c>
      <c r="R307" s="321">
        <v>1.1599999999999999</v>
      </c>
      <c r="S307" s="321">
        <v>1.1599999999999999</v>
      </c>
      <c r="T307" s="321">
        <v>1.1599999999999999</v>
      </c>
      <c r="U307" s="321">
        <v>0.23199999999999998</v>
      </c>
      <c r="V307" s="308">
        <f t="shared" si="38"/>
        <v>13.997999999999999</v>
      </c>
      <c r="W307" s="308">
        <v>355.69</v>
      </c>
      <c r="X307" s="308">
        <f t="shared" si="39"/>
        <v>4978.9486200000001</v>
      </c>
      <c r="Y307" s="322" t="s">
        <v>74</v>
      </c>
      <c r="Z307" s="575"/>
      <c r="AA307" s="567"/>
    </row>
    <row r="308" spans="1:27" s="318" customFormat="1" ht="15" customHeight="1" outlineLevel="1">
      <c r="A308" s="282">
        <v>304</v>
      </c>
      <c r="B308" s="282" t="s">
        <v>1</v>
      </c>
      <c r="C308" s="312" t="s">
        <v>567</v>
      </c>
      <c r="D308" s="313" t="s">
        <v>568</v>
      </c>
      <c r="E308" s="314" t="s">
        <v>567</v>
      </c>
      <c r="F308" s="553" t="str">
        <f t="shared" si="37"/>
        <v>REALEscada perfil "U" de fibra de vidro extensiva ‐ altura esticada 8,40 m ‐ 15 kV</v>
      </c>
      <c r="G308" s="609">
        <f>Y308</f>
        <v>0.23812925656046102</v>
      </c>
      <c r="H308" s="315" t="s">
        <v>228</v>
      </c>
      <c r="I308" s="323">
        <v>0.83333333333333337</v>
      </c>
      <c r="J308" s="323">
        <v>0.83333333333333337</v>
      </c>
      <c r="K308" s="323">
        <v>0.83333333333333337</v>
      </c>
      <c r="L308" s="323">
        <v>0.83333333333333337</v>
      </c>
      <c r="M308" s="323"/>
      <c r="N308" s="323"/>
      <c r="O308" s="323"/>
      <c r="P308" s="323"/>
      <c r="Q308" s="323"/>
      <c r="R308" s="323"/>
      <c r="S308" s="323"/>
      <c r="T308" s="323"/>
      <c r="U308" s="323"/>
      <c r="V308" s="316">
        <f t="shared" si="38"/>
        <v>3.3333333333333335</v>
      </c>
      <c r="W308" s="316">
        <v>355.69</v>
      </c>
      <c r="X308" s="316">
        <f t="shared" si="39"/>
        <v>1185.6333333333334</v>
      </c>
      <c r="Y308" s="322">
        <f>X308/X307</f>
        <v>0.23812925656046102</v>
      </c>
      <c r="Z308" s="572"/>
      <c r="AA308" s="567"/>
    </row>
    <row r="309" spans="1:27" s="311" customFormat="1" ht="15" customHeight="1" outlineLevel="1">
      <c r="A309" s="273">
        <v>305</v>
      </c>
      <c r="B309" s="273" t="s">
        <v>0</v>
      </c>
      <c r="C309" s="305" t="s">
        <v>569</v>
      </c>
      <c r="D309" s="306" t="s">
        <v>570</v>
      </c>
      <c r="E309" s="307" t="s">
        <v>569</v>
      </c>
      <c r="F309" s="553" t="str">
        <f t="shared" si="37"/>
        <v>PREVEscada de fibra de vidro tipo "A" (subestações) ‐ 10 degraus</v>
      </c>
      <c r="G309" s="611" t="s">
        <v>74</v>
      </c>
      <c r="H309" s="307" t="s">
        <v>228</v>
      </c>
      <c r="I309" s="321">
        <v>0.26400000000000001</v>
      </c>
      <c r="J309" s="321">
        <v>0.33</v>
      </c>
      <c r="K309" s="321">
        <v>0.33</v>
      </c>
      <c r="L309" s="321">
        <v>0.33</v>
      </c>
      <c r="M309" s="321">
        <v>0.33</v>
      </c>
      <c r="N309" s="321">
        <v>0.33</v>
      </c>
      <c r="O309" s="321">
        <v>0.33</v>
      </c>
      <c r="P309" s="321">
        <v>0.33</v>
      </c>
      <c r="Q309" s="321">
        <v>0.34</v>
      </c>
      <c r="R309" s="321">
        <v>0.34</v>
      </c>
      <c r="S309" s="321">
        <v>0.34</v>
      </c>
      <c r="T309" s="321">
        <v>0.34</v>
      </c>
      <c r="U309" s="321">
        <v>6.8000000000000005E-2</v>
      </c>
      <c r="V309" s="308">
        <f t="shared" si="38"/>
        <v>4.0019999999999998</v>
      </c>
      <c r="W309" s="308">
        <v>313.02999999999997</v>
      </c>
      <c r="X309" s="308">
        <f t="shared" si="39"/>
        <v>1252.7460599999997</v>
      </c>
      <c r="Y309" s="322" t="s">
        <v>74</v>
      </c>
      <c r="Z309" s="575"/>
      <c r="AA309" s="567"/>
    </row>
    <row r="310" spans="1:27" s="318" customFormat="1" ht="15" customHeight="1" outlineLevel="1">
      <c r="A310" s="282">
        <v>306</v>
      </c>
      <c r="B310" s="282" t="s">
        <v>1</v>
      </c>
      <c r="C310" s="312" t="s">
        <v>569</v>
      </c>
      <c r="D310" s="313" t="s">
        <v>570</v>
      </c>
      <c r="E310" s="314" t="s">
        <v>569</v>
      </c>
      <c r="F310" s="553" t="str">
        <f t="shared" si="37"/>
        <v>REALEscada de fibra de vidro tipo "A" (subestações) ‐ 10 degraus</v>
      </c>
      <c r="G310" s="609">
        <f>Y310</f>
        <v>0.24987506246876565</v>
      </c>
      <c r="H310" s="315" t="s">
        <v>228</v>
      </c>
      <c r="I310" s="323">
        <v>0.16666666666666666</v>
      </c>
      <c r="J310" s="323">
        <v>0.16666666666666666</v>
      </c>
      <c r="K310" s="323">
        <v>0.33333333333333331</v>
      </c>
      <c r="L310" s="323">
        <v>0.33333333333333331</v>
      </c>
      <c r="M310" s="323"/>
      <c r="N310" s="323"/>
      <c r="O310" s="323"/>
      <c r="P310" s="323"/>
      <c r="Q310" s="323"/>
      <c r="R310" s="323"/>
      <c r="S310" s="323"/>
      <c r="T310" s="323"/>
      <c r="U310" s="323"/>
      <c r="V310" s="316">
        <f t="shared" si="38"/>
        <v>1</v>
      </c>
      <c r="W310" s="316">
        <v>313.02999999999997</v>
      </c>
      <c r="X310" s="316">
        <f t="shared" si="39"/>
        <v>313.02999999999997</v>
      </c>
      <c r="Y310" s="322">
        <f>X310/X309</f>
        <v>0.24987506246876565</v>
      </c>
      <c r="Z310" s="572"/>
      <c r="AA310" s="567"/>
    </row>
    <row r="311" spans="1:27" s="311" customFormat="1" ht="15" customHeight="1" outlineLevel="1">
      <c r="A311" s="273">
        <v>307</v>
      </c>
      <c r="B311" s="273" t="s">
        <v>0</v>
      </c>
      <c r="C311" s="305" t="s">
        <v>571</v>
      </c>
      <c r="D311" s="306" t="s">
        <v>572</v>
      </c>
      <c r="E311" s="307" t="s">
        <v>571</v>
      </c>
      <c r="F311" s="553" t="str">
        <f t="shared" si="37"/>
        <v>PREVEscova com cerdas de aço para condutores</v>
      </c>
      <c r="G311" s="611" t="s">
        <v>74</v>
      </c>
      <c r="H311" s="307" t="s">
        <v>228</v>
      </c>
      <c r="I311" s="321">
        <v>0.93599999999999994</v>
      </c>
      <c r="J311" s="321">
        <v>1.17</v>
      </c>
      <c r="K311" s="321">
        <v>1.17</v>
      </c>
      <c r="L311" s="321">
        <v>1.17</v>
      </c>
      <c r="M311" s="321">
        <v>1.17</v>
      </c>
      <c r="N311" s="321">
        <v>1.17</v>
      </c>
      <c r="O311" s="321">
        <v>1.17</v>
      </c>
      <c r="P311" s="321">
        <v>1.17</v>
      </c>
      <c r="Q311" s="321">
        <v>1.1599999999999999</v>
      </c>
      <c r="R311" s="321">
        <v>1.1599999999999999</v>
      </c>
      <c r="S311" s="321">
        <v>1.1599999999999999</v>
      </c>
      <c r="T311" s="321">
        <v>1.1599999999999999</v>
      </c>
      <c r="U311" s="321">
        <v>0.23199999999999998</v>
      </c>
      <c r="V311" s="463">
        <v>14</v>
      </c>
      <c r="W311" s="308">
        <v>12.79</v>
      </c>
      <c r="X311" s="308">
        <f t="shared" si="39"/>
        <v>179.06</v>
      </c>
      <c r="Y311" s="322" t="s">
        <v>74</v>
      </c>
      <c r="Z311" s="575"/>
      <c r="AA311" s="567"/>
    </row>
    <row r="312" spans="1:27" s="318" customFormat="1" ht="15" customHeight="1" outlineLevel="1">
      <c r="A312" s="282">
        <v>308</v>
      </c>
      <c r="B312" s="282" t="s">
        <v>1</v>
      </c>
      <c r="C312" s="312" t="s">
        <v>571</v>
      </c>
      <c r="D312" s="313" t="s">
        <v>572</v>
      </c>
      <c r="E312" s="314" t="s">
        <v>571</v>
      </c>
      <c r="F312" s="553" t="str">
        <f t="shared" si="37"/>
        <v>REALEscova com cerdas de aço para condutores</v>
      </c>
      <c r="G312" s="609">
        <f>Y312</f>
        <v>0.5</v>
      </c>
      <c r="H312" s="315" t="s">
        <v>228</v>
      </c>
      <c r="I312" s="323">
        <v>2</v>
      </c>
      <c r="J312" s="323">
        <v>2</v>
      </c>
      <c r="K312" s="323">
        <v>2</v>
      </c>
      <c r="L312" s="323">
        <v>1</v>
      </c>
      <c r="M312" s="323"/>
      <c r="N312" s="323"/>
      <c r="O312" s="323"/>
      <c r="P312" s="323"/>
      <c r="Q312" s="323"/>
      <c r="R312" s="323"/>
      <c r="S312" s="323"/>
      <c r="T312" s="323"/>
      <c r="U312" s="323"/>
      <c r="V312" s="464">
        <f t="shared" ref="V312:V343" si="40">SUM(I312:U312)</f>
        <v>7</v>
      </c>
      <c r="W312" s="316">
        <v>12.79</v>
      </c>
      <c r="X312" s="316">
        <f t="shared" si="39"/>
        <v>89.53</v>
      </c>
      <c r="Y312" s="322">
        <f>X312/X311</f>
        <v>0.5</v>
      </c>
      <c r="Z312" s="572"/>
      <c r="AA312" s="567"/>
    </row>
    <row r="313" spans="1:27" s="311" customFormat="1" ht="15" customHeight="1" outlineLevel="1">
      <c r="A313" s="273">
        <v>309</v>
      </c>
      <c r="B313" s="273" t="s">
        <v>0</v>
      </c>
      <c r="C313" s="305" t="s">
        <v>573</v>
      </c>
      <c r="D313" s="306" t="s">
        <v>574</v>
      </c>
      <c r="E313" s="307" t="s">
        <v>573</v>
      </c>
      <c r="F313" s="553" t="str">
        <f t="shared" si="37"/>
        <v>PREVFacão para mato, 18 pol</v>
      </c>
      <c r="G313" s="611" t="s">
        <v>74</v>
      </c>
      <c r="H313" s="307" t="s">
        <v>228</v>
      </c>
      <c r="I313" s="321">
        <v>0.93599999999999994</v>
      </c>
      <c r="J313" s="321">
        <v>1.17</v>
      </c>
      <c r="K313" s="321">
        <v>1.17</v>
      </c>
      <c r="L313" s="321">
        <v>1.17</v>
      </c>
      <c r="M313" s="321">
        <v>1.17</v>
      </c>
      <c r="N313" s="321">
        <v>1.17</v>
      </c>
      <c r="O313" s="321">
        <v>1.17</v>
      </c>
      <c r="P313" s="321">
        <v>1.17</v>
      </c>
      <c r="Q313" s="321">
        <v>1.1599999999999999</v>
      </c>
      <c r="R313" s="321">
        <v>1.1599999999999999</v>
      </c>
      <c r="S313" s="321">
        <v>1.1599999999999999</v>
      </c>
      <c r="T313" s="321">
        <v>1.1599999999999999</v>
      </c>
      <c r="U313" s="321">
        <v>0.23199999999999998</v>
      </c>
      <c r="V313" s="308">
        <f t="shared" si="40"/>
        <v>13.997999999999999</v>
      </c>
      <c r="W313" s="308">
        <v>3.92</v>
      </c>
      <c r="X313" s="308">
        <f t="shared" si="39"/>
        <v>54.872159999999994</v>
      </c>
      <c r="Y313" s="322" t="s">
        <v>74</v>
      </c>
      <c r="Z313" s="575"/>
      <c r="AA313" s="567"/>
    </row>
    <row r="314" spans="1:27" s="318" customFormat="1" ht="15" customHeight="1" outlineLevel="1">
      <c r="A314" s="282">
        <v>310</v>
      </c>
      <c r="B314" s="282" t="s">
        <v>1</v>
      </c>
      <c r="C314" s="312" t="s">
        <v>573</v>
      </c>
      <c r="D314" s="313" t="s">
        <v>574</v>
      </c>
      <c r="E314" s="314" t="s">
        <v>573</v>
      </c>
      <c r="F314" s="553" t="str">
        <f t="shared" si="37"/>
        <v>REALFacão para mato, 18 pol</v>
      </c>
      <c r="G314" s="609">
        <f>Y314</f>
        <v>0.33338095918464544</v>
      </c>
      <c r="H314" s="315" t="s">
        <v>228</v>
      </c>
      <c r="I314" s="323">
        <v>1.1666666666666667</v>
      </c>
      <c r="J314" s="323">
        <v>1.1666666666666667</v>
      </c>
      <c r="K314" s="323">
        <v>1.1666666666666667</v>
      </c>
      <c r="L314" s="323">
        <v>1.1666666666666667</v>
      </c>
      <c r="M314" s="323"/>
      <c r="N314" s="323"/>
      <c r="O314" s="323"/>
      <c r="P314" s="323"/>
      <c r="Q314" s="323"/>
      <c r="R314" s="323"/>
      <c r="S314" s="323"/>
      <c r="T314" s="323"/>
      <c r="U314" s="323"/>
      <c r="V314" s="316">
        <f t="shared" si="40"/>
        <v>4.666666666666667</v>
      </c>
      <c r="W314" s="316">
        <v>3.92</v>
      </c>
      <c r="X314" s="316">
        <f t="shared" si="39"/>
        <v>18.293333333333333</v>
      </c>
      <c r="Y314" s="322">
        <f>X314/X313</f>
        <v>0.33338095918464544</v>
      </c>
      <c r="Z314" s="572"/>
      <c r="AA314" s="567"/>
    </row>
    <row r="315" spans="1:27" s="311" customFormat="1" ht="15" customHeight="1" outlineLevel="1">
      <c r="A315" s="273">
        <v>311</v>
      </c>
      <c r="B315" s="273" t="s">
        <v>0</v>
      </c>
      <c r="C315" s="305" t="s">
        <v>575</v>
      </c>
      <c r="D315" s="306" t="s">
        <v>576</v>
      </c>
      <c r="E315" s="307" t="s">
        <v>575</v>
      </c>
      <c r="F315" s="553" t="str">
        <f t="shared" si="37"/>
        <v>PREVFarol de punho</v>
      </c>
      <c r="G315" s="611" t="s">
        <v>74</v>
      </c>
      <c r="H315" s="307" t="s">
        <v>228</v>
      </c>
      <c r="I315" s="321">
        <v>0.93599999999999994</v>
      </c>
      <c r="J315" s="321">
        <v>1.17</v>
      </c>
      <c r="K315" s="321">
        <v>1.17</v>
      </c>
      <c r="L315" s="321">
        <v>1.17</v>
      </c>
      <c r="M315" s="321">
        <v>1.17</v>
      </c>
      <c r="N315" s="321">
        <v>1.17</v>
      </c>
      <c r="O315" s="321">
        <v>1.17</v>
      </c>
      <c r="P315" s="321">
        <v>1.17</v>
      </c>
      <c r="Q315" s="321">
        <v>1.1599999999999999</v>
      </c>
      <c r="R315" s="321">
        <v>1.1599999999999999</v>
      </c>
      <c r="S315" s="321">
        <v>1.1599999999999999</v>
      </c>
      <c r="T315" s="321">
        <v>1.1599999999999999</v>
      </c>
      <c r="U315" s="321">
        <v>0.23199999999999998</v>
      </c>
      <c r="V315" s="308">
        <f t="shared" si="40"/>
        <v>13.997999999999999</v>
      </c>
      <c r="W315" s="308">
        <v>26.73</v>
      </c>
      <c r="X315" s="308">
        <f t="shared" si="39"/>
        <v>374.16654</v>
      </c>
      <c r="Y315" s="322" t="s">
        <v>74</v>
      </c>
      <c r="Z315" s="575"/>
      <c r="AA315" s="567"/>
    </row>
    <row r="316" spans="1:27" s="318" customFormat="1" ht="15" customHeight="1" outlineLevel="1">
      <c r="A316" s="282">
        <v>312</v>
      </c>
      <c r="B316" s="282" t="s">
        <v>1</v>
      </c>
      <c r="C316" s="312" t="s">
        <v>575</v>
      </c>
      <c r="D316" s="313" t="s">
        <v>576</v>
      </c>
      <c r="E316" s="314" t="s">
        <v>575</v>
      </c>
      <c r="F316" s="553" t="str">
        <f t="shared" si="37"/>
        <v>REALFarol de punho</v>
      </c>
      <c r="G316" s="609">
        <f>Y316</f>
        <v>0.2143163309044149</v>
      </c>
      <c r="H316" s="315" t="s">
        <v>228</v>
      </c>
      <c r="I316" s="323">
        <v>0.33333333333333331</v>
      </c>
      <c r="J316" s="323">
        <v>0.33333333333333331</v>
      </c>
      <c r="K316" s="323">
        <v>1.1666666666666667</v>
      </c>
      <c r="L316" s="323">
        <v>1.1666666666666667</v>
      </c>
      <c r="M316" s="323"/>
      <c r="N316" s="323"/>
      <c r="O316" s="323"/>
      <c r="P316" s="323"/>
      <c r="Q316" s="323"/>
      <c r="R316" s="323"/>
      <c r="S316" s="323"/>
      <c r="T316" s="323"/>
      <c r="U316" s="323"/>
      <c r="V316" s="316">
        <f t="shared" si="40"/>
        <v>3</v>
      </c>
      <c r="W316" s="316">
        <v>26.73</v>
      </c>
      <c r="X316" s="316">
        <f t="shared" si="39"/>
        <v>80.19</v>
      </c>
      <c r="Y316" s="322">
        <f>X316/X315</f>
        <v>0.2143163309044149</v>
      </c>
      <c r="Z316" s="572"/>
      <c r="AA316" s="567"/>
    </row>
    <row r="317" spans="1:27" s="311" customFormat="1" ht="15" customHeight="1" outlineLevel="1">
      <c r="A317" s="273">
        <v>313</v>
      </c>
      <c r="B317" s="273" t="s">
        <v>0</v>
      </c>
      <c r="C317" s="305" t="s">
        <v>577</v>
      </c>
      <c r="D317" s="306" t="s">
        <v>578</v>
      </c>
      <c r="E317" s="307" t="s">
        <v>577</v>
      </c>
      <c r="F317" s="553" t="str">
        <f t="shared" si="37"/>
        <v>PREVFerramenta universal para bastão de manobra ‐ Adaptador de ferramentas</v>
      </c>
      <c r="G317" s="611" t="s">
        <v>74</v>
      </c>
      <c r="H317" s="307" t="s">
        <v>228</v>
      </c>
      <c r="I317" s="321">
        <v>0.26400000000000001</v>
      </c>
      <c r="J317" s="321">
        <v>0.33</v>
      </c>
      <c r="K317" s="321">
        <v>0.33</v>
      </c>
      <c r="L317" s="321">
        <v>0.33</v>
      </c>
      <c r="M317" s="321">
        <v>0.33</v>
      </c>
      <c r="N317" s="321">
        <v>0.33</v>
      </c>
      <c r="O317" s="321">
        <v>0.33</v>
      </c>
      <c r="P317" s="321">
        <v>0.33</v>
      </c>
      <c r="Q317" s="321">
        <v>0.34</v>
      </c>
      <c r="R317" s="321">
        <v>0.34</v>
      </c>
      <c r="S317" s="321">
        <v>0.34</v>
      </c>
      <c r="T317" s="321">
        <v>0.34</v>
      </c>
      <c r="U317" s="321">
        <v>6.8000000000000005E-2</v>
      </c>
      <c r="V317" s="308">
        <f t="shared" si="40"/>
        <v>4.0019999999999998</v>
      </c>
      <c r="W317" s="308">
        <v>26.73</v>
      </c>
      <c r="X317" s="308">
        <f t="shared" si="39"/>
        <v>106.97346</v>
      </c>
      <c r="Y317" s="322" t="s">
        <v>74</v>
      </c>
      <c r="Z317" s="575"/>
      <c r="AA317" s="567"/>
    </row>
    <row r="318" spans="1:27" s="318" customFormat="1" ht="15" customHeight="1" outlineLevel="1">
      <c r="A318" s="282">
        <v>314</v>
      </c>
      <c r="B318" s="282" t="s">
        <v>1</v>
      </c>
      <c r="C318" s="312" t="s">
        <v>577</v>
      </c>
      <c r="D318" s="313" t="s">
        <v>578</v>
      </c>
      <c r="E318" s="314" t="s">
        <v>577</v>
      </c>
      <c r="F318" s="553" t="str">
        <f t="shared" si="37"/>
        <v>REALFerramenta universal para bastão de manobra ‐ Adaptador de ferramentas</v>
      </c>
      <c r="G318" s="609">
        <f>Y318</f>
        <v>0.33316674995835416</v>
      </c>
      <c r="H318" s="315" t="s">
        <v>228</v>
      </c>
      <c r="I318" s="323">
        <v>0.33333333333333331</v>
      </c>
      <c r="J318" s="323">
        <v>0.33333333333333331</v>
      </c>
      <c r="K318" s="323">
        <v>0.33333333333333331</v>
      </c>
      <c r="L318" s="323">
        <v>0.33333333333333331</v>
      </c>
      <c r="M318" s="323"/>
      <c r="N318" s="323"/>
      <c r="O318" s="323"/>
      <c r="P318" s="323"/>
      <c r="Q318" s="323"/>
      <c r="R318" s="323"/>
      <c r="S318" s="323"/>
      <c r="T318" s="323"/>
      <c r="U318" s="323"/>
      <c r="V318" s="316">
        <f t="shared" si="40"/>
        <v>1.3333333333333333</v>
      </c>
      <c r="W318" s="316">
        <v>26.73</v>
      </c>
      <c r="X318" s="316">
        <f t="shared" si="39"/>
        <v>35.64</v>
      </c>
      <c r="Y318" s="322">
        <f>X318/X317</f>
        <v>0.33316674995835416</v>
      </c>
      <c r="Z318" s="572"/>
      <c r="AA318" s="567"/>
    </row>
    <row r="319" spans="1:27" s="311" customFormat="1" ht="15" customHeight="1" outlineLevel="1">
      <c r="A319" s="273">
        <v>315</v>
      </c>
      <c r="B319" s="273" t="s">
        <v>0</v>
      </c>
      <c r="C319" s="305" t="s">
        <v>579</v>
      </c>
      <c r="D319" s="306" t="s">
        <v>580</v>
      </c>
      <c r="E319" s="307" t="s">
        <v>579</v>
      </c>
      <c r="F319" s="553" t="str">
        <f t="shared" si="37"/>
        <v>PREVFerramenta universal para bastão de manobra ‐ Adaptador de peça</v>
      </c>
      <c r="G319" s="611" t="s">
        <v>74</v>
      </c>
      <c r="H319" s="307" t="s">
        <v>228</v>
      </c>
      <c r="I319" s="321">
        <v>0.26400000000000001</v>
      </c>
      <c r="J319" s="321">
        <v>0.33</v>
      </c>
      <c r="K319" s="321">
        <v>0.33</v>
      </c>
      <c r="L319" s="321">
        <v>0.33</v>
      </c>
      <c r="M319" s="321">
        <v>0.33</v>
      </c>
      <c r="N319" s="321">
        <v>0.33</v>
      </c>
      <c r="O319" s="321">
        <v>0.33</v>
      </c>
      <c r="P319" s="321">
        <v>0.33</v>
      </c>
      <c r="Q319" s="321">
        <v>0.34</v>
      </c>
      <c r="R319" s="321">
        <v>0.34</v>
      </c>
      <c r="S319" s="321">
        <v>0.34</v>
      </c>
      <c r="T319" s="321">
        <v>0.34</v>
      </c>
      <c r="U319" s="321">
        <v>6.8000000000000005E-2</v>
      </c>
      <c r="V319" s="308">
        <f t="shared" si="40"/>
        <v>4.0019999999999998</v>
      </c>
      <c r="W319" s="308">
        <v>18.98</v>
      </c>
      <c r="X319" s="308">
        <f t="shared" si="39"/>
        <v>75.95796</v>
      </c>
      <c r="Y319" s="322" t="s">
        <v>74</v>
      </c>
      <c r="Z319" s="575"/>
      <c r="AA319" s="567"/>
    </row>
    <row r="320" spans="1:27" s="318" customFormat="1" ht="15" customHeight="1" outlineLevel="1">
      <c r="A320" s="282">
        <v>316</v>
      </c>
      <c r="B320" s="282" t="s">
        <v>1</v>
      </c>
      <c r="C320" s="312" t="s">
        <v>579</v>
      </c>
      <c r="D320" s="313" t="s">
        <v>580</v>
      </c>
      <c r="E320" s="314" t="s">
        <v>579</v>
      </c>
      <c r="F320" s="553" t="str">
        <f t="shared" si="37"/>
        <v>REALFerramenta universal para bastão de manobra ‐ Adaptador de peça</v>
      </c>
      <c r="G320" s="609">
        <f>Y320</f>
        <v>0.33316674995835416</v>
      </c>
      <c r="H320" s="315" t="s">
        <v>228</v>
      </c>
      <c r="I320" s="323">
        <v>0.33333333333333331</v>
      </c>
      <c r="J320" s="323">
        <v>0.33333333333333331</v>
      </c>
      <c r="K320" s="323">
        <v>0.33333333333333331</v>
      </c>
      <c r="L320" s="323">
        <v>0.33333333333333331</v>
      </c>
      <c r="M320" s="323"/>
      <c r="N320" s="323"/>
      <c r="O320" s="323"/>
      <c r="P320" s="323"/>
      <c r="Q320" s="323"/>
      <c r="R320" s="323"/>
      <c r="S320" s="323"/>
      <c r="T320" s="323"/>
      <c r="U320" s="323"/>
      <c r="V320" s="316">
        <f t="shared" si="40"/>
        <v>1.3333333333333333</v>
      </c>
      <c r="W320" s="316">
        <v>18.98</v>
      </c>
      <c r="X320" s="316">
        <f t="shared" si="39"/>
        <v>25.306666666666665</v>
      </c>
      <c r="Y320" s="322">
        <f>X320/X319</f>
        <v>0.33316674995835416</v>
      </c>
      <c r="Z320" s="572"/>
      <c r="AA320" s="567"/>
    </row>
    <row r="321" spans="1:27" s="311" customFormat="1" ht="15" customHeight="1" outlineLevel="1">
      <c r="A321" s="273">
        <v>317</v>
      </c>
      <c r="B321" s="273" t="s">
        <v>0</v>
      </c>
      <c r="C321" s="305" t="s">
        <v>581</v>
      </c>
      <c r="D321" s="306" t="s">
        <v>582</v>
      </c>
      <c r="E321" s="307" t="s">
        <v>581</v>
      </c>
      <c r="F321" s="553" t="str">
        <f t="shared" si="37"/>
        <v>PREVFerramenta universal para bastão de manobra ‐ Adaptador universal</v>
      </c>
      <c r="G321" s="611" t="s">
        <v>74</v>
      </c>
      <c r="H321" s="307" t="s">
        <v>228</v>
      </c>
      <c r="I321" s="321">
        <v>0.26400000000000001</v>
      </c>
      <c r="J321" s="321">
        <v>0.33</v>
      </c>
      <c r="K321" s="321">
        <v>0.33</v>
      </c>
      <c r="L321" s="321">
        <v>0.33</v>
      </c>
      <c r="M321" s="321">
        <v>0.33</v>
      </c>
      <c r="N321" s="321">
        <v>0.33</v>
      </c>
      <c r="O321" s="321">
        <v>0.33</v>
      </c>
      <c r="P321" s="321">
        <v>0.33</v>
      </c>
      <c r="Q321" s="321">
        <v>0.34</v>
      </c>
      <c r="R321" s="321">
        <v>0.34</v>
      </c>
      <c r="S321" s="321">
        <v>0.34</v>
      </c>
      <c r="T321" s="321">
        <v>0.34</v>
      </c>
      <c r="U321" s="321">
        <v>6.8000000000000005E-2</v>
      </c>
      <c r="V321" s="308">
        <f t="shared" si="40"/>
        <v>4.0019999999999998</v>
      </c>
      <c r="W321" s="308">
        <v>67.39</v>
      </c>
      <c r="X321" s="308">
        <f t="shared" si="39"/>
        <v>269.69477999999998</v>
      </c>
      <c r="Y321" s="322" t="s">
        <v>74</v>
      </c>
      <c r="Z321" s="575"/>
      <c r="AA321" s="567"/>
    </row>
    <row r="322" spans="1:27" s="318" customFormat="1" ht="15" customHeight="1" outlineLevel="1">
      <c r="A322" s="282">
        <v>318</v>
      </c>
      <c r="B322" s="282" t="s">
        <v>1</v>
      </c>
      <c r="C322" s="312" t="s">
        <v>581</v>
      </c>
      <c r="D322" s="313" t="s">
        <v>582</v>
      </c>
      <c r="E322" s="314" t="s">
        <v>581</v>
      </c>
      <c r="F322" s="553" t="str">
        <f t="shared" si="37"/>
        <v>REALFerramenta universal para bastão de manobra ‐ Adaptador universal</v>
      </c>
      <c r="G322" s="609">
        <f>Y322</f>
        <v>0.33316674995835416</v>
      </c>
      <c r="H322" s="315" t="s">
        <v>228</v>
      </c>
      <c r="I322" s="323">
        <v>0.33333333333333331</v>
      </c>
      <c r="J322" s="323">
        <v>0.33333333333333331</v>
      </c>
      <c r="K322" s="323">
        <v>0.33333333333333331</v>
      </c>
      <c r="L322" s="323">
        <v>0.33333333333333331</v>
      </c>
      <c r="M322" s="323"/>
      <c r="N322" s="323"/>
      <c r="O322" s="323"/>
      <c r="P322" s="323"/>
      <c r="Q322" s="323"/>
      <c r="R322" s="323"/>
      <c r="S322" s="323"/>
      <c r="T322" s="323"/>
      <c r="U322" s="323"/>
      <c r="V322" s="316">
        <f t="shared" si="40"/>
        <v>1.3333333333333333</v>
      </c>
      <c r="W322" s="316">
        <v>67.39</v>
      </c>
      <c r="X322" s="316">
        <f t="shared" si="39"/>
        <v>89.853333333333325</v>
      </c>
      <c r="Y322" s="322">
        <f>X322/X321</f>
        <v>0.33316674995835416</v>
      </c>
      <c r="Z322" s="572"/>
      <c r="AA322" s="567"/>
    </row>
    <row r="323" spans="1:27" s="311" customFormat="1" ht="15" customHeight="1" outlineLevel="1">
      <c r="A323" s="273">
        <v>319</v>
      </c>
      <c r="B323" s="273" t="s">
        <v>0</v>
      </c>
      <c r="C323" s="305" t="s">
        <v>583</v>
      </c>
      <c r="D323" s="306" t="s">
        <v>584</v>
      </c>
      <c r="E323" s="307" t="s">
        <v>583</v>
      </c>
      <c r="F323" s="553" t="str">
        <f t="shared" si="37"/>
        <v>PREVFerramenta universal para bastão de manobra ‐ Cabeçote com gancho duplo</v>
      </c>
      <c r="G323" s="611" t="s">
        <v>74</v>
      </c>
      <c r="H323" s="307" t="s">
        <v>228</v>
      </c>
      <c r="I323" s="321">
        <v>0.26400000000000001</v>
      </c>
      <c r="J323" s="321">
        <v>0.33</v>
      </c>
      <c r="K323" s="321">
        <v>0.33</v>
      </c>
      <c r="L323" s="321">
        <v>0.33</v>
      </c>
      <c r="M323" s="321">
        <v>0.33</v>
      </c>
      <c r="N323" s="321">
        <v>0.33</v>
      </c>
      <c r="O323" s="321">
        <v>0.33</v>
      </c>
      <c r="P323" s="321">
        <v>0.33</v>
      </c>
      <c r="Q323" s="321">
        <v>0.34</v>
      </c>
      <c r="R323" s="321">
        <v>0.34</v>
      </c>
      <c r="S323" s="321">
        <v>0.34</v>
      </c>
      <c r="T323" s="321">
        <v>0.34</v>
      </c>
      <c r="U323" s="321">
        <v>6.8000000000000005E-2</v>
      </c>
      <c r="V323" s="308">
        <f t="shared" si="40"/>
        <v>4.0019999999999998</v>
      </c>
      <c r="W323" s="308">
        <v>18.98</v>
      </c>
      <c r="X323" s="308">
        <f t="shared" si="39"/>
        <v>75.95796</v>
      </c>
      <c r="Y323" s="322" t="s">
        <v>74</v>
      </c>
      <c r="Z323" s="575"/>
      <c r="AA323" s="567"/>
    </row>
    <row r="324" spans="1:27" s="318" customFormat="1" ht="15" customHeight="1" outlineLevel="1">
      <c r="A324" s="282">
        <v>320</v>
      </c>
      <c r="B324" s="282" t="s">
        <v>1</v>
      </c>
      <c r="C324" s="312" t="s">
        <v>583</v>
      </c>
      <c r="D324" s="313" t="s">
        <v>584</v>
      </c>
      <c r="E324" s="314" t="s">
        <v>583</v>
      </c>
      <c r="F324" s="553" t="str">
        <f t="shared" si="37"/>
        <v>REALFerramenta universal para bastão de manobra ‐ Cabeçote com gancho duplo</v>
      </c>
      <c r="G324" s="609">
        <f>Y324</f>
        <v>0</v>
      </c>
      <c r="H324" s="315" t="s">
        <v>228</v>
      </c>
      <c r="I324" s="323">
        <v>0</v>
      </c>
      <c r="J324" s="323">
        <v>0</v>
      </c>
      <c r="K324" s="323">
        <v>0</v>
      </c>
      <c r="L324" s="323">
        <v>0</v>
      </c>
      <c r="M324" s="323"/>
      <c r="N324" s="323"/>
      <c r="O324" s="323"/>
      <c r="P324" s="323"/>
      <c r="Q324" s="323"/>
      <c r="R324" s="323"/>
      <c r="S324" s="323"/>
      <c r="T324" s="323"/>
      <c r="U324" s="323"/>
      <c r="V324" s="316">
        <f t="shared" si="40"/>
        <v>0</v>
      </c>
      <c r="W324" s="316">
        <v>18.98</v>
      </c>
      <c r="X324" s="316">
        <f t="shared" si="39"/>
        <v>0</v>
      </c>
      <c r="Y324" s="322">
        <f>X324/X323</f>
        <v>0</v>
      </c>
      <c r="Z324" s="572"/>
      <c r="AA324" s="567"/>
    </row>
    <row r="325" spans="1:27" s="311" customFormat="1" ht="15" customHeight="1" outlineLevel="1">
      <c r="A325" s="273">
        <v>321</v>
      </c>
      <c r="B325" s="273" t="s">
        <v>0</v>
      </c>
      <c r="C325" s="305" t="s">
        <v>585</v>
      </c>
      <c r="D325" s="306" t="s">
        <v>586</v>
      </c>
      <c r="E325" s="307" t="s">
        <v>585</v>
      </c>
      <c r="F325" s="553" t="str">
        <f t="shared" si="37"/>
        <v>PREVFerramenta universal para bastão de manobra ‐ Cabeçote multi‐uso</v>
      </c>
      <c r="G325" s="611" t="s">
        <v>74</v>
      </c>
      <c r="H325" s="307" t="s">
        <v>228</v>
      </c>
      <c r="I325" s="321">
        <v>0.26400000000000001</v>
      </c>
      <c r="J325" s="321">
        <v>0.33</v>
      </c>
      <c r="K325" s="321">
        <v>0.33</v>
      </c>
      <c r="L325" s="321">
        <v>0.33</v>
      </c>
      <c r="M325" s="321">
        <v>0.33</v>
      </c>
      <c r="N325" s="321">
        <v>0.33</v>
      </c>
      <c r="O325" s="321">
        <v>0.33</v>
      </c>
      <c r="P325" s="321">
        <v>0.33</v>
      </c>
      <c r="Q325" s="321">
        <v>0.34</v>
      </c>
      <c r="R325" s="321">
        <v>0.34</v>
      </c>
      <c r="S325" s="321">
        <v>0.34</v>
      </c>
      <c r="T325" s="321">
        <v>0.34</v>
      </c>
      <c r="U325" s="321">
        <v>6.8000000000000005E-2</v>
      </c>
      <c r="V325" s="308">
        <f t="shared" si="40"/>
        <v>4.0019999999999998</v>
      </c>
      <c r="W325" s="308">
        <v>31.57</v>
      </c>
      <c r="X325" s="308">
        <f t="shared" si="39"/>
        <v>126.34313999999999</v>
      </c>
      <c r="Y325" s="322" t="s">
        <v>74</v>
      </c>
      <c r="Z325" s="575"/>
      <c r="AA325" s="567"/>
    </row>
    <row r="326" spans="1:27" s="318" customFormat="1" ht="15" customHeight="1" outlineLevel="1">
      <c r="A326" s="282">
        <v>322</v>
      </c>
      <c r="B326" s="282" t="s">
        <v>1</v>
      </c>
      <c r="C326" s="312" t="s">
        <v>585</v>
      </c>
      <c r="D326" s="313" t="s">
        <v>586</v>
      </c>
      <c r="E326" s="314" t="s">
        <v>585</v>
      </c>
      <c r="F326" s="553" t="str">
        <f t="shared" si="37"/>
        <v>REALFerramenta universal para bastão de manobra ‐ Cabeçote multi‐uso</v>
      </c>
      <c r="G326" s="609">
        <f>Y326</f>
        <v>0</v>
      </c>
      <c r="H326" s="315" t="s">
        <v>228</v>
      </c>
      <c r="I326" s="323">
        <v>0</v>
      </c>
      <c r="J326" s="323">
        <v>0</v>
      </c>
      <c r="K326" s="323">
        <v>0</v>
      </c>
      <c r="L326" s="323">
        <v>0</v>
      </c>
      <c r="M326" s="323"/>
      <c r="N326" s="323"/>
      <c r="O326" s="323"/>
      <c r="P326" s="323"/>
      <c r="Q326" s="323"/>
      <c r="R326" s="323"/>
      <c r="S326" s="323"/>
      <c r="T326" s="323"/>
      <c r="U326" s="323"/>
      <c r="V326" s="316">
        <f t="shared" si="40"/>
        <v>0</v>
      </c>
      <c r="W326" s="316">
        <v>31.57</v>
      </c>
      <c r="X326" s="316">
        <f t="shared" si="39"/>
        <v>0</v>
      </c>
      <c r="Y326" s="322">
        <f>X326/X325</f>
        <v>0</v>
      </c>
      <c r="Z326" s="572"/>
      <c r="AA326" s="567"/>
    </row>
    <row r="327" spans="1:27" s="311" customFormat="1" ht="15" customHeight="1" outlineLevel="1">
      <c r="A327" s="273">
        <v>323</v>
      </c>
      <c r="B327" s="273" t="s">
        <v>0</v>
      </c>
      <c r="C327" s="305" t="s">
        <v>587</v>
      </c>
      <c r="D327" s="306" t="s">
        <v>588</v>
      </c>
      <c r="E327" s="307" t="s">
        <v>587</v>
      </c>
      <c r="F327" s="553" t="str">
        <f t="shared" si="37"/>
        <v>PREVFerramenta universal para bastão de manobra ‐ Cabeçote para grampo de aterramento</v>
      </c>
      <c r="G327" s="611" t="s">
        <v>74</v>
      </c>
      <c r="H327" s="307" t="s">
        <v>228</v>
      </c>
      <c r="I327" s="321">
        <v>0.26400000000000001</v>
      </c>
      <c r="J327" s="321">
        <v>0.33</v>
      </c>
      <c r="K327" s="321">
        <v>0.33</v>
      </c>
      <c r="L327" s="321">
        <v>0.33</v>
      </c>
      <c r="M327" s="321">
        <v>0.33</v>
      </c>
      <c r="N327" s="321">
        <v>0.33</v>
      </c>
      <c r="O327" s="321">
        <v>0.33</v>
      </c>
      <c r="P327" s="321">
        <v>0.33</v>
      </c>
      <c r="Q327" s="321">
        <v>0.34</v>
      </c>
      <c r="R327" s="321">
        <v>0.34</v>
      </c>
      <c r="S327" s="321">
        <v>0.34</v>
      </c>
      <c r="T327" s="321">
        <v>0.34</v>
      </c>
      <c r="U327" s="321">
        <v>6.8000000000000005E-2</v>
      </c>
      <c r="V327" s="308">
        <f t="shared" si="40"/>
        <v>4.0019999999999998</v>
      </c>
      <c r="W327" s="308">
        <v>37.130000000000003</v>
      </c>
      <c r="X327" s="308">
        <f t="shared" si="39"/>
        <v>148.59425999999999</v>
      </c>
      <c r="Y327" s="322" t="s">
        <v>74</v>
      </c>
      <c r="Z327" s="575"/>
      <c r="AA327" s="567"/>
    </row>
    <row r="328" spans="1:27" s="318" customFormat="1" ht="15" customHeight="1" outlineLevel="1">
      <c r="A328" s="282">
        <v>324</v>
      </c>
      <c r="B328" s="282" t="s">
        <v>1</v>
      </c>
      <c r="C328" s="312" t="s">
        <v>587</v>
      </c>
      <c r="D328" s="313" t="s">
        <v>588</v>
      </c>
      <c r="E328" s="314" t="s">
        <v>587</v>
      </c>
      <c r="F328" s="553" t="str">
        <f t="shared" si="37"/>
        <v>REALFerramenta universal para bastão de manobra ‐ Cabeçote para grampo de aterramento</v>
      </c>
      <c r="G328" s="609">
        <f>Y328</f>
        <v>0.33316674995835416</v>
      </c>
      <c r="H328" s="315" t="s">
        <v>228</v>
      </c>
      <c r="I328" s="323">
        <v>0.33333333333333331</v>
      </c>
      <c r="J328" s="323">
        <v>0.33333333333333331</v>
      </c>
      <c r="K328" s="323">
        <v>0.33333333333333331</v>
      </c>
      <c r="L328" s="323">
        <v>0.33333333333333331</v>
      </c>
      <c r="M328" s="323"/>
      <c r="N328" s="323"/>
      <c r="O328" s="323"/>
      <c r="P328" s="323"/>
      <c r="Q328" s="323"/>
      <c r="R328" s="323"/>
      <c r="S328" s="323"/>
      <c r="T328" s="323"/>
      <c r="U328" s="323"/>
      <c r="V328" s="316">
        <f t="shared" si="40"/>
        <v>1.3333333333333333</v>
      </c>
      <c r="W328" s="316">
        <v>37.130000000000003</v>
      </c>
      <c r="X328" s="316">
        <f t="shared" si="39"/>
        <v>49.506666666666668</v>
      </c>
      <c r="Y328" s="322">
        <f>X328/X327</f>
        <v>0.33316674995835416</v>
      </c>
      <c r="Z328" s="572"/>
      <c r="AA328" s="567"/>
    </row>
    <row r="329" spans="1:27" s="311" customFormat="1" ht="15" customHeight="1" outlineLevel="1">
      <c r="A329" s="273">
        <v>325</v>
      </c>
      <c r="B329" s="273" t="s">
        <v>0</v>
      </c>
      <c r="C329" s="305" t="s">
        <v>589</v>
      </c>
      <c r="D329" s="306" t="s">
        <v>590</v>
      </c>
      <c r="E329" s="307" t="s">
        <v>589</v>
      </c>
      <c r="F329" s="553" t="str">
        <f t="shared" si="37"/>
        <v>PREVFerramenta universal para bastão de manobra ‐ Chave com catraca</v>
      </c>
      <c r="G329" s="611" t="s">
        <v>74</v>
      </c>
      <c r="H329" s="307" t="s">
        <v>228</v>
      </c>
      <c r="I329" s="321">
        <v>0.26400000000000001</v>
      </c>
      <c r="J329" s="321">
        <v>0.33</v>
      </c>
      <c r="K329" s="321">
        <v>0.33</v>
      </c>
      <c r="L329" s="321">
        <v>0.33</v>
      </c>
      <c r="M329" s="321">
        <v>0.33</v>
      </c>
      <c r="N329" s="321">
        <v>0.33</v>
      </c>
      <c r="O329" s="321">
        <v>0.33</v>
      </c>
      <c r="P329" s="321">
        <v>0.33</v>
      </c>
      <c r="Q329" s="321">
        <v>0.34</v>
      </c>
      <c r="R329" s="321">
        <v>0.34</v>
      </c>
      <c r="S329" s="321">
        <v>0.34</v>
      </c>
      <c r="T329" s="321">
        <v>0.34</v>
      </c>
      <c r="U329" s="321">
        <v>6.8000000000000005E-2</v>
      </c>
      <c r="V329" s="308">
        <f t="shared" si="40"/>
        <v>4.0019999999999998</v>
      </c>
      <c r="W329" s="308">
        <v>172.37</v>
      </c>
      <c r="X329" s="308">
        <f t="shared" si="39"/>
        <v>689.82474000000002</v>
      </c>
      <c r="Y329" s="322" t="s">
        <v>74</v>
      </c>
      <c r="Z329" s="575"/>
      <c r="AA329" s="567"/>
    </row>
    <row r="330" spans="1:27" s="318" customFormat="1" ht="15" customHeight="1" outlineLevel="1">
      <c r="A330" s="282">
        <v>326</v>
      </c>
      <c r="B330" s="282" t="s">
        <v>1</v>
      </c>
      <c r="C330" s="312" t="s">
        <v>589</v>
      </c>
      <c r="D330" s="313" t="s">
        <v>590</v>
      </c>
      <c r="E330" s="314" t="s">
        <v>589</v>
      </c>
      <c r="F330" s="553" t="str">
        <f t="shared" si="37"/>
        <v>REALFerramenta universal para bastão de manobra ‐ Chave com catraca</v>
      </c>
      <c r="G330" s="609">
        <f>Y330</f>
        <v>0</v>
      </c>
      <c r="H330" s="315" t="s">
        <v>228</v>
      </c>
      <c r="I330" s="323">
        <v>0</v>
      </c>
      <c r="J330" s="323">
        <v>0</v>
      </c>
      <c r="K330" s="323">
        <v>0</v>
      </c>
      <c r="L330" s="323">
        <v>0</v>
      </c>
      <c r="M330" s="323"/>
      <c r="N330" s="323"/>
      <c r="O330" s="323"/>
      <c r="P330" s="323"/>
      <c r="Q330" s="323"/>
      <c r="R330" s="323"/>
      <c r="S330" s="323"/>
      <c r="T330" s="323"/>
      <c r="U330" s="323"/>
      <c r="V330" s="316">
        <f t="shared" si="40"/>
        <v>0</v>
      </c>
      <c r="W330" s="316">
        <v>172.37</v>
      </c>
      <c r="X330" s="316">
        <f t="shared" si="39"/>
        <v>0</v>
      </c>
      <c r="Y330" s="322">
        <f>X330/X329</f>
        <v>0</v>
      </c>
      <c r="Z330" s="572"/>
      <c r="AA330" s="567"/>
    </row>
    <row r="331" spans="1:27" s="311" customFormat="1" ht="15" customHeight="1" outlineLevel="1">
      <c r="A331" s="273">
        <v>327</v>
      </c>
      <c r="B331" s="273" t="s">
        <v>0</v>
      </c>
      <c r="C331" s="305" t="s">
        <v>591</v>
      </c>
      <c r="D331" s="306" t="s">
        <v>592</v>
      </c>
      <c r="E331" s="307" t="s">
        <v>591</v>
      </c>
      <c r="F331" s="553" t="str">
        <f t="shared" si="37"/>
        <v>PREVFerramenta universal para bastão de manobra ‐ Desconector para chave fusível</v>
      </c>
      <c r="G331" s="611" t="s">
        <v>74</v>
      </c>
      <c r="H331" s="307" t="s">
        <v>228</v>
      </c>
      <c r="I331" s="321">
        <v>0.26400000000000001</v>
      </c>
      <c r="J331" s="321">
        <v>0.33</v>
      </c>
      <c r="K331" s="321">
        <v>0.33</v>
      </c>
      <c r="L331" s="321">
        <v>0.33</v>
      </c>
      <c r="M331" s="321">
        <v>0.33</v>
      </c>
      <c r="N331" s="321">
        <v>0.33</v>
      </c>
      <c r="O331" s="321">
        <v>0.33</v>
      </c>
      <c r="P331" s="321">
        <v>0.33</v>
      </c>
      <c r="Q331" s="321">
        <v>0.34</v>
      </c>
      <c r="R331" s="321">
        <v>0.34</v>
      </c>
      <c r="S331" s="321">
        <v>0.34</v>
      </c>
      <c r="T331" s="321">
        <v>0.34</v>
      </c>
      <c r="U331" s="321">
        <v>6.8000000000000005E-2</v>
      </c>
      <c r="V331" s="308">
        <f t="shared" si="40"/>
        <v>4.0019999999999998</v>
      </c>
      <c r="W331" s="308">
        <v>12.42</v>
      </c>
      <c r="X331" s="308">
        <f t="shared" si="39"/>
        <v>49.704839999999997</v>
      </c>
      <c r="Y331" s="322" t="s">
        <v>74</v>
      </c>
      <c r="Z331" s="575"/>
      <c r="AA331" s="567"/>
    </row>
    <row r="332" spans="1:27" s="318" customFormat="1" ht="15" customHeight="1" outlineLevel="1">
      <c r="A332" s="282">
        <v>328</v>
      </c>
      <c r="B332" s="282" t="s">
        <v>1</v>
      </c>
      <c r="C332" s="312" t="s">
        <v>591</v>
      </c>
      <c r="D332" s="313" t="s">
        <v>592</v>
      </c>
      <c r="E332" s="314" t="s">
        <v>591</v>
      </c>
      <c r="F332" s="553" t="str">
        <f t="shared" si="37"/>
        <v>REALFerramenta universal para bastão de manobra ‐ Desconector para chave fusível</v>
      </c>
      <c r="G332" s="609">
        <f>Y332</f>
        <v>0.33316674995835416</v>
      </c>
      <c r="H332" s="315" t="s">
        <v>228</v>
      </c>
      <c r="I332" s="323">
        <v>0.33333333333333331</v>
      </c>
      <c r="J332" s="323">
        <v>0.33333333333333331</v>
      </c>
      <c r="K332" s="323">
        <v>0.33333333333333331</v>
      </c>
      <c r="L332" s="323">
        <v>0.33333333333333331</v>
      </c>
      <c r="M332" s="323"/>
      <c r="N332" s="323"/>
      <c r="O332" s="323"/>
      <c r="P332" s="323"/>
      <c r="Q332" s="323"/>
      <c r="R332" s="323"/>
      <c r="S332" s="323"/>
      <c r="T332" s="323"/>
      <c r="U332" s="323"/>
      <c r="V332" s="316">
        <f t="shared" si="40"/>
        <v>1.3333333333333333</v>
      </c>
      <c r="W332" s="316">
        <v>12.42</v>
      </c>
      <c r="X332" s="316">
        <f t="shared" si="39"/>
        <v>16.559999999999999</v>
      </c>
      <c r="Y332" s="322">
        <f>X332/X331</f>
        <v>0.33316674995835416</v>
      </c>
      <c r="Z332" s="572"/>
      <c r="AA332" s="567"/>
    </row>
    <row r="333" spans="1:27" s="311" customFormat="1" ht="15" customHeight="1" outlineLevel="1">
      <c r="A333" s="273">
        <v>329</v>
      </c>
      <c r="B333" s="273" t="s">
        <v>0</v>
      </c>
      <c r="C333" s="305" t="s">
        <v>593</v>
      </c>
      <c r="D333" s="306" t="s">
        <v>594</v>
      </c>
      <c r="E333" s="307" t="s">
        <v>593</v>
      </c>
      <c r="F333" s="553" t="str">
        <f t="shared" si="37"/>
        <v>PREVFerramenta universal para bastão de manobra ‐ Escova em "V" para limpeza de condutor</v>
      </c>
      <c r="G333" s="611" t="s">
        <v>74</v>
      </c>
      <c r="H333" s="307" t="s">
        <v>228</v>
      </c>
      <c r="I333" s="321">
        <v>0.26400000000000001</v>
      </c>
      <c r="J333" s="321">
        <v>0.33</v>
      </c>
      <c r="K333" s="321">
        <v>0.33</v>
      </c>
      <c r="L333" s="321">
        <v>0.33</v>
      </c>
      <c r="M333" s="321">
        <v>0.33</v>
      </c>
      <c r="N333" s="321">
        <v>0.33</v>
      </c>
      <c r="O333" s="321">
        <v>0.33</v>
      </c>
      <c r="P333" s="321">
        <v>0.33</v>
      </c>
      <c r="Q333" s="321">
        <v>0.34</v>
      </c>
      <c r="R333" s="321">
        <v>0.34</v>
      </c>
      <c r="S333" s="321">
        <v>0.34</v>
      </c>
      <c r="T333" s="321">
        <v>0.34</v>
      </c>
      <c r="U333" s="321">
        <v>6.8000000000000005E-2</v>
      </c>
      <c r="V333" s="308">
        <f t="shared" si="40"/>
        <v>4.0019999999999998</v>
      </c>
      <c r="W333" s="308">
        <v>99.12</v>
      </c>
      <c r="X333" s="308">
        <f t="shared" si="39"/>
        <v>396.67824000000002</v>
      </c>
      <c r="Y333" s="322" t="s">
        <v>74</v>
      </c>
      <c r="Z333" s="575"/>
      <c r="AA333" s="567"/>
    </row>
    <row r="334" spans="1:27" s="318" customFormat="1" ht="15" customHeight="1" outlineLevel="1">
      <c r="A334" s="282">
        <v>330</v>
      </c>
      <c r="B334" s="282" t="s">
        <v>1</v>
      </c>
      <c r="C334" s="312" t="s">
        <v>593</v>
      </c>
      <c r="D334" s="313" t="s">
        <v>594</v>
      </c>
      <c r="E334" s="314" t="s">
        <v>593</v>
      </c>
      <c r="F334" s="553" t="str">
        <f t="shared" si="37"/>
        <v>REALFerramenta universal para bastão de manobra ‐ Escova em "V" para limpeza de condutor</v>
      </c>
      <c r="G334" s="609">
        <f>Y334</f>
        <v>0</v>
      </c>
      <c r="H334" s="315" t="s">
        <v>228</v>
      </c>
      <c r="I334" s="323">
        <v>0</v>
      </c>
      <c r="J334" s="323">
        <v>0</v>
      </c>
      <c r="K334" s="323">
        <v>0</v>
      </c>
      <c r="L334" s="323">
        <v>0</v>
      </c>
      <c r="M334" s="323"/>
      <c r="N334" s="323"/>
      <c r="O334" s="323"/>
      <c r="P334" s="323"/>
      <c r="Q334" s="323"/>
      <c r="R334" s="323"/>
      <c r="S334" s="323"/>
      <c r="T334" s="323"/>
      <c r="U334" s="323"/>
      <c r="V334" s="316">
        <f t="shared" si="40"/>
        <v>0</v>
      </c>
      <c r="W334" s="316">
        <v>99.12</v>
      </c>
      <c r="X334" s="316">
        <f t="shared" si="39"/>
        <v>0</v>
      </c>
      <c r="Y334" s="322">
        <f>X334/X333</f>
        <v>0</v>
      </c>
      <c r="Z334" s="572"/>
      <c r="AA334" s="567"/>
    </row>
    <row r="335" spans="1:27" s="311" customFormat="1" ht="15" customHeight="1" outlineLevel="1">
      <c r="A335" s="273">
        <v>331</v>
      </c>
      <c r="B335" s="273" t="s">
        <v>0</v>
      </c>
      <c r="C335" s="305" t="s">
        <v>595</v>
      </c>
      <c r="D335" s="306" t="s">
        <v>596</v>
      </c>
      <c r="E335" s="307" t="s">
        <v>595</v>
      </c>
      <c r="F335" s="553" t="str">
        <f t="shared" si="37"/>
        <v>PREVFerramenta universal para bastão de manobra ‐ Extrator de cartucho</v>
      </c>
      <c r="G335" s="611" t="s">
        <v>74</v>
      </c>
      <c r="H335" s="307" t="s">
        <v>228</v>
      </c>
      <c r="I335" s="321">
        <v>0.26400000000000001</v>
      </c>
      <c r="J335" s="321">
        <v>0.33</v>
      </c>
      <c r="K335" s="321">
        <v>0.33</v>
      </c>
      <c r="L335" s="321">
        <v>0.33</v>
      </c>
      <c r="M335" s="321">
        <v>0.33</v>
      </c>
      <c r="N335" s="321">
        <v>0.33</v>
      </c>
      <c r="O335" s="321">
        <v>0.33</v>
      </c>
      <c r="P335" s="321">
        <v>0.33</v>
      </c>
      <c r="Q335" s="321">
        <v>0.34</v>
      </c>
      <c r="R335" s="321">
        <v>0.34</v>
      </c>
      <c r="S335" s="321">
        <v>0.34</v>
      </c>
      <c r="T335" s="321">
        <v>0.34</v>
      </c>
      <c r="U335" s="321">
        <v>6.8000000000000005E-2</v>
      </c>
      <c r="V335" s="308">
        <f t="shared" si="40"/>
        <v>4.0019999999999998</v>
      </c>
      <c r="W335" s="308">
        <v>77.459999999999994</v>
      </c>
      <c r="X335" s="308">
        <f t="shared" si="39"/>
        <v>309.99491999999998</v>
      </c>
      <c r="Y335" s="322" t="s">
        <v>74</v>
      </c>
      <c r="Z335" s="575"/>
      <c r="AA335" s="567"/>
    </row>
    <row r="336" spans="1:27" s="318" customFormat="1" ht="15" customHeight="1" outlineLevel="1">
      <c r="A336" s="282">
        <v>332</v>
      </c>
      <c r="B336" s="282" t="s">
        <v>1</v>
      </c>
      <c r="C336" s="312" t="s">
        <v>595</v>
      </c>
      <c r="D336" s="313" t="s">
        <v>596</v>
      </c>
      <c r="E336" s="314" t="s">
        <v>595</v>
      </c>
      <c r="F336" s="553" t="str">
        <f t="shared" si="37"/>
        <v>REALFerramenta universal para bastão de manobra ‐ Extrator de cartucho</v>
      </c>
      <c r="G336" s="609">
        <f>Y336</f>
        <v>0</v>
      </c>
      <c r="H336" s="315" t="s">
        <v>228</v>
      </c>
      <c r="I336" s="323">
        <v>0</v>
      </c>
      <c r="J336" s="323">
        <v>0</v>
      </c>
      <c r="K336" s="323">
        <v>0</v>
      </c>
      <c r="L336" s="323">
        <v>0</v>
      </c>
      <c r="M336" s="323"/>
      <c r="N336" s="323"/>
      <c r="O336" s="323"/>
      <c r="P336" s="323"/>
      <c r="Q336" s="323"/>
      <c r="R336" s="323"/>
      <c r="S336" s="323"/>
      <c r="T336" s="323"/>
      <c r="U336" s="323"/>
      <c r="V336" s="316">
        <f t="shared" si="40"/>
        <v>0</v>
      </c>
      <c r="W336" s="316">
        <v>77.459999999999994</v>
      </c>
      <c r="X336" s="316">
        <f t="shared" si="39"/>
        <v>0</v>
      </c>
      <c r="Y336" s="322">
        <f>X336/X335</f>
        <v>0</v>
      </c>
      <c r="Z336" s="572"/>
      <c r="AA336" s="567"/>
    </row>
    <row r="337" spans="1:27" s="311" customFormat="1" ht="15" customHeight="1" outlineLevel="1">
      <c r="A337" s="273">
        <v>333</v>
      </c>
      <c r="B337" s="273" t="s">
        <v>0</v>
      </c>
      <c r="C337" s="305" t="s">
        <v>597</v>
      </c>
      <c r="D337" s="306" t="s">
        <v>598</v>
      </c>
      <c r="E337" s="307" t="s">
        <v>597</v>
      </c>
      <c r="F337" s="553" t="str">
        <f t="shared" si="37"/>
        <v>PREVFerramenta universal para bastão de manobra ‐ Extrator de contrapino por impulso</v>
      </c>
      <c r="G337" s="611" t="s">
        <v>74</v>
      </c>
      <c r="H337" s="307" t="s">
        <v>228</v>
      </c>
      <c r="I337" s="321">
        <v>0.26400000000000001</v>
      </c>
      <c r="J337" s="321">
        <v>0.33</v>
      </c>
      <c r="K337" s="321">
        <v>0.33</v>
      </c>
      <c r="L337" s="321">
        <v>0.33</v>
      </c>
      <c r="M337" s="321">
        <v>0.33</v>
      </c>
      <c r="N337" s="321">
        <v>0.33</v>
      </c>
      <c r="O337" s="321">
        <v>0.33</v>
      </c>
      <c r="P337" s="321">
        <v>0.33</v>
      </c>
      <c r="Q337" s="321">
        <v>0.34</v>
      </c>
      <c r="R337" s="321">
        <v>0.34</v>
      </c>
      <c r="S337" s="321">
        <v>0.34</v>
      </c>
      <c r="T337" s="321">
        <v>0.34</v>
      </c>
      <c r="U337" s="321">
        <v>6.8000000000000005E-2</v>
      </c>
      <c r="V337" s="308">
        <f t="shared" si="40"/>
        <v>4.0019999999999998</v>
      </c>
      <c r="W337" s="308">
        <v>52.29</v>
      </c>
      <c r="X337" s="308">
        <f t="shared" si="39"/>
        <v>209.26458</v>
      </c>
      <c r="Y337" s="322" t="s">
        <v>74</v>
      </c>
      <c r="Z337" s="575"/>
      <c r="AA337" s="567"/>
    </row>
    <row r="338" spans="1:27" s="318" customFormat="1" ht="15" customHeight="1" outlineLevel="1">
      <c r="A338" s="282">
        <v>334</v>
      </c>
      <c r="B338" s="282" t="s">
        <v>1</v>
      </c>
      <c r="C338" s="312" t="s">
        <v>597</v>
      </c>
      <c r="D338" s="313" t="s">
        <v>598</v>
      </c>
      <c r="E338" s="314" t="s">
        <v>597</v>
      </c>
      <c r="F338" s="553" t="str">
        <f t="shared" si="37"/>
        <v>REALFerramenta universal para bastão de manobra ‐ Extrator de contrapino por impulso</v>
      </c>
      <c r="G338" s="609">
        <f>Y338</f>
        <v>0</v>
      </c>
      <c r="H338" s="315" t="s">
        <v>228</v>
      </c>
      <c r="I338" s="323">
        <v>0</v>
      </c>
      <c r="J338" s="323">
        <v>0</v>
      </c>
      <c r="K338" s="323">
        <v>0</v>
      </c>
      <c r="L338" s="323">
        <v>0</v>
      </c>
      <c r="M338" s="323"/>
      <c r="N338" s="323"/>
      <c r="O338" s="323"/>
      <c r="P338" s="323"/>
      <c r="Q338" s="323"/>
      <c r="R338" s="323"/>
      <c r="S338" s="323"/>
      <c r="T338" s="323"/>
      <c r="U338" s="323"/>
      <c r="V338" s="316">
        <f t="shared" si="40"/>
        <v>0</v>
      </c>
      <c r="W338" s="316">
        <v>52.29</v>
      </c>
      <c r="X338" s="316">
        <f t="shared" si="39"/>
        <v>0</v>
      </c>
      <c r="Y338" s="322">
        <f>X338/X337</f>
        <v>0</v>
      </c>
      <c r="Z338" s="572"/>
      <c r="AA338" s="567"/>
    </row>
    <row r="339" spans="1:27" s="311" customFormat="1" ht="15" customHeight="1" outlineLevel="1">
      <c r="A339" s="273">
        <v>335</v>
      </c>
      <c r="B339" s="273" t="s">
        <v>0</v>
      </c>
      <c r="C339" s="305" t="s">
        <v>599</v>
      </c>
      <c r="D339" s="306" t="s">
        <v>600</v>
      </c>
      <c r="E339" s="307" t="s">
        <v>599</v>
      </c>
      <c r="F339" s="553" t="str">
        <f t="shared" si="37"/>
        <v>PREVFerramenta universal para bastão de manobra ‐ Gancho tração espiral</v>
      </c>
      <c r="G339" s="611" t="s">
        <v>74</v>
      </c>
      <c r="H339" s="307" t="s">
        <v>228</v>
      </c>
      <c r="I339" s="321">
        <v>0.26400000000000001</v>
      </c>
      <c r="J339" s="321">
        <v>0.33</v>
      </c>
      <c r="K339" s="321">
        <v>0.33</v>
      </c>
      <c r="L339" s="321">
        <v>0.33</v>
      </c>
      <c r="M339" s="321">
        <v>0.33</v>
      </c>
      <c r="N339" s="321">
        <v>0.33</v>
      </c>
      <c r="O339" s="321">
        <v>0.33</v>
      </c>
      <c r="P339" s="321">
        <v>0.33</v>
      </c>
      <c r="Q339" s="321">
        <v>0.34</v>
      </c>
      <c r="R339" s="321">
        <v>0.34</v>
      </c>
      <c r="S339" s="321">
        <v>0.34</v>
      </c>
      <c r="T339" s="321">
        <v>0.34</v>
      </c>
      <c r="U339" s="321">
        <v>6.8000000000000005E-2</v>
      </c>
      <c r="V339" s="308">
        <f t="shared" si="40"/>
        <v>4.0019999999999998</v>
      </c>
      <c r="W339" s="308">
        <v>27.11</v>
      </c>
      <c r="X339" s="308">
        <f t="shared" si="39"/>
        <v>108.49422</v>
      </c>
      <c r="Y339" s="322" t="s">
        <v>74</v>
      </c>
      <c r="Z339" s="575"/>
      <c r="AA339" s="567"/>
    </row>
    <row r="340" spans="1:27" s="318" customFormat="1" ht="15" customHeight="1" outlineLevel="1">
      <c r="A340" s="282">
        <v>336</v>
      </c>
      <c r="B340" s="282" t="s">
        <v>1</v>
      </c>
      <c r="C340" s="312" t="s">
        <v>599</v>
      </c>
      <c r="D340" s="313" t="s">
        <v>600</v>
      </c>
      <c r="E340" s="314" t="s">
        <v>599</v>
      </c>
      <c r="F340" s="553" t="str">
        <f t="shared" si="37"/>
        <v>REALFerramenta universal para bastão de manobra ‐ Gancho tração espiral</v>
      </c>
      <c r="G340" s="609">
        <f>Y340</f>
        <v>0</v>
      </c>
      <c r="H340" s="315" t="s">
        <v>228</v>
      </c>
      <c r="I340" s="323">
        <v>0</v>
      </c>
      <c r="J340" s="323">
        <v>0</v>
      </c>
      <c r="K340" s="323">
        <v>0</v>
      </c>
      <c r="L340" s="323">
        <v>0</v>
      </c>
      <c r="M340" s="323"/>
      <c r="N340" s="323"/>
      <c r="O340" s="323"/>
      <c r="P340" s="323"/>
      <c r="Q340" s="323"/>
      <c r="R340" s="323"/>
      <c r="S340" s="323"/>
      <c r="T340" s="323"/>
      <c r="U340" s="323"/>
      <c r="V340" s="316">
        <f t="shared" si="40"/>
        <v>0</v>
      </c>
      <c r="W340" s="316">
        <v>27.11</v>
      </c>
      <c r="X340" s="316">
        <f t="shared" si="39"/>
        <v>0</v>
      </c>
      <c r="Y340" s="322">
        <f>X340/X339</f>
        <v>0</v>
      </c>
      <c r="Z340" s="572"/>
      <c r="AA340" s="567"/>
    </row>
    <row r="341" spans="1:27" s="311" customFormat="1" ht="15" customHeight="1" outlineLevel="1">
      <c r="A341" s="273">
        <v>337</v>
      </c>
      <c r="B341" s="273" t="s">
        <v>0</v>
      </c>
      <c r="C341" s="305" t="s">
        <v>601</v>
      </c>
      <c r="D341" s="306" t="s">
        <v>602</v>
      </c>
      <c r="E341" s="307" t="s">
        <v>601</v>
      </c>
      <c r="F341" s="553" t="str">
        <f t="shared" si="37"/>
        <v>PREVFerramenta universal para bastão de manobra ‐ Garfo ajustador de concha</v>
      </c>
      <c r="G341" s="611" t="s">
        <v>74</v>
      </c>
      <c r="H341" s="307" t="s">
        <v>228</v>
      </c>
      <c r="I341" s="321">
        <v>0.26400000000000001</v>
      </c>
      <c r="J341" s="321">
        <v>0.33</v>
      </c>
      <c r="K341" s="321">
        <v>0.33</v>
      </c>
      <c r="L341" s="321">
        <v>0.33</v>
      </c>
      <c r="M341" s="321">
        <v>0.33</v>
      </c>
      <c r="N341" s="321">
        <v>0.33</v>
      </c>
      <c r="O341" s="321">
        <v>0.33</v>
      </c>
      <c r="P341" s="321">
        <v>0.33</v>
      </c>
      <c r="Q341" s="321">
        <v>0.34</v>
      </c>
      <c r="R341" s="321">
        <v>0.34</v>
      </c>
      <c r="S341" s="321">
        <v>0.34</v>
      </c>
      <c r="T341" s="321">
        <v>0.34</v>
      </c>
      <c r="U341" s="321">
        <v>6.8000000000000005E-2</v>
      </c>
      <c r="V341" s="308">
        <f t="shared" si="40"/>
        <v>4.0019999999999998</v>
      </c>
      <c r="W341" s="308">
        <v>65.849999999999994</v>
      </c>
      <c r="X341" s="308">
        <f t="shared" si="39"/>
        <v>263.53169999999994</v>
      </c>
      <c r="Y341" s="322" t="s">
        <v>74</v>
      </c>
      <c r="Z341" s="575"/>
      <c r="AA341" s="567"/>
    </row>
    <row r="342" spans="1:27" s="318" customFormat="1" ht="15" customHeight="1" outlineLevel="1">
      <c r="A342" s="282">
        <v>338</v>
      </c>
      <c r="B342" s="282" t="s">
        <v>1</v>
      </c>
      <c r="C342" s="312" t="s">
        <v>601</v>
      </c>
      <c r="D342" s="313" t="s">
        <v>602</v>
      </c>
      <c r="E342" s="314" t="s">
        <v>601</v>
      </c>
      <c r="F342" s="553" t="str">
        <f t="shared" si="37"/>
        <v>REALFerramenta universal para bastão de manobra ‐ Garfo ajustador de concha</v>
      </c>
      <c r="G342" s="609">
        <f>Y342</f>
        <v>0</v>
      </c>
      <c r="H342" s="315" t="s">
        <v>228</v>
      </c>
      <c r="I342" s="323">
        <v>0</v>
      </c>
      <c r="J342" s="323">
        <v>0</v>
      </c>
      <c r="K342" s="323">
        <v>0</v>
      </c>
      <c r="L342" s="323">
        <v>0</v>
      </c>
      <c r="M342" s="323"/>
      <c r="N342" s="323"/>
      <c r="O342" s="323"/>
      <c r="P342" s="323"/>
      <c r="Q342" s="323"/>
      <c r="R342" s="323"/>
      <c r="S342" s="323"/>
      <c r="T342" s="323"/>
      <c r="U342" s="323"/>
      <c r="V342" s="316">
        <f t="shared" si="40"/>
        <v>0</v>
      </c>
      <c r="W342" s="316">
        <v>65.849999999999994</v>
      </c>
      <c r="X342" s="316">
        <f t="shared" si="39"/>
        <v>0</v>
      </c>
      <c r="Y342" s="322">
        <f>X342/X341</f>
        <v>0</v>
      </c>
      <c r="Z342" s="572"/>
      <c r="AA342" s="567"/>
    </row>
    <row r="343" spans="1:27" s="311" customFormat="1" ht="15" customHeight="1" outlineLevel="1">
      <c r="A343" s="273">
        <v>339</v>
      </c>
      <c r="B343" s="273" t="s">
        <v>0</v>
      </c>
      <c r="C343" s="305" t="s">
        <v>603</v>
      </c>
      <c r="D343" s="306" t="s">
        <v>604</v>
      </c>
      <c r="E343" s="307" t="s">
        <v>603</v>
      </c>
      <c r="F343" s="553" t="str">
        <f t="shared" si="37"/>
        <v>PREVFerramenta universal para bastão de manobra ‐ Garra de amarração</v>
      </c>
      <c r="G343" s="611" t="s">
        <v>74</v>
      </c>
      <c r="H343" s="307" t="s">
        <v>228</v>
      </c>
      <c r="I343" s="321">
        <v>0.26400000000000001</v>
      </c>
      <c r="J343" s="321">
        <v>0.33</v>
      </c>
      <c r="K343" s="321">
        <v>0.33</v>
      </c>
      <c r="L343" s="321">
        <v>0.33</v>
      </c>
      <c r="M343" s="321">
        <v>0.33</v>
      </c>
      <c r="N343" s="321">
        <v>0.33</v>
      </c>
      <c r="O343" s="321">
        <v>0.33</v>
      </c>
      <c r="P343" s="321">
        <v>0.33</v>
      </c>
      <c r="Q343" s="321">
        <v>0.34</v>
      </c>
      <c r="R343" s="321">
        <v>0.34</v>
      </c>
      <c r="S343" s="321">
        <v>0.34</v>
      </c>
      <c r="T343" s="321">
        <v>0.34</v>
      </c>
      <c r="U343" s="321">
        <v>6.8000000000000005E-2</v>
      </c>
      <c r="V343" s="308">
        <f t="shared" si="40"/>
        <v>4.0019999999999998</v>
      </c>
      <c r="W343" s="308">
        <v>44.55</v>
      </c>
      <c r="X343" s="308">
        <f t="shared" si="39"/>
        <v>178.28909999999999</v>
      </c>
      <c r="Y343" s="322" t="s">
        <v>74</v>
      </c>
      <c r="Z343" s="575"/>
      <c r="AA343" s="567"/>
    </row>
    <row r="344" spans="1:27" s="318" customFormat="1" ht="15" customHeight="1" outlineLevel="1">
      <c r="A344" s="282">
        <v>340</v>
      </c>
      <c r="B344" s="282" t="s">
        <v>1</v>
      </c>
      <c r="C344" s="312" t="s">
        <v>603</v>
      </c>
      <c r="D344" s="313" t="s">
        <v>604</v>
      </c>
      <c r="E344" s="314" t="s">
        <v>603</v>
      </c>
      <c r="F344" s="553" t="str">
        <f t="shared" si="37"/>
        <v>REALFerramenta universal para bastão de manobra ‐ Garra de amarração</v>
      </c>
      <c r="G344" s="609">
        <f>Y344</f>
        <v>0</v>
      </c>
      <c r="H344" s="315" t="s">
        <v>228</v>
      </c>
      <c r="I344" s="323">
        <v>0</v>
      </c>
      <c r="J344" s="323">
        <v>0</v>
      </c>
      <c r="K344" s="323">
        <v>0</v>
      </c>
      <c r="L344" s="323">
        <v>0</v>
      </c>
      <c r="M344" s="323"/>
      <c r="N344" s="323"/>
      <c r="O344" s="323"/>
      <c r="P344" s="323"/>
      <c r="Q344" s="323"/>
      <c r="R344" s="323"/>
      <c r="S344" s="323"/>
      <c r="T344" s="323"/>
      <c r="U344" s="323"/>
      <c r="V344" s="316">
        <f t="shared" ref="V344:V375" si="41">SUM(I344:U344)</f>
        <v>0</v>
      </c>
      <c r="W344" s="316">
        <v>44.55</v>
      </c>
      <c r="X344" s="316">
        <f t="shared" si="39"/>
        <v>0</v>
      </c>
      <c r="Y344" s="322">
        <f>X344/X343</f>
        <v>0</v>
      </c>
      <c r="Z344" s="572"/>
      <c r="AA344" s="567"/>
    </row>
    <row r="345" spans="1:27" s="311" customFormat="1" ht="15" customHeight="1" outlineLevel="1">
      <c r="A345" s="273">
        <v>341</v>
      </c>
      <c r="B345" s="273" t="s">
        <v>0</v>
      </c>
      <c r="C345" s="305" t="s">
        <v>605</v>
      </c>
      <c r="D345" s="306" t="s">
        <v>606</v>
      </c>
      <c r="E345" s="307" t="s">
        <v>605</v>
      </c>
      <c r="F345" s="553" t="str">
        <f t="shared" si="37"/>
        <v>PREVFerramenta universal para bastão de manobra ‐ Instalador de Contrapino</v>
      </c>
      <c r="G345" s="611" t="s">
        <v>74</v>
      </c>
      <c r="H345" s="307" t="s">
        <v>228</v>
      </c>
      <c r="I345" s="321">
        <v>0.26400000000000001</v>
      </c>
      <c r="J345" s="321">
        <v>0.33</v>
      </c>
      <c r="K345" s="321">
        <v>0.33</v>
      </c>
      <c r="L345" s="321">
        <v>0.33</v>
      </c>
      <c r="M345" s="321">
        <v>0.33</v>
      </c>
      <c r="N345" s="321">
        <v>0.33</v>
      </c>
      <c r="O345" s="321">
        <v>0.33</v>
      </c>
      <c r="P345" s="321">
        <v>0.33</v>
      </c>
      <c r="Q345" s="321">
        <v>0.34</v>
      </c>
      <c r="R345" s="321">
        <v>0.34</v>
      </c>
      <c r="S345" s="321">
        <v>0.34</v>
      </c>
      <c r="T345" s="321">
        <v>0.34</v>
      </c>
      <c r="U345" s="321">
        <v>6.8000000000000005E-2</v>
      </c>
      <c r="V345" s="308">
        <f t="shared" si="41"/>
        <v>4.0019999999999998</v>
      </c>
      <c r="W345" s="308">
        <v>127.83</v>
      </c>
      <c r="X345" s="308">
        <f t="shared" si="39"/>
        <v>511.57565999999997</v>
      </c>
      <c r="Y345" s="322" t="s">
        <v>74</v>
      </c>
      <c r="Z345" s="575"/>
      <c r="AA345" s="567"/>
    </row>
    <row r="346" spans="1:27" s="318" customFormat="1" ht="15" customHeight="1" outlineLevel="1">
      <c r="A346" s="282">
        <v>342</v>
      </c>
      <c r="B346" s="282" t="s">
        <v>1</v>
      </c>
      <c r="C346" s="312" t="s">
        <v>605</v>
      </c>
      <c r="D346" s="313" t="s">
        <v>606</v>
      </c>
      <c r="E346" s="314" t="s">
        <v>605</v>
      </c>
      <c r="F346" s="553" t="str">
        <f t="shared" si="37"/>
        <v>REALFerramenta universal para bastão de manobra ‐ Instalador de Contrapino</v>
      </c>
      <c r="G346" s="609">
        <f>Y346</f>
        <v>0</v>
      </c>
      <c r="H346" s="315" t="s">
        <v>228</v>
      </c>
      <c r="I346" s="323">
        <v>0</v>
      </c>
      <c r="J346" s="323">
        <v>0</v>
      </c>
      <c r="K346" s="323">
        <v>0</v>
      </c>
      <c r="L346" s="323">
        <v>0</v>
      </c>
      <c r="M346" s="323"/>
      <c r="N346" s="323"/>
      <c r="O346" s="323"/>
      <c r="P346" s="323"/>
      <c r="Q346" s="323"/>
      <c r="R346" s="323"/>
      <c r="S346" s="323"/>
      <c r="T346" s="323"/>
      <c r="U346" s="323"/>
      <c r="V346" s="316">
        <f t="shared" si="41"/>
        <v>0</v>
      </c>
      <c r="W346" s="316">
        <v>127.83</v>
      </c>
      <c r="X346" s="316">
        <f t="shared" si="39"/>
        <v>0</v>
      </c>
      <c r="Y346" s="322">
        <f>X346/X345</f>
        <v>0</v>
      </c>
      <c r="Z346" s="572"/>
      <c r="AA346" s="567"/>
    </row>
    <row r="347" spans="1:27" s="311" customFormat="1" ht="15" customHeight="1" outlineLevel="1">
      <c r="A347" s="273">
        <v>343</v>
      </c>
      <c r="B347" s="273" t="s">
        <v>0</v>
      </c>
      <c r="C347" s="305" t="s">
        <v>607</v>
      </c>
      <c r="D347" s="306" t="s">
        <v>608</v>
      </c>
      <c r="E347" s="307" t="s">
        <v>607</v>
      </c>
      <c r="F347" s="553" t="str">
        <f t="shared" si="37"/>
        <v>PREVFerramenta universal para bastão de manobra ‐ Jogo para Tensionadores Duplos ‐ jugo duplo com corrente lado morto</v>
      </c>
      <c r="G347" s="611" t="s">
        <v>74</v>
      </c>
      <c r="H347" s="307" t="s">
        <v>228</v>
      </c>
      <c r="I347" s="321">
        <v>0.26400000000000001</v>
      </c>
      <c r="J347" s="321">
        <v>0.33</v>
      </c>
      <c r="K347" s="321">
        <v>0.33</v>
      </c>
      <c r="L347" s="321">
        <v>0.33</v>
      </c>
      <c r="M347" s="321">
        <v>0.33</v>
      </c>
      <c r="N347" s="321">
        <v>0.33</v>
      </c>
      <c r="O347" s="321">
        <v>0.33</v>
      </c>
      <c r="P347" s="321">
        <v>0.33</v>
      </c>
      <c r="Q347" s="321">
        <v>0.34</v>
      </c>
      <c r="R347" s="321">
        <v>0.34</v>
      </c>
      <c r="S347" s="321">
        <v>0.34</v>
      </c>
      <c r="T347" s="321">
        <v>0.34</v>
      </c>
      <c r="U347" s="321">
        <v>6.8000000000000005E-2</v>
      </c>
      <c r="V347" s="308">
        <f t="shared" si="41"/>
        <v>4.0019999999999998</v>
      </c>
      <c r="W347" s="308">
        <v>32.159999999999997</v>
      </c>
      <c r="X347" s="308">
        <f t="shared" si="39"/>
        <v>128.70431999999997</v>
      </c>
      <c r="Y347" s="322" t="s">
        <v>74</v>
      </c>
      <c r="Z347" s="575"/>
      <c r="AA347" s="567"/>
    </row>
    <row r="348" spans="1:27" s="318" customFormat="1" ht="15" customHeight="1" outlineLevel="1">
      <c r="A348" s="282">
        <v>344</v>
      </c>
      <c r="B348" s="282" t="s">
        <v>1</v>
      </c>
      <c r="C348" s="312" t="s">
        <v>607</v>
      </c>
      <c r="D348" s="313" t="s">
        <v>608</v>
      </c>
      <c r="E348" s="314" t="s">
        <v>607</v>
      </c>
      <c r="F348" s="553" t="str">
        <f t="shared" si="37"/>
        <v>REALFerramenta universal para bastão de manobra ‐ Jogo para Tensionadores Duplos ‐ jugo duplo com corrente lado morto</v>
      </c>
      <c r="G348" s="609">
        <f>Y348</f>
        <v>0</v>
      </c>
      <c r="H348" s="315" t="s">
        <v>228</v>
      </c>
      <c r="I348" s="323">
        <v>0</v>
      </c>
      <c r="J348" s="323">
        <v>0</v>
      </c>
      <c r="K348" s="323">
        <v>0</v>
      </c>
      <c r="L348" s="323">
        <v>0</v>
      </c>
      <c r="M348" s="323"/>
      <c r="N348" s="323"/>
      <c r="O348" s="323"/>
      <c r="P348" s="323"/>
      <c r="Q348" s="323"/>
      <c r="R348" s="323"/>
      <c r="S348" s="323"/>
      <c r="T348" s="323"/>
      <c r="U348" s="323"/>
      <c r="V348" s="316">
        <f t="shared" si="41"/>
        <v>0</v>
      </c>
      <c r="W348" s="316">
        <v>32.159999999999997</v>
      </c>
      <c r="X348" s="316">
        <f t="shared" si="39"/>
        <v>0</v>
      </c>
      <c r="Y348" s="322">
        <f>X348/X347</f>
        <v>0</v>
      </c>
      <c r="Z348" s="572"/>
      <c r="AA348" s="567"/>
    </row>
    <row r="349" spans="1:27" s="311" customFormat="1" ht="15" customHeight="1" outlineLevel="1">
      <c r="A349" s="273">
        <v>345</v>
      </c>
      <c r="B349" s="273" t="s">
        <v>0</v>
      </c>
      <c r="C349" s="305" t="s">
        <v>609</v>
      </c>
      <c r="D349" s="306" t="s">
        <v>610</v>
      </c>
      <c r="E349" s="307" t="s">
        <v>609</v>
      </c>
      <c r="F349" s="553" t="str">
        <f t="shared" ref="F349:F412" si="42">B349&amp;D349</f>
        <v>PREVFerramenta universal para bastão de manobra ‐ Jogo para Tensionadores Duplos ‐_x000D_
jugo duplo lado vivo</v>
      </c>
      <c r="G349" s="611" t="s">
        <v>74</v>
      </c>
      <c r="H349" s="307" t="s">
        <v>228</v>
      </c>
      <c r="I349" s="321">
        <v>0.26400000000000001</v>
      </c>
      <c r="J349" s="321">
        <v>0.33</v>
      </c>
      <c r="K349" s="321">
        <v>0.33</v>
      </c>
      <c r="L349" s="321">
        <v>0.33</v>
      </c>
      <c r="M349" s="321">
        <v>0.33</v>
      </c>
      <c r="N349" s="321">
        <v>0.33</v>
      </c>
      <c r="O349" s="321">
        <v>0.33</v>
      </c>
      <c r="P349" s="321">
        <v>0.33</v>
      </c>
      <c r="Q349" s="321">
        <v>0.34</v>
      </c>
      <c r="R349" s="321">
        <v>0.34</v>
      </c>
      <c r="S349" s="321">
        <v>0.34</v>
      </c>
      <c r="T349" s="321">
        <v>0.34</v>
      </c>
      <c r="U349" s="321">
        <v>6.8000000000000005E-2</v>
      </c>
      <c r="V349" s="308">
        <f t="shared" si="41"/>
        <v>4.0019999999999998</v>
      </c>
      <c r="W349" s="308">
        <v>33.58</v>
      </c>
      <c r="X349" s="308">
        <f t="shared" ref="X349:X412" si="43">W349*V349</f>
        <v>134.38715999999999</v>
      </c>
      <c r="Y349" s="322" t="s">
        <v>74</v>
      </c>
      <c r="Z349" s="575"/>
      <c r="AA349" s="567"/>
    </row>
    <row r="350" spans="1:27" s="318" customFormat="1" ht="15" customHeight="1" outlineLevel="1">
      <c r="A350" s="282">
        <v>346</v>
      </c>
      <c r="B350" s="282" t="s">
        <v>1</v>
      </c>
      <c r="C350" s="312" t="s">
        <v>609</v>
      </c>
      <c r="D350" s="313" t="s">
        <v>610</v>
      </c>
      <c r="E350" s="314" t="s">
        <v>609</v>
      </c>
      <c r="F350" s="553" t="str">
        <f t="shared" si="42"/>
        <v>REALFerramenta universal para bastão de manobra ‐ Jogo para Tensionadores Duplos ‐_x000D_
jugo duplo lado vivo</v>
      </c>
      <c r="G350" s="609">
        <f>Y350</f>
        <v>0</v>
      </c>
      <c r="H350" s="315" t="s">
        <v>228</v>
      </c>
      <c r="I350" s="323">
        <v>0</v>
      </c>
      <c r="J350" s="323">
        <v>0</v>
      </c>
      <c r="K350" s="323">
        <v>0</v>
      </c>
      <c r="L350" s="323">
        <v>0</v>
      </c>
      <c r="M350" s="323"/>
      <c r="N350" s="323"/>
      <c r="O350" s="323"/>
      <c r="P350" s="323"/>
      <c r="Q350" s="323"/>
      <c r="R350" s="323"/>
      <c r="S350" s="323"/>
      <c r="T350" s="323"/>
      <c r="U350" s="323"/>
      <c r="V350" s="316">
        <f t="shared" si="41"/>
        <v>0</v>
      </c>
      <c r="W350" s="316">
        <v>33.58</v>
      </c>
      <c r="X350" s="316">
        <f t="shared" si="43"/>
        <v>0</v>
      </c>
      <c r="Y350" s="322">
        <f>X350/X349</f>
        <v>0</v>
      </c>
      <c r="Z350" s="572"/>
      <c r="AA350" s="567"/>
    </row>
    <row r="351" spans="1:27" s="311" customFormat="1" ht="15" customHeight="1" outlineLevel="1">
      <c r="A351" s="273">
        <v>347</v>
      </c>
      <c r="B351" s="273" t="s">
        <v>0</v>
      </c>
      <c r="C351" s="305" t="s">
        <v>611</v>
      </c>
      <c r="D351" s="306" t="s">
        <v>612</v>
      </c>
      <c r="E351" s="307" t="s">
        <v>611</v>
      </c>
      <c r="F351" s="553" t="str">
        <f t="shared" si="42"/>
        <v>PREVFerramenta universal para bastão de manobra ‐ Jogo para Tensionadores Simples balancim trinangular chapa dupla</v>
      </c>
      <c r="G351" s="611" t="s">
        <v>74</v>
      </c>
      <c r="H351" s="307" t="s">
        <v>228</v>
      </c>
      <c r="I351" s="321">
        <v>0.26400000000000001</v>
      </c>
      <c r="J351" s="321">
        <v>0.33</v>
      </c>
      <c r="K351" s="321">
        <v>0.33</v>
      </c>
      <c r="L351" s="321">
        <v>0.33</v>
      </c>
      <c r="M351" s="321">
        <v>0.33</v>
      </c>
      <c r="N351" s="321">
        <v>0.33</v>
      </c>
      <c r="O351" s="321">
        <v>0.33</v>
      </c>
      <c r="P351" s="321">
        <v>0.33</v>
      </c>
      <c r="Q351" s="321">
        <v>0.34</v>
      </c>
      <c r="R351" s="321">
        <v>0.34</v>
      </c>
      <c r="S351" s="321">
        <v>0.34</v>
      </c>
      <c r="T351" s="321">
        <v>0.34</v>
      </c>
      <c r="U351" s="321">
        <v>6.8000000000000005E-2</v>
      </c>
      <c r="V351" s="308">
        <f t="shared" si="41"/>
        <v>4.0019999999999998</v>
      </c>
      <c r="W351" s="308">
        <v>30.86</v>
      </c>
      <c r="X351" s="308">
        <f t="shared" si="43"/>
        <v>123.50171999999999</v>
      </c>
      <c r="Y351" s="322" t="s">
        <v>74</v>
      </c>
      <c r="Z351" s="575"/>
      <c r="AA351" s="567"/>
    </row>
    <row r="352" spans="1:27" s="318" customFormat="1" ht="15" customHeight="1" outlineLevel="1">
      <c r="A352" s="282">
        <v>348</v>
      </c>
      <c r="B352" s="282" t="s">
        <v>1</v>
      </c>
      <c r="C352" s="312" t="s">
        <v>611</v>
      </c>
      <c r="D352" s="313" t="s">
        <v>612</v>
      </c>
      <c r="E352" s="314" t="s">
        <v>611</v>
      </c>
      <c r="F352" s="553" t="str">
        <f t="shared" si="42"/>
        <v>REALFerramenta universal para bastão de manobra ‐ Jogo para Tensionadores Simples balancim trinangular chapa dupla</v>
      </c>
      <c r="G352" s="609">
        <f>Y352</f>
        <v>0</v>
      </c>
      <c r="H352" s="315" t="s">
        <v>228</v>
      </c>
      <c r="I352" s="323">
        <v>0</v>
      </c>
      <c r="J352" s="323">
        <v>0</v>
      </c>
      <c r="K352" s="323">
        <v>0</v>
      </c>
      <c r="L352" s="323">
        <v>0</v>
      </c>
      <c r="M352" s="323"/>
      <c r="N352" s="323"/>
      <c r="O352" s="323"/>
      <c r="P352" s="323"/>
      <c r="Q352" s="323"/>
      <c r="R352" s="323"/>
      <c r="S352" s="323"/>
      <c r="T352" s="323"/>
      <c r="U352" s="323"/>
      <c r="V352" s="316">
        <f t="shared" si="41"/>
        <v>0</v>
      </c>
      <c r="W352" s="316">
        <v>30.86</v>
      </c>
      <c r="X352" s="316">
        <f t="shared" si="43"/>
        <v>0</v>
      </c>
      <c r="Y352" s="322">
        <f>X352/X351</f>
        <v>0</v>
      </c>
      <c r="Z352" s="572"/>
      <c r="AA352" s="567"/>
    </row>
    <row r="353" spans="1:27" s="311" customFormat="1" ht="15" customHeight="1" outlineLevel="1">
      <c r="A353" s="273">
        <v>349</v>
      </c>
      <c r="B353" s="273" t="s">
        <v>0</v>
      </c>
      <c r="C353" s="305" t="s">
        <v>613</v>
      </c>
      <c r="D353" s="306" t="s">
        <v>614</v>
      </c>
      <c r="E353" s="307" t="s">
        <v>613</v>
      </c>
      <c r="F353" s="553" t="str">
        <f t="shared" si="42"/>
        <v>PREVFerramenta universal para bastão de manobra ‐ Sacador de contrapino em alavanca</v>
      </c>
      <c r="G353" s="611" t="s">
        <v>74</v>
      </c>
      <c r="H353" s="307" t="s">
        <v>228</v>
      </c>
      <c r="I353" s="321">
        <v>0.26400000000000001</v>
      </c>
      <c r="J353" s="321">
        <v>0.33</v>
      </c>
      <c r="K353" s="321">
        <v>0.33</v>
      </c>
      <c r="L353" s="321">
        <v>0.33</v>
      </c>
      <c r="M353" s="321">
        <v>0.33</v>
      </c>
      <c r="N353" s="321">
        <v>0.33</v>
      </c>
      <c r="O353" s="321">
        <v>0.33</v>
      </c>
      <c r="P353" s="321">
        <v>0.33</v>
      </c>
      <c r="Q353" s="321">
        <v>0.34</v>
      </c>
      <c r="R353" s="321">
        <v>0.34</v>
      </c>
      <c r="S353" s="321">
        <v>0.34</v>
      </c>
      <c r="T353" s="321">
        <v>0.34</v>
      </c>
      <c r="U353" s="321">
        <v>6.8000000000000005E-2</v>
      </c>
      <c r="V353" s="308">
        <f t="shared" si="41"/>
        <v>4.0019999999999998</v>
      </c>
      <c r="W353" s="308">
        <v>61.2</v>
      </c>
      <c r="X353" s="308">
        <f t="shared" si="43"/>
        <v>244.92240000000001</v>
      </c>
      <c r="Y353" s="322" t="s">
        <v>74</v>
      </c>
      <c r="Z353" s="575"/>
      <c r="AA353" s="567"/>
    </row>
    <row r="354" spans="1:27" s="318" customFormat="1" ht="15" customHeight="1" outlineLevel="1">
      <c r="A354" s="282">
        <v>350</v>
      </c>
      <c r="B354" s="282" t="s">
        <v>1</v>
      </c>
      <c r="C354" s="312" t="s">
        <v>613</v>
      </c>
      <c r="D354" s="313" t="s">
        <v>614</v>
      </c>
      <c r="E354" s="314" t="s">
        <v>613</v>
      </c>
      <c r="F354" s="553" t="str">
        <f t="shared" si="42"/>
        <v>REALFerramenta universal para bastão de manobra ‐ Sacador de contrapino em alavanca</v>
      </c>
      <c r="G354" s="609">
        <f>Y354</f>
        <v>0</v>
      </c>
      <c r="H354" s="315" t="s">
        <v>228</v>
      </c>
      <c r="I354" s="323">
        <v>0</v>
      </c>
      <c r="J354" s="323">
        <v>0</v>
      </c>
      <c r="K354" s="323">
        <v>0</v>
      </c>
      <c r="L354" s="323">
        <v>0</v>
      </c>
      <c r="M354" s="323"/>
      <c r="N354" s="323"/>
      <c r="O354" s="323"/>
      <c r="P354" s="323"/>
      <c r="Q354" s="323"/>
      <c r="R354" s="323"/>
      <c r="S354" s="323"/>
      <c r="T354" s="323"/>
      <c r="U354" s="323"/>
      <c r="V354" s="316">
        <f t="shared" si="41"/>
        <v>0</v>
      </c>
      <c r="W354" s="316">
        <v>61.2</v>
      </c>
      <c r="X354" s="316">
        <f t="shared" si="43"/>
        <v>0</v>
      </c>
      <c r="Y354" s="322">
        <f>X354/X353</f>
        <v>0</v>
      </c>
      <c r="Z354" s="572"/>
      <c r="AA354" s="567"/>
    </row>
    <row r="355" spans="1:27" s="311" customFormat="1" ht="15" customHeight="1" outlineLevel="1">
      <c r="A355" s="273">
        <v>351</v>
      </c>
      <c r="B355" s="273" t="s">
        <v>0</v>
      </c>
      <c r="C355" s="305" t="s">
        <v>615</v>
      </c>
      <c r="D355" s="306" t="s">
        <v>616</v>
      </c>
      <c r="E355" s="307" t="s">
        <v>615</v>
      </c>
      <c r="F355" s="553" t="str">
        <f t="shared" si="42"/>
        <v>PREVFerramenta universal para bastão de manobra ‐ Suporte de concha</v>
      </c>
      <c r="G355" s="611" t="s">
        <v>74</v>
      </c>
      <c r="H355" s="307" t="s">
        <v>228</v>
      </c>
      <c r="I355" s="321">
        <v>0.26400000000000001</v>
      </c>
      <c r="J355" s="321">
        <v>0.33</v>
      </c>
      <c r="K355" s="321">
        <v>0.33</v>
      </c>
      <c r="L355" s="321">
        <v>0.33</v>
      </c>
      <c r="M355" s="321">
        <v>0.33</v>
      </c>
      <c r="N355" s="321">
        <v>0.33</v>
      </c>
      <c r="O355" s="321">
        <v>0.33</v>
      </c>
      <c r="P355" s="321">
        <v>0.33</v>
      </c>
      <c r="Q355" s="321">
        <v>0.34</v>
      </c>
      <c r="R355" s="321">
        <v>0.34</v>
      </c>
      <c r="S355" s="321">
        <v>0.34</v>
      </c>
      <c r="T355" s="321">
        <v>0.34</v>
      </c>
      <c r="U355" s="321">
        <v>6.8000000000000005E-2</v>
      </c>
      <c r="V355" s="308">
        <f t="shared" si="41"/>
        <v>4.0019999999999998</v>
      </c>
      <c r="W355" s="308">
        <v>52.29</v>
      </c>
      <c r="X355" s="308">
        <f t="shared" si="43"/>
        <v>209.26458</v>
      </c>
      <c r="Y355" s="322" t="s">
        <v>74</v>
      </c>
      <c r="Z355" s="575"/>
      <c r="AA355" s="567"/>
    </row>
    <row r="356" spans="1:27" s="318" customFormat="1" ht="15" customHeight="1" outlineLevel="1">
      <c r="A356" s="282">
        <v>352</v>
      </c>
      <c r="B356" s="282" t="s">
        <v>1</v>
      </c>
      <c r="C356" s="312" t="s">
        <v>615</v>
      </c>
      <c r="D356" s="313" t="s">
        <v>616</v>
      </c>
      <c r="E356" s="314" t="s">
        <v>615</v>
      </c>
      <c r="F356" s="553" t="str">
        <f t="shared" si="42"/>
        <v>REALFerramenta universal para bastão de manobra ‐ Suporte de concha</v>
      </c>
      <c r="G356" s="609">
        <f>Y356</f>
        <v>0</v>
      </c>
      <c r="H356" s="315" t="s">
        <v>228</v>
      </c>
      <c r="I356" s="323">
        <v>0</v>
      </c>
      <c r="J356" s="323">
        <v>0</v>
      </c>
      <c r="K356" s="323">
        <v>0</v>
      </c>
      <c r="L356" s="323">
        <v>0</v>
      </c>
      <c r="M356" s="323"/>
      <c r="N356" s="323"/>
      <c r="O356" s="323"/>
      <c r="P356" s="323"/>
      <c r="Q356" s="323"/>
      <c r="R356" s="323"/>
      <c r="S356" s="323"/>
      <c r="T356" s="323"/>
      <c r="U356" s="323"/>
      <c r="V356" s="316">
        <f t="shared" si="41"/>
        <v>0</v>
      </c>
      <c r="W356" s="316">
        <v>52.29</v>
      </c>
      <c r="X356" s="316">
        <f t="shared" si="43"/>
        <v>0</v>
      </c>
      <c r="Y356" s="322">
        <f>X356/X355</f>
        <v>0</v>
      </c>
      <c r="Z356" s="572"/>
      <c r="AA356" s="567"/>
    </row>
    <row r="357" spans="1:27" s="311" customFormat="1" ht="15" customHeight="1" outlineLevel="1">
      <c r="A357" s="273">
        <v>353</v>
      </c>
      <c r="B357" s="273" t="s">
        <v>0</v>
      </c>
      <c r="C357" s="305" t="s">
        <v>617</v>
      </c>
      <c r="D357" s="306" t="s">
        <v>618</v>
      </c>
      <c r="E357" s="307" t="s">
        <v>617</v>
      </c>
      <c r="F357" s="553" t="str">
        <f t="shared" si="42"/>
        <v>PREVFerramenta universal para bastão de manobra ‐ Suporte flexível para soquete hexagonal</v>
      </c>
      <c r="G357" s="611" t="s">
        <v>74</v>
      </c>
      <c r="H357" s="307" t="s">
        <v>228</v>
      </c>
      <c r="I357" s="321">
        <v>0.26400000000000001</v>
      </c>
      <c r="J357" s="321">
        <v>0.33</v>
      </c>
      <c r="K357" s="321">
        <v>0.33</v>
      </c>
      <c r="L357" s="321">
        <v>0.33</v>
      </c>
      <c r="M357" s="321">
        <v>0.33</v>
      </c>
      <c r="N357" s="321">
        <v>0.33</v>
      </c>
      <c r="O357" s="321">
        <v>0.33</v>
      </c>
      <c r="P357" s="321">
        <v>0.33</v>
      </c>
      <c r="Q357" s="321">
        <v>0.34</v>
      </c>
      <c r="R357" s="321">
        <v>0.34</v>
      </c>
      <c r="S357" s="321">
        <v>0.34</v>
      </c>
      <c r="T357" s="321">
        <v>0.34</v>
      </c>
      <c r="U357" s="321">
        <v>6.8000000000000005E-2</v>
      </c>
      <c r="V357" s="308">
        <f t="shared" si="41"/>
        <v>4.0019999999999998</v>
      </c>
      <c r="W357" s="308">
        <v>77.459999999999994</v>
      </c>
      <c r="X357" s="308">
        <f t="shared" si="43"/>
        <v>309.99491999999998</v>
      </c>
      <c r="Y357" s="322" t="s">
        <v>74</v>
      </c>
      <c r="Z357" s="575"/>
      <c r="AA357" s="567"/>
    </row>
    <row r="358" spans="1:27" s="318" customFormat="1" ht="15" customHeight="1" outlineLevel="1">
      <c r="A358" s="282">
        <v>354</v>
      </c>
      <c r="B358" s="282" t="s">
        <v>1</v>
      </c>
      <c r="C358" s="312" t="s">
        <v>617</v>
      </c>
      <c r="D358" s="313" t="s">
        <v>618</v>
      </c>
      <c r="E358" s="314" t="s">
        <v>617</v>
      </c>
      <c r="F358" s="553" t="str">
        <f t="shared" si="42"/>
        <v>REALFerramenta universal para bastão de manobra ‐ Suporte flexível para soquete hexagonal</v>
      </c>
      <c r="G358" s="609">
        <f>Y358</f>
        <v>0</v>
      </c>
      <c r="H358" s="315" t="s">
        <v>228</v>
      </c>
      <c r="I358" s="323">
        <v>0</v>
      </c>
      <c r="J358" s="323">
        <v>0</v>
      </c>
      <c r="K358" s="323">
        <v>0</v>
      </c>
      <c r="L358" s="323">
        <v>0</v>
      </c>
      <c r="M358" s="323"/>
      <c r="N358" s="323"/>
      <c r="O358" s="323"/>
      <c r="P358" s="323"/>
      <c r="Q358" s="323"/>
      <c r="R358" s="323"/>
      <c r="S358" s="323"/>
      <c r="T358" s="323"/>
      <c r="U358" s="323"/>
      <c r="V358" s="316">
        <f t="shared" si="41"/>
        <v>0</v>
      </c>
      <c r="W358" s="316">
        <v>77.459999999999994</v>
      </c>
      <c r="X358" s="316">
        <f t="shared" si="43"/>
        <v>0</v>
      </c>
      <c r="Y358" s="322">
        <f>X358/X357</f>
        <v>0</v>
      </c>
      <c r="Z358" s="572"/>
      <c r="AA358" s="567"/>
    </row>
    <row r="359" spans="1:27" s="311" customFormat="1" ht="15" customHeight="1" outlineLevel="1">
      <c r="A359" s="273">
        <v>355</v>
      </c>
      <c r="B359" s="273" t="s">
        <v>0</v>
      </c>
      <c r="C359" s="305" t="s">
        <v>619</v>
      </c>
      <c r="D359" s="306" t="s">
        <v>620</v>
      </c>
      <c r="E359" s="307" t="s">
        <v>619</v>
      </c>
      <c r="F359" s="553" t="str">
        <f t="shared" si="42"/>
        <v>PREVFerramenta universal para bastão de manobra ‐ Tenaz multi‐angular</v>
      </c>
      <c r="G359" s="611" t="s">
        <v>74</v>
      </c>
      <c r="H359" s="307" t="s">
        <v>228</v>
      </c>
      <c r="I359" s="321">
        <v>0.26400000000000001</v>
      </c>
      <c r="J359" s="321">
        <v>0.33</v>
      </c>
      <c r="K359" s="321">
        <v>0.33</v>
      </c>
      <c r="L359" s="321">
        <v>0.33</v>
      </c>
      <c r="M359" s="321">
        <v>0.33</v>
      </c>
      <c r="N359" s="321">
        <v>0.33</v>
      </c>
      <c r="O359" s="321">
        <v>0.33</v>
      </c>
      <c r="P359" s="321">
        <v>0.33</v>
      </c>
      <c r="Q359" s="321">
        <v>0.34</v>
      </c>
      <c r="R359" s="321">
        <v>0.34</v>
      </c>
      <c r="S359" s="321">
        <v>0.34</v>
      </c>
      <c r="T359" s="321">
        <v>0.34</v>
      </c>
      <c r="U359" s="321">
        <v>6.8000000000000005E-2</v>
      </c>
      <c r="V359" s="308">
        <f t="shared" si="41"/>
        <v>4.0019999999999998</v>
      </c>
      <c r="W359" s="308">
        <v>81.34</v>
      </c>
      <c r="X359" s="308">
        <f t="shared" si="43"/>
        <v>325.52267999999998</v>
      </c>
      <c r="Y359" s="322" t="s">
        <v>74</v>
      </c>
      <c r="Z359" s="575"/>
      <c r="AA359" s="567"/>
    </row>
    <row r="360" spans="1:27" s="318" customFormat="1" ht="15" customHeight="1" outlineLevel="1">
      <c r="A360" s="282">
        <v>356</v>
      </c>
      <c r="B360" s="282" t="s">
        <v>1</v>
      </c>
      <c r="C360" s="312" t="s">
        <v>619</v>
      </c>
      <c r="D360" s="313" t="s">
        <v>620</v>
      </c>
      <c r="E360" s="314" t="s">
        <v>619</v>
      </c>
      <c r="F360" s="553" t="str">
        <f t="shared" si="42"/>
        <v>REALFerramenta universal para bastão de manobra ‐ Tenaz multi‐angular</v>
      </c>
      <c r="G360" s="609">
        <f>Y360</f>
        <v>0</v>
      </c>
      <c r="H360" s="315" t="s">
        <v>228</v>
      </c>
      <c r="I360" s="323">
        <v>0</v>
      </c>
      <c r="J360" s="323">
        <v>0</v>
      </c>
      <c r="K360" s="323">
        <v>0</v>
      </c>
      <c r="L360" s="323">
        <v>0</v>
      </c>
      <c r="M360" s="323"/>
      <c r="N360" s="323"/>
      <c r="O360" s="323"/>
      <c r="P360" s="323"/>
      <c r="Q360" s="323"/>
      <c r="R360" s="323"/>
      <c r="S360" s="323"/>
      <c r="T360" s="323"/>
      <c r="U360" s="323"/>
      <c r="V360" s="316">
        <f t="shared" si="41"/>
        <v>0</v>
      </c>
      <c r="W360" s="316">
        <v>81.34</v>
      </c>
      <c r="X360" s="316">
        <f t="shared" si="43"/>
        <v>0</v>
      </c>
      <c r="Y360" s="322">
        <f>X360/X359</f>
        <v>0</v>
      </c>
      <c r="Z360" s="572"/>
      <c r="AA360" s="567"/>
    </row>
    <row r="361" spans="1:27" s="311" customFormat="1" ht="15" customHeight="1" outlineLevel="1">
      <c r="A361" s="273">
        <v>357</v>
      </c>
      <c r="B361" s="273" t="s">
        <v>0</v>
      </c>
      <c r="C361" s="305" t="s">
        <v>621</v>
      </c>
      <c r="D361" s="306" t="s">
        <v>622</v>
      </c>
      <c r="E361" s="307" t="s">
        <v>621</v>
      </c>
      <c r="F361" s="553" t="str">
        <f t="shared" si="42"/>
        <v>PREVFerramenta universal para bastão de manobra ‐ Tenaz para isolador</v>
      </c>
      <c r="G361" s="611" t="s">
        <v>74</v>
      </c>
      <c r="H361" s="307" t="s">
        <v>228</v>
      </c>
      <c r="I361" s="321">
        <v>0.26400000000000001</v>
      </c>
      <c r="J361" s="321">
        <v>0.33</v>
      </c>
      <c r="K361" s="321">
        <v>0.33</v>
      </c>
      <c r="L361" s="321">
        <v>0.33</v>
      </c>
      <c r="M361" s="321">
        <v>0.33</v>
      </c>
      <c r="N361" s="321">
        <v>0.33</v>
      </c>
      <c r="O361" s="321">
        <v>0.33</v>
      </c>
      <c r="P361" s="321">
        <v>0.33</v>
      </c>
      <c r="Q361" s="321">
        <v>0.34</v>
      </c>
      <c r="R361" s="321">
        <v>0.34</v>
      </c>
      <c r="S361" s="321">
        <v>0.34</v>
      </c>
      <c r="T361" s="321">
        <v>0.34</v>
      </c>
      <c r="U361" s="321">
        <v>6.8000000000000005E-2</v>
      </c>
      <c r="V361" s="308">
        <f t="shared" si="41"/>
        <v>4.0019999999999998</v>
      </c>
      <c r="W361" s="308">
        <v>96.84</v>
      </c>
      <c r="X361" s="308">
        <f t="shared" si="43"/>
        <v>387.55367999999999</v>
      </c>
      <c r="Y361" s="322" t="s">
        <v>74</v>
      </c>
      <c r="Z361" s="575"/>
      <c r="AA361" s="567"/>
    </row>
    <row r="362" spans="1:27" s="318" customFormat="1" ht="15" customHeight="1" outlineLevel="1">
      <c r="A362" s="282">
        <v>358</v>
      </c>
      <c r="B362" s="282" t="s">
        <v>1</v>
      </c>
      <c r="C362" s="312" t="s">
        <v>621</v>
      </c>
      <c r="D362" s="313" t="s">
        <v>622</v>
      </c>
      <c r="E362" s="314" t="s">
        <v>621</v>
      </c>
      <c r="F362" s="553" t="str">
        <f t="shared" si="42"/>
        <v>REALFerramenta universal para bastão de manobra ‐ Tenaz para isolador</v>
      </c>
      <c r="G362" s="609">
        <f>Y362</f>
        <v>0</v>
      </c>
      <c r="H362" s="315" t="s">
        <v>228</v>
      </c>
      <c r="I362" s="323">
        <v>0</v>
      </c>
      <c r="J362" s="323">
        <v>0</v>
      </c>
      <c r="K362" s="323">
        <v>0</v>
      </c>
      <c r="L362" s="323">
        <v>0</v>
      </c>
      <c r="M362" s="323"/>
      <c r="N362" s="323"/>
      <c r="O362" s="323"/>
      <c r="P362" s="323"/>
      <c r="Q362" s="323"/>
      <c r="R362" s="323"/>
      <c r="S362" s="323"/>
      <c r="T362" s="323"/>
      <c r="U362" s="323"/>
      <c r="V362" s="316">
        <f t="shared" si="41"/>
        <v>0</v>
      </c>
      <c r="W362" s="316">
        <v>96.84</v>
      </c>
      <c r="X362" s="316">
        <f t="shared" si="43"/>
        <v>0</v>
      </c>
      <c r="Y362" s="322">
        <f>X362/X361</f>
        <v>0</v>
      </c>
      <c r="Z362" s="572"/>
      <c r="AA362" s="567"/>
    </row>
    <row r="363" spans="1:27" s="311" customFormat="1" ht="15" customHeight="1" outlineLevel="1">
      <c r="A363" s="273">
        <v>359</v>
      </c>
      <c r="B363" s="273" t="s">
        <v>0</v>
      </c>
      <c r="C363" s="305" t="s">
        <v>623</v>
      </c>
      <c r="D363" s="306" t="s">
        <v>624</v>
      </c>
      <c r="E363" s="307" t="s">
        <v>623</v>
      </c>
      <c r="F363" s="553" t="str">
        <f t="shared" si="42"/>
        <v>PREVFoice 33mm (Com Cabo 110cm)</v>
      </c>
      <c r="G363" s="611" t="s">
        <v>74</v>
      </c>
      <c r="H363" s="307" t="s">
        <v>228</v>
      </c>
      <c r="I363" s="321">
        <v>0.26400000000000001</v>
      </c>
      <c r="J363" s="321">
        <v>0.33</v>
      </c>
      <c r="K363" s="321">
        <v>0.33</v>
      </c>
      <c r="L363" s="321">
        <v>0.33</v>
      </c>
      <c r="M363" s="321">
        <v>0.33</v>
      </c>
      <c r="N363" s="321">
        <v>0.33</v>
      </c>
      <c r="O363" s="321">
        <v>0.33</v>
      </c>
      <c r="P363" s="321">
        <v>0.33</v>
      </c>
      <c r="Q363" s="321">
        <v>0.34</v>
      </c>
      <c r="R363" s="321">
        <v>0.34</v>
      </c>
      <c r="S363" s="321">
        <v>0.34</v>
      </c>
      <c r="T363" s="321">
        <v>0.34</v>
      </c>
      <c r="U363" s="321">
        <v>6.8000000000000005E-2</v>
      </c>
      <c r="V363" s="308">
        <f t="shared" si="41"/>
        <v>4.0019999999999998</v>
      </c>
      <c r="W363" s="308">
        <v>10.74</v>
      </c>
      <c r="X363" s="308">
        <f t="shared" si="43"/>
        <v>42.981479999999998</v>
      </c>
      <c r="Y363" s="322" t="s">
        <v>74</v>
      </c>
      <c r="Z363" s="575"/>
      <c r="AA363" s="567"/>
    </row>
    <row r="364" spans="1:27" s="318" customFormat="1" ht="15" customHeight="1" outlineLevel="1">
      <c r="A364" s="282">
        <v>360</v>
      </c>
      <c r="B364" s="282" t="s">
        <v>1</v>
      </c>
      <c r="C364" s="312" t="s">
        <v>623</v>
      </c>
      <c r="D364" s="313" t="s">
        <v>624</v>
      </c>
      <c r="E364" s="314">
        <v>62889</v>
      </c>
      <c r="F364" s="553" t="str">
        <f t="shared" si="42"/>
        <v>REALFoice 33mm (Com Cabo 110cm)</v>
      </c>
      <c r="G364" s="609">
        <f>Y364</f>
        <v>0.33316674995835416</v>
      </c>
      <c r="H364" s="315" t="s">
        <v>228</v>
      </c>
      <c r="I364" s="323">
        <v>0.33333333333333331</v>
      </c>
      <c r="J364" s="323">
        <v>0.33333333333333331</v>
      </c>
      <c r="K364" s="323">
        <v>0.33333333333333331</v>
      </c>
      <c r="L364" s="323">
        <v>0.33333333333333331</v>
      </c>
      <c r="M364" s="323"/>
      <c r="N364" s="323"/>
      <c r="O364" s="323"/>
      <c r="P364" s="323"/>
      <c r="Q364" s="323"/>
      <c r="R364" s="323"/>
      <c r="S364" s="323"/>
      <c r="T364" s="323"/>
      <c r="U364" s="323"/>
      <c r="V364" s="316">
        <f t="shared" si="41"/>
        <v>1.3333333333333333</v>
      </c>
      <c r="W364" s="316">
        <v>10.74</v>
      </c>
      <c r="X364" s="316">
        <f t="shared" si="43"/>
        <v>14.32</v>
      </c>
      <c r="Y364" s="322">
        <f>X364/X363</f>
        <v>0.33316674995835416</v>
      </c>
      <c r="Z364" s="572"/>
      <c r="AA364" s="567"/>
    </row>
    <row r="365" spans="1:27" s="311" customFormat="1" ht="15" customHeight="1" outlineLevel="1">
      <c r="A365" s="273">
        <v>361</v>
      </c>
      <c r="B365" s="273" t="s">
        <v>0</v>
      </c>
      <c r="C365" s="305" t="s">
        <v>625</v>
      </c>
      <c r="D365" s="306" t="s">
        <v>626</v>
      </c>
      <c r="E365" s="307" t="s">
        <v>625</v>
      </c>
      <c r="F365" s="553" t="str">
        <f t="shared" si="42"/>
        <v>PREVFumigador para apicultura</v>
      </c>
      <c r="G365" s="611" t="s">
        <v>74</v>
      </c>
      <c r="H365" s="307" t="s">
        <v>228</v>
      </c>
      <c r="I365" s="321">
        <v>0.93599999999999994</v>
      </c>
      <c r="J365" s="321">
        <v>1.17</v>
      </c>
      <c r="K365" s="321">
        <v>1.17</v>
      </c>
      <c r="L365" s="321">
        <v>1.17</v>
      </c>
      <c r="M365" s="321">
        <v>1.17</v>
      </c>
      <c r="N365" s="321">
        <v>1.17</v>
      </c>
      <c r="O365" s="321">
        <v>1.17</v>
      </c>
      <c r="P365" s="321">
        <v>1.17</v>
      </c>
      <c r="Q365" s="321">
        <v>1.1599999999999999</v>
      </c>
      <c r="R365" s="321">
        <v>1.1599999999999999</v>
      </c>
      <c r="S365" s="321">
        <v>1.1599999999999999</v>
      </c>
      <c r="T365" s="321">
        <v>1.1599999999999999</v>
      </c>
      <c r="U365" s="321">
        <v>0.23199999999999998</v>
      </c>
      <c r="V365" s="308">
        <f t="shared" si="41"/>
        <v>13.997999999999999</v>
      </c>
      <c r="W365" s="308">
        <v>30</v>
      </c>
      <c r="X365" s="308">
        <f t="shared" si="43"/>
        <v>419.94</v>
      </c>
      <c r="Y365" s="322" t="s">
        <v>74</v>
      </c>
      <c r="Z365" s="575"/>
      <c r="AA365" s="567"/>
    </row>
    <row r="366" spans="1:27" s="318" customFormat="1" ht="15" customHeight="1" outlineLevel="1">
      <c r="A366" s="282">
        <v>362</v>
      </c>
      <c r="B366" s="282" t="s">
        <v>1</v>
      </c>
      <c r="C366" s="312" t="s">
        <v>625</v>
      </c>
      <c r="D366" s="313" t="s">
        <v>626</v>
      </c>
      <c r="E366" s="314">
        <v>63254</v>
      </c>
      <c r="F366" s="553" t="str">
        <f t="shared" si="42"/>
        <v>REALFumigador para apicultura</v>
      </c>
      <c r="G366" s="609">
        <f>Y366</f>
        <v>7.1438776968138301E-2</v>
      </c>
      <c r="H366" s="315" t="s">
        <v>228</v>
      </c>
      <c r="I366" s="323">
        <v>0.25</v>
      </c>
      <c r="J366" s="323">
        <v>0.25</v>
      </c>
      <c r="K366" s="323">
        <v>0.25</v>
      </c>
      <c r="L366" s="323">
        <v>0.25</v>
      </c>
      <c r="M366" s="323"/>
      <c r="N366" s="323"/>
      <c r="O366" s="323"/>
      <c r="P366" s="323"/>
      <c r="Q366" s="323"/>
      <c r="R366" s="323"/>
      <c r="S366" s="323"/>
      <c r="T366" s="323"/>
      <c r="U366" s="323"/>
      <c r="V366" s="316">
        <f t="shared" si="41"/>
        <v>1</v>
      </c>
      <c r="W366" s="316">
        <v>30</v>
      </c>
      <c r="X366" s="316">
        <f t="shared" si="43"/>
        <v>30</v>
      </c>
      <c r="Y366" s="322">
        <f>X366/X365</f>
        <v>7.1438776968138301E-2</v>
      </c>
      <c r="Z366" s="572"/>
      <c r="AA366" s="567"/>
    </row>
    <row r="367" spans="1:27" s="311" customFormat="1" ht="15" customHeight="1" outlineLevel="1">
      <c r="A367" s="273">
        <v>363</v>
      </c>
      <c r="B367" s="273" t="s">
        <v>0</v>
      </c>
      <c r="C367" s="305" t="s">
        <v>627</v>
      </c>
      <c r="D367" s="306" t="s">
        <v>628</v>
      </c>
      <c r="E367" s="307" t="s">
        <v>627</v>
      </c>
      <c r="F367" s="553" t="str">
        <f t="shared" si="42"/>
        <v>PREVFuradeira elétrica de impacto 1/2" Ø 13mm, 800W, 1050 A, 2800 rpm e 220V</v>
      </c>
      <c r="G367" s="611" t="s">
        <v>74</v>
      </c>
      <c r="H367" s="307" t="s">
        <v>228</v>
      </c>
      <c r="I367" s="321">
        <v>0.93599999999999994</v>
      </c>
      <c r="J367" s="321">
        <v>1.17</v>
      </c>
      <c r="K367" s="321">
        <v>1.17</v>
      </c>
      <c r="L367" s="321">
        <v>1.17</v>
      </c>
      <c r="M367" s="321">
        <v>1.17</v>
      </c>
      <c r="N367" s="321">
        <v>1.17</v>
      </c>
      <c r="O367" s="321">
        <v>1.17</v>
      </c>
      <c r="P367" s="321">
        <v>1.17</v>
      </c>
      <c r="Q367" s="321">
        <v>1.1599999999999999</v>
      </c>
      <c r="R367" s="321">
        <v>1.1599999999999999</v>
      </c>
      <c r="S367" s="321">
        <v>1.1599999999999999</v>
      </c>
      <c r="T367" s="321">
        <v>1.1599999999999999</v>
      </c>
      <c r="U367" s="321">
        <v>0.23199999999999998</v>
      </c>
      <c r="V367" s="308">
        <f t="shared" si="41"/>
        <v>13.997999999999999</v>
      </c>
      <c r="W367" s="308">
        <v>108.04</v>
      </c>
      <c r="X367" s="308">
        <f t="shared" si="43"/>
        <v>1512.34392</v>
      </c>
      <c r="Y367" s="322" t="s">
        <v>74</v>
      </c>
      <c r="Z367" s="575"/>
      <c r="AA367" s="567"/>
    </row>
    <row r="368" spans="1:27" s="318" customFormat="1" ht="15" customHeight="1" outlineLevel="1">
      <c r="A368" s="282">
        <v>364</v>
      </c>
      <c r="B368" s="282" t="s">
        <v>1</v>
      </c>
      <c r="C368" s="312" t="s">
        <v>627</v>
      </c>
      <c r="D368" s="313" t="s">
        <v>628</v>
      </c>
      <c r="E368" s="314">
        <v>63619</v>
      </c>
      <c r="F368" s="553" t="str">
        <f t="shared" si="42"/>
        <v>REALFuradeira elétrica de impacto 1/2" Ø 13mm, 800W, 1050 A, 2800 rpm e 220V</v>
      </c>
      <c r="G368" s="609">
        <f>Y368</f>
        <v>0.30956803352859935</v>
      </c>
      <c r="H368" s="315" t="s">
        <v>228</v>
      </c>
      <c r="I368" s="323">
        <v>1</v>
      </c>
      <c r="J368" s="323">
        <v>1</v>
      </c>
      <c r="K368" s="323">
        <v>1.1666666666666667</v>
      </c>
      <c r="L368" s="323">
        <v>1.1666666666666667</v>
      </c>
      <c r="M368" s="323"/>
      <c r="N368" s="323"/>
      <c r="O368" s="323"/>
      <c r="P368" s="323"/>
      <c r="Q368" s="323"/>
      <c r="R368" s="323"/>
      <c r="S368" s="323"/>
      <c r="T368" s="323"/>
      <c r="U368" s="323"/>
      <c r="V368" s="316">
        <f t="shared" si="41"/>
        <v>4.3333333333333339</v>
      </c>
      <c r="W368" s="316">
        <v>108.04</v>
      </c>
      <c r="X368" s="316">
        <f t="shared" si="43"/>
        <v>468.1733333333334</v>
      </c>
      <c r="Y368" s="322">
        <f>X368/X367</f>
        <v>0.30956803352859935</v>
      </c>
      <c r="Z368" s="572"/>
      <c r="AA368" s="567"/>
    </row>
    <row r="369" spans="1:27" s="311" customFormat="1" ht="15" customHeight="1" outlineLevel="1">
      <c r="A369" s="273">
        <v>365</v>
      </c>
      <c r="B369" s="273" t="s">
        <v>0</v>
      </c>
      <c r="C369" s="305" t="s">
        <v>629</v>
      </c>
      <c r="D369" s="306" t="s">
        <v>630</v>
      </c>
      <c r="E369" s="307" t="s">
        <v>629</v>
      </c>
      <c r="F369" s="553" t="str">
        <f t="shared" si="42"/>
        <v>PREVGrampo de aterramento com parafuso olhal T (linhas)</v>
      </c>
      <c r="G369" s="611" t="s">
        <v>74</v>
      </c>
      <c r="H369" s="307" t="s">
        <v>228</v>
      </c>
      <c r="I369" s="321">
        <v>0.46399999999999997</v>
      </c>
      <c r="J369" s="321">
        <v>0.57999999999999996</v>
      </c>
      <c r="K369" s="321">
        <v>0.57999999999999996</v>
      </c>
      <c r="L369" s="321">
        <v>0.57999999999999996</v>
      </c>
      <c r="M369" s="321">
        <v>0.57999999999999996</v>
      </c>
      <c r="N369" s="321">
        <v>0.57999999999999996</v>
      </c>
      <c r="O369" s="321">
        <v>0.57999999999999996</v>
      </c>
      <c r="P369" s="321">
        <v>0.57999999999999996</v>
      </c>
      <c r="Q369" s="321">
        <v>0.59</v>
      </c>
      <c r="R369" s="321">
        <v>0.59</v>
      </c>
      <c r="S369" s="321">
        <v>0.59</v>
      </c>
      <c r="T369" s="321">
        <v>0.59</v>
      </c>
      <c r="U369" s="321">
        <v>0.11799999999999999</v>
      </c>
      <c r="V369" s="308">
        <f t="shared" si="41"/>
        <v>7.0019999999999998</v>
      </c>
      <c r="W369" s="308">
        <v>34.28</v>
      </c>
      <c r="X369" s="308">
        <f t="shared" si="43"/>
        <v>240.02856</v>
      </c>
      <c r="Y369" s="322" t="s">
        <v>74</v>
      </c>
      <c r="Z369" s="575"/>
      <c r="AA369" s="567"/>
    </row>
    <row r="370" spans="1:27" s="318" customFormat="1" ht="15" customHeight="1" outlineLevel="1">
      <c r="A370" s="282">
        <v>366</v>
      </c>
      <c r="B370" s="282" t="s">
        <v>1</v>
      </c>
      <c r="C370" s="312" t="s">
        <v>629</v>
      </c>
      <c r="D370" s="313" t="s">
        <v>630</v>
      </c>
      <c r="E370" s="314" t="s">
        <v>629</v>
      </c>
      <c r="F370" s="553" t="str">
        <f t="shared" si="42"/>
        <v>REALGrampo de aterramento com parafuso olhal T (linhas)</v>
      </c>
      <c r="G370" s="609">
        <f>Y370</f>
        <v>0.33323812244120732</v>
      </c>
      <c r="H370" s="315" t="s">
        <v>228</v>
      </c>
      <c r="I370" s="323">
        <v>0.58333333333333337</v>
      </c>
      <c r="J370" s="323">
        <v>0.58333333333333337</v>
      </c>
      <c r="K370" s="323">
        <v>0.58333333333333337</v>
      </c>
      <c r="L370" s="323">
        <v>0.58333333333333337</v>
      </c>
      <c r="M370" s="323"/>
      <c r="N370" s="323"/>
      <c r="O370" s="323"/>
      <c r="P370" s="323"/>
      <c r="Q370" s="323"/>
      <c r="R370" s="323"/>
      <c r="S370" s="323"/>
      <c r="T370" s="323"/>
      <c r="U370" s="323"/>
      <c r="V370" s="316">
        <f t="shared" si="41"/>
        <v>2.3333333333333335</v>
      </c>
      <c r="W370" s="316">
        <v>34.28</v>
      </c>
      <c r="X370" s="316">
        <f t="shared" si="43"/>
        <v>79.986666666666679</v>
      </c>
      <c r="Y370" s="322">
        <f>X370/X369</f>
        <v>0.33323812244120732</v>
      </c>
      <c r="Z370" s="572"/>
      <c r="AA370" s="567"/>
    </row>
    <row r="371" spans="1:27" s="311" customFormat="1" ht="15" customHeight="1" outlineLevel="1">
      <c r="A371" s="273">
        <v>367</v>
      </c>
      <c r="B371" s="273" t="s">
        <v>0</v>
      </c>
      <c r="C371" s="305" t="s">
        <v>631</v>
      </c>
      <c r="D371" s="306" t="s">
        <v>632</v>
      </c>
      <c r="E371" s="307" t="s">
        <v>631</v>
      </c>
      <c r="F371" s="553" t="str">
        <f t="shared" si="42"/>
        <v>PREVJogo de chave canhão com 12 unidades</v>
      </c>
      <c r="G371" s="611" t="s">
        <v>74</v>
      </c>
      <c r="H371" s="307" t="s">
        <v>228</v>
      </c>
      <c r="I371" s="321">
        <v>0.93599999999999994</v>
      </c>
      <c r="J371" s="321">
        <v>1.17</v>
      </c>
      <c r="K371" s="321">
        <v>1.17</v>
      </c>
      <c r="L371" s="321">
        <v>1.17</v>
      </c>
      <c r="M371" s="321">
        <v>1.17</v>
      </c>
      <c r="N371" s="321">
        <v>1.17</v>
      </c>
      <c r="O371" s="321">
        <v>1.17</v>
      </c>
      <c r="P371" s="321">
        <v>1.17</v>
      </c>
      <c r="Q371" s="321">
        <v>1.1599999999999999</v>
      </c>
      <c r="R371" s="321">
        <v>1.1599999999999999</v>
      </c>
      <c r="S371" s="321">
        <v>1.1599999999999999</v>
      </c>
      <c r="T371" s="321">
        <v>1.1599999999999999</v>
      </c>
      <c r="U371" s="321">
        <v>0.23199999999999998</v>
      </c>
      <c r="V371" s="308">
        <f t="shared" si="41"/>
        <v>13.997999999999999</v>
      </c>
      <c r="W371" s="308">
        <v>85.37</v>
      </c>
      <c r="X371" s="308">
        <f t="shared" si="43"/>
        <v>1195.00926</v>
      </c>
      <c r="Y371" s="322" t="s">
        <v>74</v>
      </c>
      <c r="Z371" s="575"/>
      <c r="AA371" s="567"/>
    </row>
    <row r="372" spans="1:27" s="318" customFormat="1" ht="15" customHeight="1" outlineLevel="1">
      <c r="A372" s="282">
        <v>368</v>
      </c>
      <c r="B372" s="282" t="s">
        <v>1</v>
      </c>
      <c r="C372" s="312" t="s">
        <v>631</v>
      </c>
      <c r="D372" s="313" t="s">
        <v>632</v>
      </c>
      <c r="E372" s="314">
        <v>64350</v>
      </c>
      <c r="F372" s="553" t="str">
        <f t="shared" si="42"/>
        <v>REALJogo de chave canhão com 12 unidades</v>
      </c>
      <c r="G372" s="609">
        <f>Y372</f>
        <v>0.3214744963566224</v>
      </c>
      <c r="H372" s="315" t="s">
        <v>228</v>
      </c>
      <c r="I372" s="323">
        <v>1.0833333333333333</v>
      </c>
      <c r="J372" s="323">
        <v>1.0833333333333333</v>
      </c>
      <c r="K372" s="323">
        <v>1.1666666666666667</v>
      </c>
      <c r="L372" s="323">
        <v>1.1666666666666667</v>
      </c>
      <c r="M372" s="323"/>
      <c r="N372" s="323"/>
      <c r="O372" s="323"/>
      <c r="P372" s="323"/>
      <c r="Q372" s="323"/>
      <c r="R372" s="323"/>
      <c r="S372" s="323"/>
      <c r="T372" s="323"/>
      <c r="U372" s="323"/>
      <c r="V372" s="316">
        <f t="shared" si="41"/>
        <v>4.5</v>
      </c>
      <c r="W372" s="316">
        <v>85.37</v>
      </c>
      <c r="X372" s="316">
        <f t="shared" si="43"/>
        <v>384.16500000000002</v>
      </c>
      <c r="Y372" s="322">
        <f>X372/X371</f>
        <v>0.3214744963566224</v>
      </c>
      <c r="Z372" s="572"/>
      <c r="AA372" s="567"/>
    </row>
    <row r="373" spans="1:27" s="311" customFormat="1" ht="15" customHeight="1" outlineLevel="1">
      <c r="A373" s="273">
        <v>369</v>
      </c>
      <c r="B373" s="273" t="s">
        <v>0</v>
      </c>
      <c r="C373" s="305" t="s">
        <v>633</v>
      </c>
      <c r="D373" s="306" t="s">
        <v>634</v>
      </c>
      <c r="E373" s="307" t="s">
        <v>633</v>
      </c>
      <c r="F373" s="553" t="str">
        <f t="shared" si="42"/>
        <v>PREVJogo de chave combinada com 16 unidades (sextavado/boca fixa) de 1/4" a_x000D_
1.1/4" (6,35 mm a 31,75 mm)</v>
      </c>
      <c r="G373" s="611" t="s">
        <v>74</v>
      </c>
      <c r="H373" s="307" t="s">
        <v>228</v>
      </c>
      <c r="I373" s="321">
        <v>0.93599999999999994</v>
      </c>
      <c r="J373" s="321">
        <v>1.17</v>
      </c>
      <c r="K373" s="321">
        <v>1.17</v>
      </c>
      <c r="L373" s="321">
        <v>1.17</v>
      </c>
      <c r="M373" s="321">
        <v>1.17</v>
      </c>
      <c r="N373" s="321">
        <v>1.17</v>
      </c>
      <c r="O373" s="321">
        <v>1.17</v>
      </c>
      <c r="P373" s="321">
        <v>1.17</v>
      </c>
      <c r="Q373" s="321">
        <v>1.1599999999999999</v>
      </c>
      <c r="R373" s="321">
        <v>1.1599999999999999</v>
      </c>
      <c r="S373" s="321">
        <v>1.1599999999999999</v>
      </c>
      <c r="T373" s="321">
        <v>1.1599999999999999</v>
      </c>
      <c r="U373" s="321">
        <v>0.23199999999999998</v>
      </c>
      <c r="V373" s="308">
        <f t="shared" si="41"/>
        <v>13.997999999999999</v>
      </c>
      <c r="W373" s="308">
        <v>108.33</v>
      </c>
      <c r="X373" s="308">
        <f t="shared" si="43"/>
        <v>1516.4033399999998</v>
      </c>
      <c r="Y373" s="322" t="s">
        <v>74</v>
      </c>
      <c r="Z373" s="575"/>
      <c r="AA373" s="567"/>
    </row>
    <row r="374" spans="1:27" s="318" customFormat="1" ht="15" customHeight="1" outlineLevel="1">
      <c r="A374" s="282">
        <v>370</v>
      </c>
      <c r="B374" s="282" t="s">
        <v>1</v>
      </c>
      <c r="C374" s="312" t="s">
        <v>633</v>
      </c>
      <c r="D374" s="313" t="s">
        <v>634</v>
      </c>
      <c r="E374" s="314">
        <v>64715</v>
      </c>
      <c r="F374" s="553" t="str">
        <f t="shared" si="42"/>
        <v>REALJogo de chave combinada com 16 unidades (sextavado/boca fixa) de 1/4" a_x000D_
1.1/4" (6,35 mm a 31,75 mm)</v>
      </c>
      <c r="G374" s="609">
        <f>Y374</f>
        <v>0.3214744963566224</v>
      </c>
      <c r="H374" s="315" t="s">
        <v>228</v>
      </c>
      <c r="I374" s="323">
        <v>1.0833333333333333</v>
      </c>
      <c r="J374" s="323">
        <v>1.0833333333333333</v>
      </c>
      <c r="K374" s="323">
        <v>1.1666666666666667</v>
      </c>
      <c r="L374" s="323">
        <v>1.1666666666666667</v>
      </c>
      <c r="M374" s="323"/>
      <c r="N374" s="323"/>
      <c r="O374" s="323"/>
      <c r="P374" s="323"/>
      <c r="Q374" s="323"/>
      <c r="R374" s="323"/>
      <c r="S374" s="323"/>
      <c r="T374" s="323"/>
      <c r="U374" s="323"/>
      <c r="V374" s="316">
        <f t="shared" si="41"/>
        <v>4.5</v>
      </c>
      <c r="W374" s="316">
        <v>108.33</v>
      </c>
      <c r="X374" s="316">
        <f t="shared" si="43"/>
        <v>487.48500000000001</v>
      </c>
      <c r="Y374" s="322">
        <f>X374/X373</f>
        <v>0.3214744963566224</v>
      </c>
      <c r="Z374" s="572"/>
      <c r="AA374" s="567"/>
    </row>
    <row r="375" spans="1:27" s="311" customFormat="1" ht="15" customHeight="1" outlineLevel="1">
      <c r="A375" s="273">
        <v>371</v>
      </c>
      <c r="B375" s="273" t="s">
        <v>0</v>
      </c>
      <c r="C375" s="305" t="s">
        <v>635</v>
      </c>
      <c r="D375" s="306" t="s">
        <v>636</v>
      </c>
      <c r="E375" s="307" t="s">
        <v>635</v>
      </c>
      <c r="F375" s="553" t="str">
        <f t="shared" si="42"/>
        <v>PREVJogo de soquetes estriado com encaixe 1/2" com 38 soquetes ‐ 10‐32mmn</v>
      </c>
      <c r="G375" s="611" t="s">
        <v>74</v>
      </c>
      <c r="H375" s="307" t="s">
        <v>228</v>
      </c>
      <c r="I375" s="321">
        <v>0.93599999999999994</v>
      </c>
      <c r="J375" s="321">
        <v>1.17</v>
      </c>
      <c r="K375" s="321">
        <v>1.17</v>
      </c>
      <c r="L375" s="321">
        <v>1.17</v>
      </c>
      <c r="M375" s="321">
        <v>1.17</v>
      </c>
      <c r="N375" s="321">
        <v>1.17</v>
      </c>
      <c r="O375" s="321">
        <v>1.17</v>
      </c>
      <c r="P375" s="321">
        <v>1.17</v>
      </c>
      <c r="Q375" s="321">
        <v>1.1599999999999999</v>
      </c>
      <c r="R375" s="321">
        <v>1.1599999999999999</v>
      </c>
      <c r="S375" s="321">
        <v>1.1599999999999999</v>
      </c>
      <c r="T375" s="321">
        <v>1.1599999999999999</v>
      </c>
      <c r="U375" s="321">
        <v>0.23199999999999998</v>
      </c>
      <c r="V375" s="308">
        <f t="shared" si="41"/>
        <v>13.997999999999999</v>
      </c>
      <c r="W375" s="308">
        <v>331.81</v>
      </c>
      <c r="X375" s="308">
        <f t="shared" si="43"/>
        <v>4644.6763799999999</v>
      </c>
      <c r="Y375" s="322" t="s">
        <v>74</v>
      </c>
      <c r="Z375" s="575"/>
      <c r="AA375" s="567"/>
    </row>
    <row r="376" spans="1:27" s="318" customFormat="1" ht="15" customHeight="1" outlineLevel="1">
      <c r="A376" s="282">
        <v>372</v>
      </c>
      <c r="B376" s="282" t="s">
        <v>1</v>
      </c>
      <c r="C376" s="312" t="s">
        <v>635</v>
      </c>
      <c r="D376" s="313" t="s">
        <v>636</v>
      </c>
      <c r="E376" s="314">
        <v>65080</v>
      </c>
      <c r="F376" s="553" t="str">
        <f t="shared" si="42"/>
        <v>REALJogo de soquetes estriado com encaixe 1/2" com 38 soquetes ‐ 10‐32mmn</v>
      </c>
      <c r="G376" s="609">
        <f>Y376</f>
        <v>0.33338095918464544</v>
      </c>
      <c r="H376" s="315" t="s">
        <v>228</v>
      </c>
      <c r="I376" s="323">
        <v>1.1666666666666667</v>
      </c>
      <c r="J376" s="323">
        <v>1.1666666666666667</v>
      </c>
      <c r="K376" s="323">
        <v>1.1666666666666667</v>
      </c>
      <c r="L376" s="323">
        <v>1.1666666666666667</v>
      </c>
      <c r="M376" s="323"/>
      <c r="N376" s="323"/>
      <c r="O376" s="323"/>
      <c r="P376" s="323"/>
      <c r="Q376" s="323"/>
      <c r="R376" s="323"/>
      <c r="S376" s="323"/>
      <c r="T376" s="323"/>
      <c r="U376" s="323"/>
      <c r="V376" s="316">
        <f t="shared" ref="V376:V407" si="44">SUM(I376:U376)</f>
        <v>4.666666666666667</v>
      </c>
      <c r="W376" s="316">
        <v>331.81</v>
      </c>
      <c r="X376" s="316">
        <f t="shared" si="43"/>
        <v>1548.4466666666667</v>
      </c>
      <c r="Y376" s="322">
        <f>X376/X375</f>
        <v>0.33338095918464544</v>
      </c>
      <c r="Z376" s="572"/>
      <c r="AA376" s="567"/>
    </row>
    <row r="377" spans="1:27" s="311" customFormat="1" ht="15" customHeight="1" outlineLevel="1">
      <c r="A377" s="273">
        <v>373</v>
      </c>
      <c r="B377" s="273" t="s">
        <v>0</v>
      </c>
      <c r="C377" s="305" t="s">
        <v>637</v>
      </c>
      <c r="D377" s="306" t="s">
        <v>638</v>
      </c>
      <c r="E377" s="307" t="s">
        <v>637</v>
      </c>
      <c r="F377" s="553" t="str">
        <f t="shared" si="42"/>
        <v>PREVJogo tensionador simples com munhão</v>
      </c>
      <c r="G377" s="611" t="s">
        <v>74</v>
      </c>
      <c r="H377" s="307" t="s">
        <v>228</v>
      </c>
      <c r="I377" s="321">
        <v>0.26400000000000001</v>
      </c>
      <c r="J377" s="321">
        <v>0.33</v>
      </c>
      <c r="K377" s="321">
        <v>0.33</v>
      </c>
      <c r="L377" s="321">
        <v>0.33</v>
      </c>
      <c r="M377" s="321">
        <v>0.33</v>
      </c>
      <c r="N377" s="321">
        <v>0.33</v>
      </c>
      <c r="O377" s="321">
        <v>0.33</v>
      </c>
      <c r="P377" s="321">
        <v>0.33</v>
      </c>
      <c r="Q377" s="321">
        <v>0.34</v>
      </c>
      <c r="R377" s="321">
        <v>0.34</v>
      </c>
      <c r="S377" s="321">
        <v>0.34</v>
      </c>
      <c r="T377" s="321">
        <v>0.34</v>
      </c>
      <c r="U377" s="321">
        <v>6.8000000000000005E-2</v>
      </c>
      <c r="V377" s="308">
        <f t="shared" si="44"/>
        <v>4.0019999999999998</v>
      </c>
      <c r="W377" s="308">
        <v>30.86</v>
      </c>
      <c r="X377" s="308">
        <f t="shared" si="43"/>
        <v>123.50171999999999</v>
      </c>
      <c r="Y377" s="322" t="s">
        <v>74</v>
      </c>
      <c r="Z377" s="575"/>
      <c r="AA377" s="567"/>
    </row>
    <row r="378" spans="1:27" s="318" customFormat="1" ht="15" customHeight="1" outlineLevel="1">
      <c r="A378" s="282">
        <v>374</v>
      </c>
      <c r="B378" s="282" t="s">
        <v>1</v>
      </c>
      <c r="C378" s="312" t="s">
        <v>637</v>
      </c>
      <c r="D378" s="313" t="s">
        <v>638</v>
      </c>
      <c r="E378" s="314" t="s">
        <v>637</v>
      </c>
      <c r="F378" s="553" t="str">
        <f t="shared" si="42"/>
        <v>REALJogo tensionador simples com munhão</v>
      </c>
      <c r="G378" s="609">
        <f>Y378</f>
        <v>0.33316674995835416</v>
      </c>
      <c r="H378" s="315" t="s">
        <v>228</v>
      </c>
      <c r="I378" s="323">
        <v>0.33333333333333331</v>
      </c>
      <c r="J378" s="323">
        <v>0.33333333333333331</v>
      </c>
      <c r="K378" s="323">
        <v>0.33333333333333331</v>
      </c>
      <c r="L378" s="323">
        <v>0.33333333333333331</v>
      </c>
      <c r="M378" s="323"/>
      <c r="N378" s="323"/>
      <c r="O378" s="323"/>
      <c r="P378" s="323"/>
      <c r="Q378" s="323"/>
      <c r="R378" s="323"/>
      <c r="S378" s="323"/>
      <c r="T378" s="323"/>
      <c r="U378" s="323"/>
      <c r="V378" s="316">
        <f t="shared" si="44"/>
        <v>1.3333333333333333</v>
      </c>
      <c r="W378" s="316">
        <v>30.86</v>
      </c>
      <c r="X378" s="316">
        <f t="shared" si="43"/>
        <v>41.146666666666661</v>
      </c>
      <c r="Y378" s="322">
        <f>X378/X377</f>
        <v>0.33316674995835416</v>
      </c>
      <c r="Z378" s="572"/>
      <c r="AA378" s="567"/>
    </row>
    <row r="379" spans="1:27" s="311" customFormat="1" ht="15" customHeight="1" outlineLevel="1">
      <c r="A379" s="273">
        <v>375</v>
      </c>
      <c r="B379" s="273" t="s">
        <v>0</v>
      </c>
      <c r="C379" s="305" t="s">
        <v>639</v>
      </c>
      <c r="D379" s="306" t="s">
        <v>640</v>
      </c>
      <c r="E379" s="307" t="s">
        <v>639</v>
      </c>
      <c r="F379" s="553" t="str">
        <f t="shared" si="42"/>
        <v>PREVJogo de chaves biela 12 peças tipo L 8 a 19mm</v>
      </c>
      <c r="G379" s="611" t="s">
        <v>74</v>
      </c>
      <c r="H379" s="307" t="s">
        <v>228</v>
      </c>
      <c r="I379" s="321">
        <v>0.93599999999999994</v>
      </c>
      <c r="J379" s="321">
        <v>1.17</v>
      </c>
      <c r="K379" s="321">
        <v>1.17</v>
      </c>
      <c r="L379" s="321">
        <v>1.17</v>
      </c>
      <c r="M379" s="321">
        <v>1.17</v>
      </c>
      <c r="N379" s="321">
        <v>1.17</v>
      </c>
      <c r="O379" s="321">
        <v>1.17</v>
      </c>
      <c r="P379" s="321">
        <v>1.17</v>
      </c>
      <c r="Q379" s="321">
        <v>1.1599999999999999</v>
      </c>
      <c r="R379" s="321">
        <v>1.1599999999999999</v>
      </c>
      <c r="S379" s="321">
        <v>1.1599999999999999</v>
      </c>
      <c r="T379" s="321">
        <v>1.1599999999999999</v>
      </c>
      <c r="U379" s="321">
        <v>0.23199999999999998</v>
      </c>
      <c r="V379" s="308">
        <f t="shared" si="44"/>
        <v>13.997999999999999</v>
      </c>
      <c r="W379" s="308">
        <v>45.09</v>
      </c>
      <c r="X379" s="308">
        <f t="shared" si="43"/>
        <v>631.16982000000007</v>
      </c>
      <c r="Y379" s="322" t="s">
        <v>74</v>
      </c>
      <c r="Z379" s="575"/>
      <c r="AA379" s="567"/>
    </row>
    <row r="380" spans="1:27" s="318" customFormat="1" ht="15" customHeight="1" outlineLevel="1">
      <c r="A380" s="282">
        <v>376</v>
      </c>
      <c r="B380" s="282" t="s">
        <v>1</v>
      </c>
      <c r="C380" s="312" t="s">
        <v>639</v>
      </c>
      <c r="D380" s="313" t="s">
        <v>640</v>
      </c>
      <c r="E380" s="314" t="s">
        <v>639</v>
      </c>
      <c r="F380" s="553" t="str">
        <f t="shared" si="42"/>
        <v>REALJogo de chaves biela 12 peças tipo L 8 a 19mm</v>
      </c>
      <c r="G380" s="609">
        <f>Y380</f>
        <v>0.3214744963566224</v>
      </c>
      <c r="H380" s="315" t="s">
        <v>228</v>
      </c>
      <c r="I380" s="323">
        <v>1.0833333333333333</v>
      </c>
      <c r="J380" s="323">
        <v>1.0833333333333333</v>
      </c>
      <c r="K380" s="323">
        <v>1.1666666666666667</v>
      </c>
      <c r="L380" s="323">
        <v>1.1666666666666667</v>
      </c>
      <c r="M380" s="323"/>
      <c r="N380" s="323"/>
      <c r="O380" s="323"/>
      <c r="P380" s="323"/>
      <c r="Q380" s="323"/>
      <c r="R380" s="323"/>
      <c r="S380" s="323"/>
      <c r="T380" s="323"/>
      <c r="U380" s="323"/>
      <c r="V380" s="316">
        <f t="shared" si="44"/>
        <v>4.5</v>
      </c>
      <c r="W380" s="316">
        <v>45.09</v>
      </c>
      <c r="X380" s="316">
        <f t="shared" si="43"/>
        <v>202.90500000000003</v>
      </c>
      <c r="Y380" s="322">
        <f>X380/X379</f>
        <v>0.3214744963566224</v>
      </c>
      <c r="Z380" s="572"/>
      <c r="AA380" s="567"/>
    </row>
    <row r="381" spans="1:27" s="311" customFormat="1" ht="15" customHeight="1" outlineLevel="1">
      <c r="A381" s="273">
        <v>377</v>
      </c>
      <c r="B381" s="273" t="s">
        <v>0</v>
      </c>
      <c r="C381" s="305" t="s">
        <v>641</v>
      </c>
      <c r="D381" s="306" t="s">
        <v>642</v>
      </c>
      <c r="E381" s="307" t="s">
        <v>641</v>
      </c>
      <c r="F381" s="553" t="str">
        <f t="shared" si="42"/>
        <v>PREVJogo de chave de fenda e philips com haste protegida para eletricista com 07 peças</v>
      </c>
      <c r="G381" s="611" t="s">
        <v>74</v>
      </c>
      <c r="H381" s="307" t="s">
        <v>228</v>
      </c>
      <c r="I381" s="321">
        <v>0.93599999999999994</v>
      </c>
      <c r="J381" s="321">
        <v>1.17</v>
      </c>
      <c r="K381" s="321">
        <v>1.17</v>
      </c>
      <c r="L381" s="321">
        <v>1.17</v>
      </c>
      <c r="M381" s="321">
        <v>1.17</v>
      </c>
      <c r="N381" s="321">
        <v>1.17</v>
      </c>
      <c r="O381" s="321">
        <v>1.17</v>
      </c>
      <c r="P381" s="321">
        <v>1.17</v>
      </c>
      <c r="Q381" s="321">
        <v>1.1599999999999999</v>
      </c>
      <c r="R381" s="321">
        <v>1.1599999999999999</v>
      </c>
      <c r="S381" s="321">
        <v>1.1599999999999999</v>
      </c>
      <c r="T381" s="321">
        <v>1.1599999999999999</v>
      </c>
      <c r="U381" s="321">
        <v>0.23199999999999998</v>
      </c>
      <c r="V381" s="308">
        <f t="shared" si="44"/>
        <v>13.997999999999999</v>
      </c>
      <c r="W381" s="308">
        <v>14.88</v>
      </c>
      <c r="X381" s="308">
        <f t="shared" si="43"/>
        <v>208.29024000000001</v>
      </c>
      <c r="Y381" s="322" t="s">
        <v>74</v>
      </c>
      <c r="Z381" s="575"/>
      <c r="AA381" s="567"/>
    </row>
    <row r="382" spans="1:27" s="318" customFormat="1" ht="15" customHeight="1" outlineLevel="1">
      <c r="A382" s="282">
        <v>378</v>
      </c>
      <c r="B382" s="282" t="s">
        <v>1</v>
      </c>
      <c r="C382" s="312" t="s">
        <v>641</v>
      </c>
      <c r="D382" s="313" t="s">
        <v>642</v>
      </c>
      <c r="E382" s="314">
        <v>66176</v>
      </c>
      <c r="F382" s="553" t="str">
        <f t="shared" si="42"/>
        <v>REALJogo de chave de fenda e philips com haste protegida para eletricista com 07 peças</v>
      </c>
      <c r="G382" s="609">
        <f>Y382</f>
        <v>0.33338095918464544</v>
      </c>
      <c r="H382" s="315" t="s">
        <v>228</v>
      </c>
      <c r="I382" s="323">
        <v>1.1666666666666667</v>
      </c>
      <c r="J382" s="323">
        <v>1.1666666666666667</v>
      </c>
      <c r="K382" s="323">
        <v>1.1666666666666667</v>
      </c>
      <c r="L382" s="323">
        <v>1.1666666666666667</v>
      </c>
      <c r="M382" s="323"/>
      <c r="N382" s="323"/>
      <c r="O382" s="323"/>
      <c r="P382" s="323"/>
      <c r="Q382" s="323"/>
      <c r="R382" s="323"/>
      <c r="S382" s="323"/>
      <c r="T382" s="323"/>
      <c r="U382" s="323"/>
      <c r="V382" s="316">
        <f t="shared" si="44"/>
        <v>4.666666666666667</v>
      </c>
      <c r="W382" s="316">
        <v>14.88</v>
      </c>
      <c r="X382" s="316">
        <f t="shared" si="43"/>
        <v>69.440000000000012</v>
      </c>
      <c r="Y382" s="322">
        <f>X382/X381</f>
        <v>0.33338095918464544</v>
      </c>
      <c r="Z382" s="572"/>
      <c r="AA382" s="567"/>
    </row>
    <row r="383" spans="1:27" s="311" customFormat="1" ht="15" customHeight="1" outlineLevel="1">
      <c r="A383" s="273">
        <v>379</v>
      </c>
      <c r="B383" s="273" t="s">
        <v>0</v>
      </c>
      <c r="C383" s="305" t="s">
        <v>643</v>
      </c>
      <c r="D383" s="306" t="s">
        <v>644</v>
      </c>
      <c r="E383" s="307" t="s">
        <v>643</v>
      </c>
      <c r="F383" s="553" t="str">
        <f t="shared" si="42"/>
        <v>PREVJogo de chave de fenda para bastão</v>
      </c>
      <c r="G383" s="611" t="s">
        <v>74</v>
      </c>
      <c r="H383" s="307" t="s">
        <v>228</v>
      </c>
      <c r="I383" s="321">
        <v>0.26400000000000001</v>
      </c>
      <c r="J383" s="321">
        <v>0.33</v>
      </c>
      <c r="K383" s="321">
        <v>0.33</v>
      </c>
      <c r="L383" s="321">
        <v>0.33</v>
      </c>
      <c r="M383" s="321">
        <v>0.33</v>
      </c>
      <c r="N383" s="321">
        <v>0.33</v>
      </c>
      <c r="O383" s="321">
        <v>0.33</v>
      </c>
      <c r="P383" s="321">
        <v>0.33</v>
      </c>
      <c r="Q383" s="321">
        <v>0.34</v>
      </c>
      <c r="R383" s="321">
        <v>0.34</v>
      </c>
      <c r="S383" s="321">
        <v>0.34</v>
      </c>
      <c r="T383" s="321">
        <v>0.34</v>
      </c>
      <c r="U383" s="321">
        <v>6.8000000000000005E-2</v>
      </c>
      <c r="V383" s="308">
        <f t="shared" si="44"/>
        <v>4.0019999999999998</v>
      </c>
      <c r="W383" s="308">
        <v>87.42</v>
      </c>
      <c r="X383" s="308">
        <f t="shared" si="43"/>
        <v>349.85483999999997</v>
      </c>
      <c r="Y383" s="322" t="s">
        <v>74</v>
      </c>
      <c r="Z383" s="575"/>
      <c r="AA383" s="567"/>
    </row>
    <row r="384" spans="1:27" s="318" customFormat="1" ht="15" customHeight="1" outlineLevel="1">
      <c r="A384" s="282">
        <v>380</v>
      </c>
      <c r="B384" s="282" t="s">
        <v>1</v>
      </c>
      <c r="C384" s="312" t="s">
        <v>643</v>
      </c>
      <c r="D384" s="313" t="s">
        <v>644</v>
      </c>
      <c r="E384" s="314" t="s">
        <v>643</v>
      </c>
      <c r="F384" s="553" t="str">
        <f t="shared" si="42"/>
        <v>REALJogo de chave de fenda para bastão</v>
      </c>
      <c r="G384" s="609">
        <f>Y384</f>
        <v>0</v>
      </c>
      <c r="H384" s="315" t="s">
        <v>228</v>
      </c>
      <c r="I384" s="323">
        <v>0</v>
      </c>
      <c r="J384" s="323">
        <v>0</v>
      </c>
      <c r="K384" s="323">
        <v>0</v>
      </c>
      <c r="L384" s="323">
        <v>0</v>
      </c>
      <c r="M384" s="323"/>
      <c r="N384" s="323"/>
      <c r="O384" s="323"/>
      <c r="P384" s="323"/>
      <c r="Q384" s="323"/>
      <c r="R384" s="323"/>
      <c r="S384" s="323"/>
      <c r="T384" s="323"/>
      <c r="U384" s="323"/>
      <c r="V384" s="316">
        <f t="shared" si="44"/>
        <v>0</v>
      </c>
      <c r="W384" s="316">
        <v>87.42</v>
      </c>
      <c r="X384" s="316">
        <f t="shared" si="43"/>
        <v>0</v>
      </c>
      <c r="Y384" s="322">
        <f>X384/X383</f>
        <v>0</v>
      </c>
      <c r="Z384" s="572"/>
      <c r="AA384" s="567"/>
    </row>
    <row r="385" spans="1:27" s="311" customFormat="1" ht="15" customHeight="1" outlineLevel="1">
      <c r="A385" s="273">
        <v>381</v>
      </c>
      <c r="B385" s="273" t="s">
        <v>0</v>
      </c>
      <c r="C385" s="305" t="s">
        <v>645</v>
      </c>
      <c r="D385" s="306" t="s">
        <v>646</v>
      </c>
      <c r="E385" s="307" t="s">
        <v>645</v>
      </c>
      <c r="F385" s="553" t="str">
        <f t="shared" si="42"/>
        <v>PREVKit de reparo eletrônico (ferro de solda, sugador de placa de circuito impresso,componentes sobressalentes)</v>
      </c>
      <c r="G385" s="611" t="s">
        <v>74</v>
      </c>
      <c r="H385" s="307" t="s">
        <v>228</v>
      </c>
      <c r="I385" s="321">
        <v>0.46399999999999997</v>
      </c>
      <c r="J385" s="321">
        <v>0.57999999999999996</v>
      </c>
      <c r="K385" s="321">
        <v>0.57999999999999996</v>
      </c>
      <c r="L385" s="321">
        <v>0.57999999999999996</v>
      </c>
      <c r="M385" s="321">
        <v>0.57999999999999996</v>
      </c>
      <c r="N385" s="321">
        <v>0.57999999999999996</v>
      </c>
      <c r="O385" s="321">
        <v>0.57999999999999996</v>
      </c>
      <c r="P385" s="321">
        <v>0.57999999999999996</v>
      </c>
      <c r="Q385" s="321">
        <v>0.59</v>
      </c>
      <c r="R385" s="321">
        <v>0.59</v>
      </c>
      <c r="S385" s="321">
        <v>0.59</v>
      </c>
      <c r="T385" s="321">
        <v>0.59</v>
      </c>
      <c r="U385" s="321">
        <v>0.11799999999999999</v>
      </c>
      <c r="V385" s="308">
        <f t="shared" si="44"/>
        <v>7.0019999999999998</v>
      </c>
      <c r="W385" s="308">
        <v>54.36</v>
      </c>
      <c r="X385" s="308">
        <f t="shared" si="43"/>
        <v>380.62871999999999</v>
      </c>
      <c r="Y385" s="322" t="s">
        <v>74</v>
      </c>
      <c r="Z385" s="575"/>
      <c r="AA385" s="567"/>
    </row>
    <row r="386" spans="1:27" s="318" customFormat="1" ht="15" customHeight="1" outlineLevel="1">
      <c r="A386" s="282">
        <v>382</v>
      </c>
      <c r="B386" s="282" t="s">
        <v>1</v>
      </c>
      <c r="C386" s="312" t="s">
        <v>645</v>
      </c>
      <c r="D386" s="313" t="s">
        <v>646</v>
      </c>
      <c r="E386" s="314">
        <v>66906</v>
      </c>
      <c r="F386" s="553" t="str">
        <f t="shared" si="42"/>
        <v>REALKit de reparo eletrônico (ferro de solda, sugador de placa de circuito impresso,componentes sobressalentes)</v>
      </c>
      <c r="G386" s="609">
        <f>Y386</f>
        <v>0.33323812244120732</v>
      </c>
      <c r="H386" s="315" t="s">
        <v>228</v>
      </c>
      <c r="I386" s="323">
        <v>0.58333333333333337</v>
      </c>
      <c r="J386" s="323">
        <v>0.58333333333333337</v>
      </c>
      <c r="K386" s="323">
        <v>0.58333333333333337</v>
      </c>
      <c r="L386" s="323">
        <v>0.58333333333333337</v>
      </c>
      <c r="M386" s="323"/>
      <c r="N386" s="323"/>
      <c r="O386" s="323"/>
      <c r="P386" s="323"/>
      <c r="Q386" s="323"/>
      <c r="R386" s="323"/>
      <c r="S386" s="323"/>
      <c r="T386" s="323"/>
      <c r="U386" s="323"/>
      <c r="V386" s="316">
        <f t="shared" si="44"/>
        <v>2.3333333333333335</v>
      </c>
      <c r="W386" s="316">
        <v>54.36</v>
      </c>
      <c r="X386" s="316">
        <f t="shared" si="43"/>
        <v>126.84</v>
      </c>
      <c r="Y386" s="322">
        <f>X386/X385</f>
        <v>0.33323812244120732</v>
      </c>
      <c r="Z386" s="572"/>
      <c r="AA386" s="567"/>
    </row>
    <row r="387" spans="1:27" s="311" customFormat="1" ht="15" customHeight="1" outlineLevel="1">
      <c r="A387" s="273">
        <v>383</v>
      </c>
      <c r="B387" s="273" t="s">
        <v>0</v>
      </c>
      <c r="C387" s="305" t="s">
        <v>647</v>
      </c>
      <c r="D387" s="306" t="s">
        <v>648</v>
      </c>
      <c r="E387" s="307" t="s">
        <v>647</v>
      </c>
      <c r="F387" s="553" t="str">
        <f t="shared" si="42"/>
        <v>PREVKit ferramenta fibra óptica (clivador +alicate decapador + alicate stripper + bolsa + 2 chaves allen + recipiente para álcool + guia) + Medidor de potência para fibra óptica (Power Meter Medidor Potência Fibra Óptica + Caneta Laser 10W)</v>
      </c>
      <c r="G387" s="611" t="s">
        <v>74</v>
      </c>
      <c r="H387" s="307" t="s">
        <v>228</v>
      </c>
      <c r="I387" s="321">
        <v>0.46399999999999997</v>
      </c>
      <c r="J387" s="321">
        <v>0.57999999999999996</v>
      </c>
      <c r="K387" s="321">
        <v>0.57999999999999996</v>
      </c>
      <c r="L387" s="321">
        <v>0.57999999999999996</v>
      </c>
      <c r="M387" s="321">
        <v>0.57999999999999996</v>
      </c>
      <c r="N387" s="321">
        <v>0.57999999999999996</v>
      </c>
      <c r="O387" s="321">
        <v>0.57999999999999996</v>
      </c>
      <c r="P387" s="321">
        <v>0.57999999999999996</v>
      </c>
      <c r="Q387" s="321">
        <v>0.59</v>
      </c>
      <c r="R387" s="321">
        <v>0.59</v>
      </c>
      <c r="S387" s="321">
        <v>0.59</v>
      </c>
      <c r="T387" s="321">
        <v>0.59</v>
      </c>
      <c r="U387" s="321">
        <v>0.11799999999999999</v>
      </c>
      <c r="V387" s="308">
        <f t="shared" si="44"/>
        <v>7.0019999999999998</v>
      </c>
      <c r="W387" s="308">
        <v>169.27</v>
      </c>
      <c r="X387" s="308">
        <f t="shared" si="43"/>
        <v>1185.2285400000001</v>
      </c>
      <c r="Y387" s="322" t="s">
        <v>74</v>
      </c>
      <c r="Z387" s="575"/>
      <c r="AA387" s="567"/>
    </row>
    <row r="388" spans="1:27" s="318" customFormat="1" ht="15" customHeight="1" outlineLevel="1">
      <c r="A388" s="282">
        <v>384</v>
      </c>
      <c r="B388" s="282" t="s">
        <v>1</v>
      </c>
      <c r="C388" s="312" t="s">
        <v>647</v>
      </c>
      <c r="D388" s="313" t="s">
        <v>648</v>
      </c>
      <c r="E388" s="314">
        <v>67272</v>
      </c>
      <c r="F388" s="553" t="str">
        <f t="shared" si="42"/>
        <v>REALKit ferramenta fibra óptica (clivador +alicate decapador + alicate stripper + bolsa + 2 chaves allen + recipiente para álcool + guia) + Medidor de potência para fibra óptica (Power Meter Medidor Potência Fibra Óptica + Caneta Laser 10W)</v>
      </c>
      <c r="G388" s="609">
        <f>Y388</f>
        <v>0.21422450728363326</v>
      </c>
      <c r="H388" s="315" t="s">
        <v>228</v>
      </c>
      <c r="I388" s="323">
        <v>0.16666666666666666</v>
      </c>
      <c r="J388" s="323">
        <v>0.16666666666666666</v>
      </c>
      <c r="K388" s="323">
        <v>0.58333333333333337</v>
      </c>
      <c r="L388" s="323">
        <v>0.58333333333333337</v>
      </c>
      <c r="M388" s="323"/>
      <c r="N388" s="323"/>
      <c r="O388" s="323"/>
      <c r="P388" s="323"/>
      <c r="Q388" s="323"/>
      <c r="R388" s="323"/>
      <c r="S388" s="323"/>
      <c r="T388" s="323"/>
      <c r="U388" s="323"/>
      <c r="V388" s="316">
        <f t="shared" si="44"/>
        <v>1.5</v>
      </c>
      <c r="W388" s="316">
        <v>169.27</v>
      </c>
      <c r="X388" s="316">
        <f t="shared" si="43"/>
        <v>253.90500000000003</v>
      </c>
      <c r="Y388" s="322">
        <f>X388/X387</f>
        <v>0.21422450728363326</v>
      </c>
      <c r="Z388" s="572"/>
      <c r="AA388" s="567"/>
    </row>
    <row r="389" spans="1:27" s="311" customFormat="1" ht="15" customHeight="1" outlineLevel="1">
      <c r="A389" s="273">
        <v>385</v>
      </c>
      <c r="B389" s="273" t="s">
        <v>0</v>
      </c>
      <c r="C389" s="305" t="s">
        <v>649</v>
      </c>
      <c r="D389" s="306" t="s">
        <v>650</v>
      </c>
      <c r="E389" s="307" t="s">
        <v>649</v>
      </c>
      <c r="F389" s="553" t="str">
        <f t="shared" si="42"/>
        <v>PREVKit ferramentas telecom ( tipo TRAMONTINA PRO 44970053 ou similar)</v>
      </c>
      <c r="G389" s="611" t="s">
        <v>74</v>
      </c>
      <c r="H389" s="307" t="s">
        <v>228</v>
      </c>
      <c r="I389" s="321">
        <v>0.46399999999999997</v>
      </c>
      <c r="J389" s="321">
        <v>0.57999999999999996</v>
      </c>
      <c r="K389" s="321">
        <v>0.57999999999999996</v>
      </c>
      <c r="L389" s="321">
        <v>0.57999999999999996</v>
      </c>
      <c r="M389" s="321">
        <v>0.57999999999999996</v>
      </c>
      <c r="N389" s="321">
        <v>0.57999999999999996</v>
      </c>
      <c r="O389" s="321">
        <v>0.57999999999999996</v>
      </c>
      <c r="P389" s="321">
        <v>0.57999999999999996</v>
      </c>
      <c r="Q389" s="321">
        <v>0.59</v>
      </c>
      <c r="R389" s="321">
        <v>0.59</v>
      </c>
      <c r="S389" s="321">
        <v>0.59</v>
      </c>
      <c r="T389" s="321">
        <v>0.59</v>
      </c>
      <c r="U389" s="321">
        <v>0.11799999999999999</v>
      </c>
      <c r="V389" s="308">
        <f t="shared" si="44"/>
        <v>7.0019999999999998</v>
      </c>
      <c r="W389" s="308">
        <v>605.83000000000004</v>
      </c>
      <c r="X389" s="308">
        <f t="shared" si="43"/>
        <v>4242.0216600000003</v>
      </c>
      <c r="Y389" s="322" t="s">
        <v>74</v>
      </c>
      <c r="Z389" s="575"/>
      <c r="AA389" s="567"/>
    </row>
    <row r="390" spans="1:27" s="318" customFormat="1" ht="15" customHeight="1" outlineLevel="1">
      <c r="A390" s="282">
        <v>386</v>
      </c>
      <c r="B390" s="282" t="s">
        <v>1</v>
      </c>
      <c r="C390" s="312" t="s">
        <v>649</v>
      </c>
      <c r="D390" s="313" t="s">
        <v>650</v>
      </c>
      <c r="E390" s="314" t="s">
        <v>649</v>
      </c>
      <c r="F390" s="553" t="str">
        <f t="shared" si="42"/>
        <v>REALKit ferramentas telecom ( tipo TRAMONTINA PRO 44970053 ou similar)</v>
      </c>
      <c r="G390" s="609">
        <f>Y390</f>
        <v>0.16661906122060363</v>
      </c>
      <c r="H390" s="315" t="s">
        <v>228</v>
      </c>
      <c r="I390" s="323">
        <v>0</v>
      </c>
      <c r="J390" s="323">
        <v>0</v>
      </c>
      <c r="K390" s="323">
        <v>0.58333333333333337</v>
      </c>
      <c r="L390" s="323">
        <v>0.58333333333333337</v>
      </c>
      <c r="M390" s="323"/>
      <c r="N390" s="323"/>
      <c r="O390" s="323"/>
      <c r="P390" s="323"/>
      <c r="Q390" s="323"/>
      <c r="R390" s="323"/>
      <c r="S390" s="323"/>
      <c r="T390" s="323"/>
      <c r="U390" s="323"/>
      <c r="V390" s="316">
        <f t="shared" si="44"/>
        <v>1.1666666666666667</v>
      </c>
      <c r="W390" s="316">
        <v>605.83000000000004</v>
      </c>
      <c r="X390" s="316">
        <f t="shared" si="43"/>
        <v>706.80166666666673</v>
      </c>
      <c r="Y390" s="322">
        <f>X390/X389</f>
        <v>0.16661906122060363</v>
      </c>
      <c r="Z390" s="572"/>
      <c r="AA390" s="567"/>
    </row>
    <row r="391" spans="1:27" s="311" customFormat="1" ht="15" customHeight="1" outlineLevel="1">
      <c r="A391" s="273">
        <v>387</v>
      </c>
      <c r="B391" s="273" t="s">
        <v>0</v>
      </c>
      <c r="C391" s="305" t="s">
        <v>651</v>
      </c>
      <c r="D391" s="306" t="s">
        <v>652</v>
      </c>
      <c r="E391" s="307" t="s">
        <v>651</v>
      </c>
      <c r="F391" s="553" t="str">
        <f t="shared" si="42"/>
        <v>PREVLanterna tática grande ‐ 5.500.000 lumens</v>
      </c>
      <c r="G391" s="611" t="s">
        <v>74</v>
      </c>
      <c r="H391" s="307" t="s">
        <v>228</v>
      </c>
      <c r="I391" s="321">
        <v>0.93599999999999994</v>
      </c>
      <c r="J391" s="321">
        <v>1.17</v>
      </c>
      <c r="K391" s="321">
        <v>1.17</v>
      </c>
      <c r="L391" s="321">
        <v>1.17</v>
      </c>
      <c r="M391" s="321">
        <v>1.17</v>
      </c>
      <c r="N391" s="321">
        <v>1.17</v>
      </c>
      <c r="O391" s="321">
        <v>1.17</v>
      </c>
      <c r="P391" s="321">
        <v>1.17</v>
      </c>
      <c r="Q391" s="321">
        <v>1.1599999999999999</v>
      </c>
      <c r="R391" s="321">
        <v>1.1599999999999999</v>
      </c>
      <c r="S391" s="321">
        <v>1.1599999999999999</v>
      </c>
      <c r="T391" s="321">
        <v>1.1599999999999999</v>
      </c>
      <c r="U391" s="321">
        <v>0.23199999999999998</v>
      </c>
      <c r="V391" s="308">
        <f t="shared" si="44"/>
        <v>13.997999999999999</v>
      </c>
      <c r="W391" s="308">
        <v>39.659999999999997</v>
      </c>
      <c r="X391" s="308">
        <f t="shared" si="43"/>
        <v>555.16067999999996</v>
      </c>
      <c r="Y391" s="322" t="s">
        <v>74</v>
      </c>
      <c r="Z391" s="575"/>
      <c r="AA391" s="567"/>
    </row>
    <row r="392" spans="1:27" s="318" customFormat="1" ht="15" customHeight="1" outlineLevel="1">
      <c r="A392" s="282">
        <v>388</v>
      </c>
      <c r="B392" s="282" t="s">
        <v>1</v>
      </c>
      <c r="C392" s="312" t="s">
        <v>651</v>
      </c>
      <c r="D392" s="313" t="s">
        <v>652</v>
      </c>
      <c r="E392" s="314">
        <v>68002</v>
      </c>
      <c r="F392" s="553" t="str">
        <f t="shared" si="42"/>
        <v>REALLanterna tática grande ‐ 5.500.000 lumens</v>
      </c>
      <c r="G392" s="609">
        <f>Y392</f>
        <v>0.33338095918464544</v>
      </c>
      <c r="H392" s="315" t="s">
        <v>228</v>
      </c>
      <c r="I392" s="323">
        <v>1.1666666666666667</v>
      </c>
      <c r="J392" s="323">
        <v>1.1666666666666667</v>
      </c>
      <c r="K392" s="323">
        <v>1.1666666666666667</v>
      </c>
      <c r="L392" s="323">
        <v>1.1666666666666667</v>
      </c>
      <c r="M392" s="323"/>
      <c r="N392" s="323"/>
      <c r="O392" s="323"/>
      <c r="P392" s="323"/>
      <c r="Q392" s="323"/>
      <c r="R392" s="323"/>
      <c r="S392" s="323"/>
      <c r="T392" s="323"/>
      <c r="U392" s="323"/>
      <c r="V392" s="316">
        <f t="shared" si="44"/>
        <v>4.666666666666667</v>
      </c>
      <c r="W392" s="316">
        <v>39.659999999999997</v>
      </c>
      <c r="X392" s="316">
        <f t="shared" si="43"/>
        <v>185.07999999999998</v>
      </c>
      <c r="Y392" s="322">
        <f>X392/X391</f>
        <v>0.33338095918464544</v>
      </c>
      <c r="Z392" s="572"/>
      <c r="AA392" s="567"/>
    </row>
    <row r="393" spans="1:27" s="311" customFormat="1" ht="15" customHeight="1" outlineLevel="1">
      <c r="A393" s="273">
        <v>389</v>
      </c>
      <c r="B393" s="273" t="s">
        <v>0</v>
      </c>
      <c r="C393" s="305" t="s">
        <v>653</v>
      </c>
      <c r="D393" s="306" t="s">
        <v>654</v>
      </c>
      <c r="E393" s="307" t="s">
        <v>653</v>
      </c>
      <c r="F393" s="553" t="str">
        <f t="shared" si="42"/>
        <v>PREVLima chata murça 8" com cabo</v>
      </c>
      <c r="G393" s="611" t="s">
        <v>74</v>
      </c>
      <c r="H393" s="307" t="s">
        <v>228</v>
      </c>
      <c r="I393" s="321">
        <v>0.13600000000000001</v>
      </c>
      <c r="J393" s="321">
        <v>0.17</v>
      </c>
      <c r="K393" s="321">
        <v>0.17</v>
      </c>
      <c r="L393" s="321">
        <v>0.17</v>
      </c>
      <c r="M393" s="321">
        <v>0.17</v>
      </c>
      <c r="N393" s="321">
        <v>0.17</v>
      </c>
      <c r="O393" s="321">
        <v>0.17</v>
      </c>
      <c r="P393" s="321">
        <v>0.17</v>
      </c>
      <c r="Q393" s="321">
        <v>0.16</v>
      </c>
      <c r="R393" s="321">
        <v>0.16</v>
      </c>
      <c r="S393" s="321">
        <v>0.16</v>
      </c>
      <c r="T393" s="321">
        <v>0.16</v>
      </c>
      <c r="U393" s="321">
        <v>3.4000000000000002E-2</v>
      </c>
      <c r="V393" s="308">
        <f t="shared" si="44"/>
        <v>1.9999999999999998</v>
      </c>
      <c r="W393" s="308">
        <v>16.66</v>
      </c>
      <c r="X393" s="308">
        <f t="shared" si="43"/>
        <v>33.319999999999993</v>
      </c>
      <c r="Y393" s="322" t="s">
        <v>74</v>
      </c>
      <c r="Z393" s="579"/>
      <c r="AA393" s="567"/>
    </row>
    <row r="394" spans="1:27" s="318" customFormat="1" ht="15" customHeight="1" outlineLevel="1">
      <c r="A394" s="282">
        <v>390</v>
      </c>
      <c r="B394" s="282" t="s">
        <v>1</v>
      </c>
      <c r="C394" s="312" t="s">
        <v>653</v>
      </c>
      <c r="D394" s="313" t="s">
        <v>654</v>
      </c>
      <c r="E394" s="314">
        <v>68367</v>
      </c>
      <c r="F394" s="553" t="str">
        <f t="shared" si="42"/>
        <v>REALLima chata murça 8" com cabo</v>
      </c>
      <c r="G394" s="609">
        <f>Y394</f>
        <v>0.33333333333333337</v>
      </c>
      <c r="H394" s="315" t="s">
        <v>228</v>
      </c>
      <c r="I394" s="323">
        <v>0.16666666666666666</v>
      </c>
      <c r="J394" s="323">
        <v>0.16666666666666666</v>
      </c>
      <c r="K394" s="323">
        <v>0.16666666666666666</v>
      </c>
      <c r="L394" s="323">
        <v>0.16666666666666666</v>
      </c>
      <c r="M394" s="323"/>
      <c r="N394" s="323"/>
      <c r="O394" s="323"/>
      <c r="P394" s="323"/>
      <c r="Q394" s="323"/>
      <c r="R394" s="323"/>
      <c r="S394" s="323"/>
      <c r="T394" s="323"/>
      <c r="U394" s="323"/>
      <c r="V394" s="316">
        <f t="shared" si="44"/>
        <v>0.66666666666666663</v>
      </c>
      <c r="W394" s="316">
        <v>16.66</v>
      </c>
      <c r="X394" s="316">
        <f t="shared" si="43"/>
        <v>11.106666666666666</v>
      </c>
      <c r="Y394" s="322">
        <f>X394/X393</f>
        <v>0.33333333333333337</v>
      </c>
      <c r="Z394" s="572"/>
      <c r="AA394" s="567"/>
    </row>
    <row r="395" spans="1:27" s="311" customFormat="1" ht="15" customHeight="1" outlineLevel="1">
      <c r="A395" s="273">
        <v>391</v>
      </c>
      <c r="B395" s="273" t="s">
        <v>0</v>
      </c>
      <c r="C395" s="305" t="s">
        <v>655</v>
      </c>
      <c r="D395" s="306" t="s">
        <v>656</v>
      </c>
      <c r="E395" s="307" t="s">
        <v>655</v>
      </c>
      <c r="F395" s="553" t="str">
        <f t="shared" si="42"/>
        <v>PREVLima chata bastarda 10"</v>
      </c>
      <c r="G395" s="611" t="s">
        <v>74</v>
      </c>
      <c r="H395" s="307" t="s">
        <v>228</v>
      </c>
      <c r="I395" s="321">
        <v>0.13600000000000001</v>
      </c>
      <c r="J395" s="321">
        <v>0.17</v>
      </c>
      <c r="K395" s="321">
        <v>0.17</v>
      </c>
      <c r="L395" s="321">
        <v>0.17</v>
      </c>
      <c r="M395" s="321">
        <v>0.17</v>
      </c>
      <c r="N395" s="321">
        <v>0.17</v>
      </c>
      <c r="O395" s="321">
        <v>0.17</v>
      </c>
      <c r="P395" s="321">
        <v>0.17</v>
      </c>
      <c r="Q395" s="321">
        <v>0.16</v>
      </c>
      <c r="R395" s="321">
        <v>0.16</v>
      </c>
      <c r="S395" s="321">
        <v>0.16</v>
      </c>
      <c r="T395" s="321">
        <v>0.16</v>
      </c>
      <c r="U395" s="321">
        <v>3.4000000000000002E-2</v>
      </c>
      <c r="V395" s="308">
        <f t="shared" si="44"/>
        <v>1.9999999999999998</v>
      </c>
      <c r="W395" s="308">
        <v>16.91</v>
      </c>
      <c r="X395" s="308">
        <f t="shared" si="43"/>
        <v>33.819999999999993</v>
      </c>
      <c r="Y395" s="322" t="s">
        <v>74</v>
      </c>
      <c r="Z395" s="575"/>
      <c r="AA395" s="567"/>
    </row>
    <row r="396" spans="1:27" s="318" customFormat="1" ht="15" customHeight="1" outlineLevel="1">
      <c r="A396" s="282">
        <v>392</v>
      </c>
      <c r="B396" s="282" t="s">
        <v>1</v>
      </c>
      <c r="C396" s="312" t="s">
        <v>655</v>
      </c>
      <c r="D396" s="313" t="s">
        <v>656</v>
      </c>
      <c r="E396" s="314" t="s">
        <v>655</v>
      </c>
      <c r="F396" s="553" t="str">
        <f t="shared" si="42"/>
        <v>REALLima chata bastarda 10"</v>
      </c>
      <c r="G396" s="609">
        <f>Y396</f>
        <v>0.33333333333333343</v>
      </c>
      <c r="H396" s="315" t="s">
        <v>228</v>
      </c>
      <c r="I396" s="323">
        <v>0.16666666666666666</v>
      </c>
      <c r="J396" s="323">
        <v>0.16666666666666666</v>
      </c>
      <c r="K396" s="323">
        <v>0.16666666666666666</v>
      </c>
      <c r="L396" s="323">
        <v>0.16666666666666666</v>
      </c>
      <c r="M396" s="323"/>
      <c r="N396" s="323"/>
      <c r="O396" s="323"/>
      <c r="P396" s="323"/>
      <c r="Q396" s="323"/>
      <c r="R396" s="323"/>
      <c r="S396" s="323"/>
      <c r="T396" s="323"/>
      <c r="U396" s="323"/>
      <c r="V396" s="316">
        <f t="shared" si="44"/>
        <v>0.66666666666666663</v>
      </c>
      <c r="W396" s="316">
        <v>16.91</v>
      </c>
      <c r="X396" s="316">
        <f t="shared" si="43"/>
        <v>11.273333333333333</v>
      </c>
      <c r="Y396" s="322">
        <f>X396/X395</f>
        <v>0.33333333333333343</v>
      </c>
      <c r="Z396" s="572"/>
      <c r="AA396" s="567"/>
    </row>
    <row r="397" spans="1:27" s="311" customFormat="1" ht="15" customHeight="1" outlineLevel="1">
      <c r="A397" s="273">
        <v>393</v>
      </c>
      <c r="B397" s="273" t="s">
        <v>0</v>
      </c>
      <c r="C397" s="305" t="s">
        <v>657</v>
      </c>
      <c r="D397" s="306" t="s">
        <v>658</v>
      </c>
      <c r="E397" s="307" t="s">
        <v>657</v>
      </c>
      <c r="F397" s="553" t="str">
        <f t="shared" si="42"/>
        <v>PREVLuva de cobertura punho 15cm</v>
      </c>
      <c r="G397" s="611" t="s">
        <v>74</v>
      </c>
      <c r="H397" s="307" t="s">
        <v>228</v>
      </c>
      <c r="I397" s="321">
        <v>1.2640000000000002</v>
      </c>
      <c r="J397" s="321">
        <v>1.58</v>
      </c>
      <c r="K397" s="321">
        <v>1.58</v>
      </c>
      <c r="L397" s="321">
        <v>1.58</v>
      </c>
      <c r="M397" s="321">
        <v>1.58</v>
      </c>
      <c r="N397" s="321">
        <v>1.58</v>
      </c>
      <c r="O397" s="321">
        <v>1.58</v>
      </c>
      <c r="P397" s="321">
        <v>1.58</v>
      </c>
      <c r="Q397" s="321">
        <v>1.59</v>
      </c>
      <c r="R397" s="321">
        <v>1.59</v>
      </c>
      <c r="S397" s="321">
        <v>1.59</v>
      </c>
      <c r="T397" s="321">
        <v>1.59</v>
      </c>
      <c r="U397" s="321">
        <v>0.31800000000000006</v>
      </c>
      <c r="V397" s="308">
        <f t="shared" si="44"/>
        <v>19.002000000000002</v>
      </c>
      <c r="W397" s="308">
        <v>9.8699999999999992</v>
      </c>
      <c r="X397" s="308">
        <f t="shared" si="43"/>
        <v>187.54974000000001</v>
      </c>
      <c r="Y397" s="322" t="s">
        <v>74</v>
      </c>
      <c r="Z397" s="575"/>
      <c r="AA397" s="567"/>
    </row>
    <row r="398" spans="1:27" s="318" customFormat="1" ht="15" customHeight="1" outlineLevel="1">
      <c r="A398" s="282">
        <v>394</v>
      </c>
      <c r="B398" s="282" t="s">
        <v>1</v>
      </c>
      <c r="C398" s="312" t="s">
        <v>657</v>
      </c>
      <c r="D398" s="313" t="s">
        <v>658</v>
      </c>
      <c r="E398" s="314">
        <v>69098</v>
      </c>
      <c r="F398" s="553" t="str">
        <f t="shared" si="42"/>
        <v>REALLuva de cobertura punho 15cm</v>
      </c>
      <c r="G398" s="609">
        <f>Y398</f>
        <v>0.3332982493070904</v>
      </c>
      <c r="H398" s="315" t="s">
        <v>228</v>
      </c>
      <c r="I398" s="323">
        <v>1.5833333333333333</v>
      </c>
      <c r="J398" s="323">
        <v>1.5833333333333333</v>
      </c>
      <c r="K398" s="323">
        <v>1.5833333333333333</v>
      </c>
      <c r="L398" s="323">
        <v>1.5833333333333333</v>
      </c>
      <c r="M398" s="323"/>
      <c r="N398" s="323"/>
      <c r="O398" s="323"/>
      <c r="P398" s="323"/>
      <c r="Q398" s="323"/>
      <c r="R398" s="323"/>
      <c r="S398" s="323"/>
      <c r="T398" s="323"/>
      <c r="U398" s="323"/>
      <c r="V398" s="316">
        <f t="shared" si="44"/>
        <v>6.333333333333333</v>
      </c>
      <c r="W398" s="316">
        <v>9.8699999999999992</v>
      </c>
      <c r="X398" s="316">
        <f t="shared" si="43"/>
        <v>62.509999999999991</v>
      </c>
      <c r="Y398" s="322">
        <f>X398/X397</f>
        <v>0.3332982493070904</v>
      </c>
      <c r="Z398" s="572"/>
      <c r="AA398" s="567"/>
    </row>
    <row r="399" spans="1:27" s="311" customFormat="1" ht="15" customHeight="1" outlineLevel="1">
      <c r="A399" s="273">
        <v>395</v>
      </c>
      <c r="B399" s="273" t="s">
        <v>0</v>
      </c>
      <c r="C399" s="305" t="s">
        <v>659</v>
      </c>
      <c r="D399" s="306" t="s">
        <v>660</v>
      </c>
      <c r="E399" s="307" t="s">
        <v>659</v>
      </c>
      <c r="F399" s="553" t="str">
        <f t="shared" si="42"/>
        <v>PREVLuva isolante classe 00 ‐ 2,5kV</v>
      </c>
      <c r="G399" s="611" t="s">
        <v>74</v>
      </c>
      <c r="H399" s="307" t="s">
        <v>228</v>
      </c>
      <c r="I399" s="321">
        <v>1.2640000000000002</v>
      </c>
      <c r="J399" s="321">
        <v>1.58</v>
      </c>
      <c r="K399" s="321">
        <v>1.58</v>
      </c>
      <c r="L399" s="321">
        <v>1.58</v>
      </c>
      <c r="M399" s="321">
        <v>1.58</v>
      </c>
      <c r="N399" s="321">
        <v>1.58</v>
      </c>
      <c r="O399" s="321">
        <v>1.58</v>
      </c>
      <c r="P399" s="321">
        <v>1.58</v>
      </c>
      <c r="Q399" s="321">
        <v>1.59</v>
      </c>
      <c r="R399" s="321">
        <v>1.59</v>
      </c>
      <c r="S399" s="321">
        <v>1.59</v>
      </c>
      <c r="T399" s="321">
        <v>1.59</v>
      </c>
      <c r="U399" s="321">
        <v>0.31800000000000006</v>
      </c>
      <c r="V399" s="308">
        <f t="shared" si="44"/>
        <v>19.002000000000002</v>
      </c>
      <c r="W399" s="308">
        <v>58.88</v>
      </c>
      <c r="X399" s="308">
        <f t="shared" si="43"/>
        <v>1118.8377600000001</v>
      </c>
      <c r="Y399" s="322" t="s">
        <v>74</v>
      </c>
      <c r="Z399" s="575"/>
      <c r="AA399" s="567"/>
    </row>
    <row r="400" spans="1:27" s="318" customFormat="1" ht="15" customHeight="1" outlineLevel="1">
      <c r="A400" s="282">
        <v>396</v>
      </c>
      <c r="B400" s="282" t="s">
        <v>1</v>
      </c>
      <c r="C400" s="312" t="s">
        <v>659</v>
      </c>
      <c r="D400" s="313" t="s">
        <v>660</v>
      </c>
      <c r="E400" s="314">
        <v>69463</v>
      </c>
      <c r="F400" s="553" t="str">
        <f t="shared" si="42"/>
        <v>REALLuva isolante classe 00 ‐ 2,5kV</v>
      </c>
      <c r="G400" s="609">
        <f>Y400</f>
        <v>8.7710065607129073E-2</v>
      </c>
      <c r="H400" s="315" t="s">
        <v>228</v>
      </c>
      <c r="I400" s="323">
        <v>0.41666666666666669</v>
      </c>
      <c r="J400" s="323">
        <v>0.41666666666666669</v>
      </c>
      <c r="K400" s="323">
        <v>0.41666666666666669</v>
      </c>
      <c r="L400" s="323">
        <v>0.41666666666666669</v>
      </c>
      <c r="M400" s="323"/>
      <c r="N400" s="323"/>
      <c r="O400" s="323"/>
      <c r="P400" s="323"/>
      <c r="Q400" s="323"/>
      <c r="R400" s="323"/>
      <c r="S400" s="323"/>
      <c r="T400" s="323"/>
      <c r="U400" s="323"/>
      <c r="V400" s="316">
        <f t="shared" si="44"/>
        <v>1.6666666666666667</v>
      </c>
      <c r="W400" s="316">
        <v>58.88</v>
      </c>
      <c r="X400" s="316">
        <f t="shared" si="43"/>
        <v>98.13333333333334</v>
      </c>
      <c r="Y400" s="322">
        <f>X400/X399</f>
        <v>8.7710065607129073E-2</v>
      </c>
      <c r="Z400" s="572"/>
      <c r="AA400" s="567"/>
    </row>
    <row r="401" spans="1:27" s="311" customFormat="1" ht="15" customHeight="1" outlineLevel="1">
      <c r="A401" s="273">
        <v>397</v>
      </c>
      <c r="B401" s="273" t="s">
        <v>0</v>
      </c>
      <c r="C401" s="305" t="s">
        <v>661</v>
      </c>
      <c r="D401" s="306" t="s">
        <v>662</v>
      </c>
      <c r="E401" s="307" t="s">
        <v>661</v>
      </c>
      <c r="F401" s="553" t="str">
        <f t="shared" si="42"/>
        <v>PREVLuva isolante classe 0 ‐ 5kV</v>
      </c>
      <c r="G401" s="611" t="s">
        <v>74</v>
      </c>
      <c r="H401" s="307" t="s">
        <v>228</v>
      </c>
      <c r="I401" s="321">
        <v>1.2640000000000002</v>
      </c>
      <c r="J401" s="321">
        <v>1.58</v>
      </c>
      <c r="K401" s="321">
        <v>1.58</v>
      </c>
      <c r="L401" s="321">
        <v>1.58</v>
      </c>
      <c r="M401" s="321">
        <v>1.58</v>
      </c>
      <c r="N401" s="321">
        <v>1.58</v>
      </c>
      <c r="O401" s="321">
        <v>1.58</v>
      </c>
      <c r="P401" s="321">
        <v>1.58</v>
      </c>
      <c r="Q401" s="321">
        <v>1.59</v>
      </c>
      <c r="R401" s="321">
        <v>1.59</v>
      </c>
      <c r="S401" s="321">
        <v>1.59</v>
      </c>
      <c r="T401" s="321">
        <v>1.59</v>
      </c>
      <c r="U401" s="321">
        <v>0.31800000000000006</v>
      </c>
      <c r="V401" s="308">
        <f t="shared" si="44"/>
        <v>19.002000000000002</v>
      </c>
      <c r="W401" s="308">
        <v>80.37</v>
      </c>
      <c r="X401" s="308">
        <f t="shared" si="43"/>
        <v>1527.1907400000002</v>
      </c>
      <c r="Y401" s="322" t="s">
        <v>74</v>
      </c>
      <c r="Z401" s="575"/>
      <c r="AA401" s="567"/>
    </row>
    <row r="402" spans="1:27" s="318" customFormat="1" ht="15" customHeight="1" outlineLevel="1">
      <c r="A402" s="282">
        <v>398</v>
      </c>
      <c r="B402" s="282" t="s">
        <v>1</v>
      </c>
      <c r="C402" s="312" t="s">
        <v>661</v>
      </c>
      <c r="D402" s="313" t="s">
        <v>662</v>
      </c>
      <c r="E402" s="314">
        <v>69828</v>
      </c>
      <c r="F402" s="553" t="str">
        <f t="shared" si="42"/>
        <v>REALLuva isolante classe 0 ‐ 5kV</v>
      </c>
      <c r="G402" s="609">
        <f>Y402</f>
        <v>0.15787811809283231</v>
      </c>
      <c r="H402" s="315" t="s">
        <v>228</v>
      </c>
      <c r="I402" s="323">
        <v>0.75</v>
      </c>
      <c r="J402" s="323">
        <v>0.75</v>
      </c>
      <c r="K402" s="323">
        <v>0.75</v>
      </c>
      <c r="L402" s="323">
        <v>0.75</v>
      </c>
      <c r="M402" s="323"/>
      <c r="N402" s="323"/>
      <c r="O402" s="323"/>
      <c r="P402" s="323"/>
      <c r="Q402" s="323"/>
      <c r="R402" s="323"/>
      <c r="S402" s="323"/>
      <c r="T402" s="323"/>
      <c r="U402" s="323"/>
      <c r="V402" s="316">
        <f t="shared" si="44"/>
        <v>3</v>
      </c>
      <c r="W402" s="316">
        <v>80.37</v>
      </c>
      <c r="X402" s="316">
        <f t="shared" si="43"/>
        <v>241.11</v>
      </c>
      <c r="Y402" s="322">
        <f>X402/X401</f>
        <v>0.15787811809283231</v>
      </c>
      <c r="Z402" s="572"/>
      <c r="AA402" s="567"/>
    </row>
    <row r="403" spans="1:27" s="311" customFormat="1" ht="15" customHeight="1" outlineLevel="1">
      <c r="A403" s="273">
        <v>399</v>
      </c>
      <c r="B403" s="273" t="s">
        <v>0</v>
      </c>
      <c r="C403" s="305" t="s">
        <v>663</v>
      </c>
      <c r="D403" s="306" t="s">
        <v>664</v>
      </c>
      <c r="E403" s="307" t="s">
        <v>663</v>
      </c>
      <c r="F403" s="553" t="str">
        <f t="shared" si="42"/>
        <v>PREVLuva isolante classe 3 ‐ 30kV</v>
      </c>
      <c r="G403" s="611" t="s">
        <v>74</v>
      </c>
      <c r="H403" s="307" t="s">
        <v>228</v>
      </c>
      <c r="I403" s="321">
        <v>1.2640000000000002</v>
      </c>
      <c r="J403" s="321">
        <v>1.58</v>
      </c>
      <c r="K403" s="321">
        <v>1.58</v>
      </c>
      <c r="L403" s="321">
        <v>1.58</v>
      </c>
      <c r="M403" s="321">
        <v>1.58</v>
      </c>
      <c r="N403" s="321">
        <v>1.58</v>
      </c>
      <c r="O403" s="321">
        <v>1.58</v>
      </c>
      <c r="P403" s="321">
        <v>1.58</v>
      </c>
      <c r="Q403" s="321">
        <v>1.59</v>
      </c>
      <c r="R403" s="321">
        <v>1.59</v>
      </c>
      <c r="S403" s="321">
        <v>1.59</v>
      </c>
      <c r="T403" s="321">
        <v>1.59</v>
      </c>
      <c r="U403" s="321">
        <v>0.31800000000000006</v>
      </c>
      <c r="V403" s="308">
        <f t="shared" si="44"/>
        <v>19.002000000000002</v>
      </c>
      <c r="W403" s="308">
        <v>297.67</v>
      </c>
      <c r="X403" s="308">
        <f t="shared" si="43"/>
        <v>5656.3253400000012</v>
      </c>
      <c r="Y403" s="322" t="s">
        <v>74</v>
      </c>
      <c r="Z403" s="575"/>
      <c r="AA403" s="567"/>
    </row>
    <row r="404" spans="1:27" s="318" customFormat="1" ht="15" customHeight="1" outlineLevel="1">
      <c r="A404" s="282">
        <v>400</v>
      </c>
      <c r="B404" s="282" t="s">
        <v>1</v>
      </c>
      <c r="C404" s="312" t="s">
        <v>663</v>
      </c>
      <c r="D404" s="313" t="s">
        <v>664</v>
      </c>
      <c r="E404" s="314">
        <v>70194</v>
      </c>
      <c r="F404" s="553" t="str">
        <f t="shared" si="42"/>
        <v>REALLuva isolante classe 3 ‐ 30kV</v>
      </c>
      <c r="G404" s="609">
        <f>Y404</f>
        <v>3.5084026242851618E-2</v>
      </c>
      <c r="H404" s="315" t="s">
        <v>228</v>
      </c>
      <c r="I404" s="323">
        <v>0.16666666666666666</v>
      </c>
      <c r="J404" s="323">
        <v>0.16666666666666666</v>
      </c>
      <c r="K404" s="323">
        <v>0.16666666666666666</v>
      </c>
      <c r="L404" s="323">
        <v>0.16666666666666666</v>
      </c>
      <c r="M404" s="323"/>
      <c r="N404" s="323"/>
      <c r="O404" s="323"/>
      <c r="P404" s="323"/>
      <c r="Q404" s="323"/>
      <c r="R404" s="323"/>
      <c r="S404" s="323"/>
      <c r="T404" s="323"/>
      <c r="U404" s="323"/>
      <c r="V404" s="316">
        <f t="shared" si="44"/>
        <v>0.66666666666666663</v>
      </c>
      <c r="W404" s="316">
        <v>297.67</v>
      </c>
      <c r="X404" s="316">
        <f t="shared" si="43"/>
        <v>198.44666666666666</v>
      </c>
      <c r="Y404" s="322">
        <f>X404/X403</f>
        <v>3.5084026242851618E-2</v>
      </c>
      <c r="Z404" s="572"/>
      <c r="AA404" s="567"/>
    </row>
    <row r="405" spans="1:27" s="311" customFormat="1" ht="15" customHeight="1" outlineLevel="1">
      <c r="A405" s="273">
        <v>401</v>
      </c>
      <c r="B405" s="273" t="s">
        <v>0</v>
      </c>
      <c r="C405" s="305" t="s">
        <v>665</v>
      </c>
      <c r="D405" s="306" t="s">
        <v>666</v>
      </c>
      <c r="E405" s="307" t="s">
        <v>665</v>
      </c>
      <c r="F405" s="553" t="str">
        <f t="shared" si="42"/>
        <v>PREVMarreta de 5kg com cabo de madeira</v>
      </c>
      <c r="G405" s="611" t="s">
        <v>74</v>
      </c>
      <c r="H405" s="307" t="s">
        <v>228</v>
      </c>
      <c r="I405" s="321">
        <v>0.93599999999999994</v>
      </c>
      <c r="J405" s="321">
        <v>1.17</v>
      </c>
      <c r="K405" s="321">
        <v>1.17</v>
      </c>
      <c r="L405" s="321">
        <v>1.17</v>
      </c>
      <c r="M405" s="321">
        <v>1.17</v>
      </c>
      <c r="N405" s="321">
        <v>1.17</v>
      </c>
      <c r="O405" s="321">
        <v>1.17</v>
      </c>
      <c r="P405" s="321">
        <v>1.17</v>
      </c>
      <c r="Q405" s="321">
        <v>1.1599999999999999</v>
      </c>
      <c r="R405" s="321">
        <v>1.1599999999999999</v>
      </c>
      <c r="S405" s="321">
        <v>1.1599999999999999</v>
      </c>
      <c r="T405" s="321">
        <v>1.1599999999999999</v>
      </c>
      <c r="U405" s="321">
        <v>0.23199999999999998</v>
      </c>
      <c r="V405" s="308">
        <f t="shared" si="44"/>
        <v>13.997999999999999</v>
      </c>
      <c r="W405" s="308">
        <v>19.09</v>
      </c>
      <c r="X405" s="308">
        <f t="shared" si="43"/>
        <v>267.22181999999998</v>
      </c>
      <c r="Y405" s="322" t="s">
        <v>74</v>
      </c>
      <c r="Z405" s="575"/>
      <c r="AA405" s="567"/>
    </row>
    <row r="406" spans="1:27" s="318" customFormat="1" ht="15" customHeight="1" outlineLevel="1">
      <c r="A406" s="282">
        <v>402</v>
      </c>
      <c r="B406" s="282" t="s">
        <v>1</v>
      </c>
      <c r="C406" s="312" t="s">
        <v>665</v>
      </c>
      <c r="D406" s="313" t="s">
        <v>666</v>
      </c>
      <c r="E406" s="314">
        <v>70559</v>
      </c>
      <c r="F406" s="553" t="str">
        <f t="shared" si="42"/>
        <v>REALMarreta de 5kg com cabo de madeira</v>
      </c>
      <c r="G406" s="609">
        <f>Y406</f>
        <v>0.28575510787255326</v>
      </c>
      <c r="H406" s="315" t="s">
        <v>228</v>
      </c>
      <c r="I406" s="323">
        <v>0.83333333333333337</v>
      </c>
      <c r="J406" s="323">
        <v>0.83333333333333337</v>
      </c>
      <c r="K406" s="323">
        <v>1.1666666666666667</v>
      </c>
      <c r="L406" s="323">
        <v>1.1666666666666667</v>
      </c>
      <c r="M406" s="323"/>
      <c r="N406" s="323"/>
      <c r="O406" s="323"/>
      <c r="P406" s="323"/>
      <c r="Q406" s="323"/>
      <c r="R406" s="323"/>
      <c r="S406" s="323"/>
      <c r="T406" s="323"/>
      <c r="U406" s="323"/>
      <c r="V406" s="316">
        <f t="shared" si="44"/>
        <v>4</v>
      </c>
      <c r="W406" s="316">
        <v>19.09</v>
      </c>
      <c r="X406" s="316">
        <f t="shared" si="43"/>
        <v>76.36</v>
      </c>
      <c r="Y406" s="322">
        <f>X406/X405</f>
        <v>0.28575510787255326</v>
      </c>
      <c r="Z406" s="572"/>
      <c r="AA406" s="567"/>
    </row>
    <row r="407" spans="1:27" s="311" customFormat="1" ht="15" customHeight="1" outlineLevel="1">
      <c r="A407" s="273">
        <v>403</v>
      </c>
      <c r="B407" s="273" t="s">
        <v>0</v>
      </c>
      <c r="C407" s="305" t="s">
        <v>667</v>
      </c>
      <c r="D407" s="306" t="s">
        <v>668</v>
      </c>
      <c r="E407" s="307" t="s">
        <v>667</v>
      </c>
      <c r="F407" s="553" t="str">
        <f t="shared" si="42"/>
        <v>PREVMartelete Perfurador/Rompedor Profissional 220V, 800W, 870 RPM</v>
      </c>
      <c r="G407" s="611" t="s">
        <v>74</v>
      </c>
      <c r="H407" s="307" t="s">
        <v>228</v>
      </c>
      <c r="I407" s="321">
        <v>0.13600000000000001</v>
      </c>
      <c r="J407" s="321">
        <v>0.17</v>
      </c>
      <c r="K407" s="321">
        <v>0.17</v>
      </c>
      <c r="L407" s="321">
        <v>0.17</v>
      </c>
      <c r="M407" s="321">
        <v>0.17</v>
      </c>
      <c r="N407" s="321">
        <v>0.17</v>
      </c>
      <c r="O407" s="321">
        <v>0.17</v>
      </c>
      <c r="P407" s="321">
        <v>0.17</v>
      </c>
      <c r="Q407" s="321">
        <v>0.16</v>
      </c>
      <c r="R407" s="321">
        <v>0.16</v>
      </c>
      <c r="S407" s="321">
        <v>0.16</v>
      </c>
      <c r="T407" s="321">
        <v>0.16</v>
      </c>
      <c r="U407" s="321">
        <v>3.2000000000000001E-2</v>
      </c>
      <c r="V407" s="308">
        <f t="shared" si="44"/>
        <v>1.9979999999999998</v>
      </c>
      <c r="W407" s="308">
        <v>206.16</v>
      </c>
      <c r="X407" s="308">
        <f t="shared" si="43"/>
        <v>411.90767999999997</v>
      </c>
      <c r="Y407" s="322" t="s">
        <v>74</v>
      </c>
      <c r="Z407" s="575"/>
      <c r="AA407" s="567"/>
    </row>
    <row r="408" spans="1:27" s="318" customFormat="1" ht="15" customHeight="1" outlineLevel="1">
      <c r="A408" s="282">
        <v>404</v>
      </c>
      <c r="B408" s="282" t="s">
        <v>1</v>
      </c>
      <c r="C408" s="312" t="s">
        <v>667</v>
      </c>
      <c r="D408" s="313" t="s">
        <v>668</v>
      </c>
      <c r="E408" s="314" t="s">
        <v>667</v>
      </c>
      <c r="F408" s="553" t="str">
        <f t="shared" si="42"/>
        <v>REALMartelete Perfurador/Rompedor Profissional 220V, 800W, 870 RPM</v>
      </c>
      <c r="G408" s="609">
        <f>Y408</f>
        <v>0.33366700033366703</v>
      </c>
      <c r="H408" s="315" t="s">
        <v>228</v>
      </c>
      <c r="I408" s="323">
        <v>0.16666666666666666</v>
      </c>
      <c r="J408" s="323">
        <v>0.16666666666666666</v>
      </c>
      <c r="K408" s="323">
        <v>0.16666666666666666</v>
      </c>
      <c r="L408" s="323">
        <v>0.16666666666666666</v>
      </c>
      <c r="M408" s="323"/>
      <c r="N408" s="323"/>
      <c r="O408" s="323"/>
      <c r="P408" s="323"/>
      <c r="Q408" s="323"/>
      <c r="R408" s="323"/>
      <c r="S408" s="323"/>
      <c r="T408" s="323"/>
      <c r="U408" s="323"/>
      <c r="V408" s="316">
        <f t="shared" ref="V408:V436" si="45">SUM(I408:U408)</f>
        <v>0.66666666666666663</v>
      </c>
      <c r="W408" s="316">
        <v>206.16</v>
      </c>
      <c r="X408" s="316">
        <f t="shared" si="43"/>
        <v>137.44</v>
      </c>
      <c r="Y408" s="322">
        <f>X408/X407</f>
        <v>0.33366700033366703</v>
      </c>
      <c r="Z408" s="572"/>
      <c r="AA408" s="567"/>
    </row>
    <row r="409" spans="1:27" s="311" customFormat="1" ht="15" customHeight="1" outlineLevel="1">
      <c r="A409" s="273">
        <v>405</v>
      </c>
      <c r="B409" s="273" t="s">
        <v>0</v>
      </c>
      <c r="C409" s="305" t="s">
        <v>669</v>
      </c>
      <c r="D409" s="306" t="s">
        <v>670</v>
      </c>
      <c r="E409" s="307" t="s">
        <v>669</v>
      </c>
      <c r="F409" s="553" t="str">
        <f t="shared" si="42"/>
        <v>PREVMartelo‐bola 1kg</v>
      </c>
      <c r="G409" s="611" t="s">
        <v>74</v>
      </c>
      <c r="H409" s="307" t="s">
        <v>228</v>
      </c>
      <c r="I409" s="321">
        <v>0.93599999999999994</v>
      </c>
      <c r="J409" s="321">
        <v>1.17</v>
      </c>
      <c r="K409" s="321">
        <v>1.17</v>
      </c>
      <c r="L409" s="321">
        <v>1.17</v>
      </c>
      <c r="M409" s="321">
        <v>1.17</v>
      </c>
      <c r="N409" s="321">
        <v>1.17</v>
      </c>
      <c r="O409" s="321">
        <v>1.17</v>
      </c>
      <c r="P409" s="321">
        <v>1.17</v>
      </c>
      <c r="Q409" s="321">
        <v>1.1599999999999999</v>
      </c>
      <c r="R409" s="321">
        <v>1.1599999999999999</v>
      </c>
      <c r="S409" s="321">
        <v>1.1599999999999999</v>
      </c>
      <c r="T409" s="321">
        <v>1.1599999999999999</v>
      </c>
      <c r="U409" s="321">
        <v>0.23199999999999998</v>
      </c>
      <c r="V409" s="308">
        <f t="shared" si="45"/>
        <v>13.997999999999999</v>
      </c>
      <c r="W409" s="308">
        <v>22.29</v>
      </c>
      <c r="X409" s="308">
        <f t="shared" si="43"/>
        <v>312.01541999999995</v>
      </c>
      <c r="Y409" s="322" t="s">
        <v>74</v>
      </c>
      <c r="Z409" s="575"/>
      <c r="AA409" s="567"/>
    </row>
    <row r="410" spans="1:27" s="318" customFormat="1" ht="15" customHeight="1" outlineLevel="1">
      <c r="A410" s="282">
        <v>406</v>
      </c>
      <c r="B410" s="282" t="s">
        <v>1</v>
      </c>
      <c r="C410" s="312" t="s">
        <v>669</v>
      </c>
      <c r="D410" s="313" t="s">
        <v>670</v>
      </c>
      <c r="E410" s="314">
        <v>71289</v>
      </c>
      <c r="F410" s="553" t="str">
        <f t="shared" si="42"/>
        <v>REALMartelo‐bola 1kg</v>
      </c>
      <c r="G410" s="609">
        <f>Y410</f>
        <v>0.23812925656046111</v>
      </c>
      <c r="H410" s="315" t="s">
        <v>228</v>
      </c>
      <c r="I410" s="323">
        <v>0.5</v>
      </c>
      <c r="J410" s="323">
        <v>0.5</v>
      </c>
      <c r="K410" s="323">
        <v>1.1666666666666667</v>
      </c>
      <c r="L410" s="323">
        <v>1.1666666666666667</v>
      </c>
      <c r="M410" s="323"/>
      <c r="N410" s="323"/>
      <c r="O410" s="323"/>
      <c r="P410" s="323"/>
      <c r="Q410" s="323"/>
      <c r="R410" s="323"/>
      <c r="S410" s="323"/>
      <c r="T410" s="323"/>
      <c r="U410" s="323"/>
      <c r="V410" s="316">
        <f t="shared" si="45"/>
        <v>3.3333333333333339</v>
      </c>
      <c r="W410" s="316">
        <v>22.29</v>
      </c>
      <c r="X410" s="316">
        <f t="shared" si="43"/>
        <v>74.300000000000011</v>
      </c>
      <c r="Y410" s="322">
        <f>X410/X409</f>
        <v>0.23812925656046111</v>
      </c>
      <c r="Z410" s="572"/>
      <c r="AA410" s="567"/>
    </row>
    <row r="411" spans="1:27" s="311" customFormat="1" ht="15" customHeight="1" outlineLevel="1">
      <c r="A411" s="273">
        <v>407</v>
      </c>
      <c r="B411" s="273" t="s">
        <v>0</v>
      </c>
      <c r="C411" s="305" t="s">
        <v>671</v>
      </c>
      <c r="D411" s="306" t="s">
        <v>672</v>
      </c>
      <c r="E411" s="307" t="s">
        <v>671</v>
      </c>
      <c r="F411" s="553" t="str">
        <f t="shared" si="42"/>
        <v>PREVMartelo universal (de unha) 25mm</v>
      </c>
      <c r="G411" s="611" t="s">
        <v>74</v>
      </c>
      <c r="H411" s="307" t="s">
        <v>228</v>
      </c>
      <c r="I411" s="321">
        <v>0.93599999999999994</v>
      </c>
      <c r="J411" s="321">
        <v>1.17</v>
      </c>
      <c r="K411" s="321">
        <v>1.17</v>
      </c>
      <c r="L411" s="321">
        <v>1.17</v>
      </c>
      <c r="M411" s="321">
        <v>1.17</v>
      </c>
      <c r="N411" s="321">
        <v>1.17</v>
      </c>
      <c r="O411" s="321">
        <v>1.17</v>
      </c>
      <c r="P411" s="321">
        <v>1.17</v>
      </c>
      <c r="Q411" s="321">
        <v>1.1599999999999999</v>
      </c>
      <c r="R411" s="321">
        <v>1.1599999999999999</v>
      </c>
      <c r="S411" s="321">
        <v>1.1599999999999999</v>
      </c>
      <c r="T411" s="321">
        <v>1.1599999999999999</v>
      </c>
      <c r="U411" s="321">
        <v>0.23199999999999998</v>
      </c>
      <c r="V411" s="308">
        <f t="shared" si="45"/>
        <v>13.997999999999999</v>
      </c>
      <c r="W411" s="308">
        <v>11.77</v>
      </c>
      <c r="X411" s="308">
        <f t="shared" si="43"/>
        <v>164.75645999999998</v>
      </c>
      <c r="Y411" s="322" t="s">
        <v>74</v>
      </c>
      <c r="Z411" s="575"/>
      <c r="AA411" s="567"/>
    </row>
    <row r="412" spans="1:27" s="318" customFormat="1" ht="15" customHeight="1" outlineLevel="1">
      <c r="A412" s="282">
        <v>408</v>
      </c>
      <c r="B412" s="282" t="s">
        <v>1</v>
      </c>
      <c r="C412" s="312" t="s">
        <v>671</v>
      </c>
      <c r="D412" s="313" t="s">
        <v>672</v>
      </c>
      <c r="E412" s="314">
        <v>71655</v>
      </c>
      <c r="F412" s="553" t="str">
        <f t="shared" si="42"/>
        <v>REALMartelo universal (de unha) 25mm</v>
      </c>
      <c r="G412" s="609">
        <f>Y412</f>
        <v>0.3333809591846455</v>
      </c>
      <c r="H412" s="315" t="s">
        <v>228</v>
      </c>
      <c r="I412" s="323">
        <v>1.1666666666666667</v>
      </c>
      <c r="J412" s="323">
        <v>1.1666666666666667</v>
      </c>
      <c r="K412" s="323">
        <v>1.1666666666666667</v>
      </c>
      <c r="L412" s="323">
        <v>1.1666666666666667</v>
      </c>
      <c r="M412" s="323"/>
      <c r="N412" s="323"/>
      <c r="O412" s="323"/>
      <c r="P412" s="323"/>
      <c r="Q412" s="323"/>
      <c r="R412" s="323"/>
      <c r="S412" s="323"/>
      <c r="T412" s="323"/>
      <c r="U412" s="323"/>
      <c r="V412" s="316">
        <f t="shared" si="45"/>
        <v>4.666666666666667</v>
      </c>
      <c r="W412" s="316">
        <v>11.77</v>
      </c>
      <c r="X412" s="316">
        <f t="shared" si="43"/>
        <v>54.926666666666669</v>
      </c>
      <c r="Y412" s="322">
        <f>X412/X411</f>
        <v>0.3333809591846455</v>
      </c>
      <c r="Z412" s="572"/>
      <c r="AA412" s="567"/>
    </row>
    <row r="413" spans="1:27" s="311" customFormat="1" ht="15" customHeight="1" outlineLevel="1">
      <c r="A413" s="273">
        <v>409</v>
      </c>
      <c r="B413" s="273" t="s">
        <v>0</v>
      </c>
      <c r="C413" s="305" t="s">
        <v>673</v>
      </c>
      <c r="D413" s="306" t="s">
        <v>674</v>
      </c>
      <c r="E413" s="307" t="s">
        <v>673</v>
      </c>
      <c r="F413" s="553" t="str">
        <f t="shared" ref="F413:F436" si="46">B413&amp;D413</f>
        <v>PREVKit para enchimento e complementação de gás SF6, composto de adaptador, mangueira,regulador e manômetro padrão</v>
      </c>
      <c r="G413" s="611" t="s">
        <v>74</v>
      </c>
      <c r="H413" s="307" t="s">
        <v>228</v>
      </c>
      <c r="I413" s="321">
        <v>0.13600000000000001</v>
      </c>
      <c r="J413" s="321">
        <v>0.17</v>
      </c>
      <c r="K413" s="321">
        <v>0.17</v>
      </c>
      <c r="L413" s="321">
        <v>0.17</v>
      </c>
      <c r="M413" s="321">
        <v>0.17</v>
      </c>
      <c r="N413" s="321">
        <v>0.17</v>
      </c>
      <c r="O413" s="321">
        <v>0.17</v>
      </c>
      <c r="P413" s="321">
        <v>0.17</v>
      </c>
      <c r="Q413" s="321">
        <v>0.16</v>
      </c>
      <c r="R413" s="321">
        <v>0.16</v>
      </c>
      <c r="S413" s="321">
        <v>0.16</v>
      </c>
      <c r="T413" s="321">
        <v>0.16</v>
      </c>
      <c r="U413" s="321">
        <v>3.2000000000000001E-2</v>
      </c>
      <c r="V413" s="308">
        <f t="shared" si="45"/>
        <v>1.9979999999999998</v>
      </c>
      <c r="W413" s="308">
        <v>296.32</v>
      </c>
      <c r="X413" s="308">
        <f t="shared" ref="X413:X436" si="47">W413*V413</f>
        <v>592.04735999999991</v>
      </c>
      <c r="Y413" s="322" t="s">
        <v>74</v>
      </c>
      <c r="Z413" s="575"/>
      <c r="AA413" s="567"/>
    </row>
    <row r="414" spans="1:27" s="318" customFormat="1" ht="15" customHeight="1" outlineLevel="1">
      <c r="A414" s="282">
        <v>410</v>
      </c>
      <c r="B414" s="282" t="s">
        <v>1</v>
      </c>
      <c r="C414" s="312" t="s">
        <v>673</v>
      </c>
      <c r="D414" s="313" t="s">
        <v>674</v>
      </c>
      <c r="E414" s="314" t="s">
        <v>673</v>
      </c>
      <c r="F414" s="553" t="str">
        <f t="shared" si="46"/>
        <v>REALKit para enchimento e complementação de gás SF6, composto de adaptador, mangueira,regulador e manômetro padrão</v>
      </c>
      <c r="G414" s="609">
        <f>Y414</f>
        <v>0.33366700033366703</v>
      </c>
      <c r="H414" s="315" t="s">
        <v>228</v>
      </c>
      <c r="I414" s="323">
        <v>0.16666666666666666</v>
      </c>
      <c r="J414" s="323">
        <v>0.16666666666666666</v>
      </c>
      <c r="K414" s="323">
        <v>0.16666666666666666</v>
      </c>
      <c r="L414" s="323">
        <v>0.16666666666666666</v>
      </c>
      <c r="M414" s="323"/>
      <c r="N414" s="323"/>
      <c r="O414" s="323"/>
      <c r="P414" s="323"/>
      <c r="Q414" s="323"/>
      <c r="R414" s="323"/>
      <c r="S414" s="323"/>
      <c r="T414" s="323"/>
      <c r="U414" s="323"/>
      <c r="V414" s="316">
        <f t="shared" si="45"/>
        <v>0.66666666666666663</v>
      </c>
      <c r="W414" s="316">
        <v>296.32</v>
      </c>
      <c r="X414" s="316">
        <f t="shared" si="47"/>
        <v>197.54666666666665</v>
      </c>
      <c r="Y414" s="322">
        <f>X414/X413</f>
        <v>0.33366700033366703</v>
      </c>
      <c r="Z414" s="572"/>
      <c r="AA414" s="567"/>
    </row>
    <row r="415" spans="1:27" s="311" customFormat="1" ht="15" customHeight="1" outlineLevel="1">
      <c r="A415" s="273">
        <v>411</v>
      </c>
      <c r="B415" s="273" t="s">
        <v>0</v>
      </c>
      <c r="C415" s="305" t="s">
        <v>675</v>
      </c>
      <c r="D415" s="306" t="s">
        <v>676</v>
      </c>
      <c r="E415" s="307" t="s">
        <v>675</v>
      </c>
      <c r="F415" s="553" t="str">
        <f t="shared" si="46"/>
        <v>PREVPá‐de‐bico com cabo de madeira</v>
      </c>
      <c r="G415" s="611" t="s">
        <v>74</v>
      </c>
      <c r="H415" s="307" t="s">
        <v>228</v>
      </c>
      <c r="I415" s="321">
        <v>0.93599999999999994</v>
      </c>
      <c r="J415" s="321">
        <v>1.17</v>
      </c>
      <c r="K415" s="321">
        <v>1.17</v>
      </c>
      <c r="L415" s="321">
        <v>1.17</v>
      </c>
      <c r="M415" s="321">
        <v>1.17</v>
      </c>
      <c r="N415" s="321">
        <v>1.17</v>
      </c>
      <c r="O415" s="321">
        <v>1.17</v>
      </c>
      <c r="P415" s="321">
        <v>1.17</v>
      </c>
      <c r="Q415" s="321">
        <v>1.1599999999999999</v>
      </c>
      <c r="R415" s="321">
        <v>1.1599999999999999</v>
      </c>
      <c r="S415" s="321">
        <v>1.1599999999999999</v>
      </c>
      <c r="T415" s="321">
        <v>1.1599999999999999</v>
      </c>
      <c r="U415" s="321">
        <v>0.23199999999999998</v>
      </c>
      <c r="V415" s="308">
        <f t="shared" si="45"/>
        <v>13.997999999999999</v>
      </c>
      <c r="W415" s="308">
        <v>10.28</v>
      </c>
      <c r="X415" s="308">
        <f t="shared" si="47"/>
        <v>143.89943999999997</v>
      </c>
      <c r="Y415" s="322" t="s">
        <v>74</v>
      </c>
      <c r="Z415" s="575"/>
      <c r="AA415" s="567"/>
    </row>
    <row r="416" spans="1:27" s="318" customFormat="1" ht="15" customHeight="1" outlineLevel="1">
      <c r="A416" s="282">
        <v>412</v>
      </c>
      <c r="B416" s="282" t="s">
        <v>1</v>
      </c>
      <c r="C416" s="312" t="s">
        <v>675</v>
      </c>
      <c r="D416" s="313" t="s">
        <v>676</v>
      </c>
      <c r="E416" s="314">
        <v>72385</v>
      </c>
      <c r="F416" s="553" t="str">
        <f t="shared" si="46"/>
        <v>REALPá‐de‐bico com cabo de madeira</v>
      </c>
      <c r="G416" s="609">
        <f>Y416</f>
        <v>0.30956803352859941</v>
      </c>
      <c r="H416" s="315" t="s">
        <v>228</v>
      </c>
      <c r="I416" s="323">
        <v>1</v>
      </c>
      <c r="J416" s="323">
        <v>1</v>
      </c>
      <c r="K416" s="323">
        <v>1.1666666666666667</v>
      </c>
      <c r="L416" s="323">
        <v>1.1666666666666667</v>
      </c>
      <c r="M416" s="323"/>
      <c r="N416" s="323"/>
      <c r="O416" s="323"/>
      <c r="P416" s="323"/>
      <c r="Q416" s="323"/>
      <c r="R416" s="323"/>
      <c r="S416" s="323"/>
      <c r="T416" s="323"/>
      <c r="U416" s="323"/>
      <c r="V416" s="316">
        <f t="shared" si="45"/>
        <v>4.3333333333333339</v>
      </c>
      <c r="W416" s="316">
        <v>10.28</v>
      </c>
      <c r="X416" s="316">
        <f t="shared" si="47"/>
        <v>44.546666666666667</v>
      </c>
      <c r="Y416" s="322">
        <f>X416/X415</f>
        <v>0.30956803352859941</v>
      </c>
      <c r="Z416" s="572"/>
      <c r="AA416" s="567"/>
    </row>
    <row r="417" spans="1:27" s="311" customFormat="1" ht="15" customHeight="1" outlineLevel="1">
      <c r="A417" s="273">
        <v>413</v>
      </c>
      <c r="B417" s="273" t="s">
        <v>0</v>
      </c>
      <c r="C417" s="305" t="s">
        <v>677</v>
      </c>
      <c r="D417" s="306" t="s">
        <v>678</v>
      </c>
      <c r="E417" s="307" t="s">
        <v>677</v>
      </c>
      <c r="F417" s="553" t="str">
        <f t="shared" si="46"/>
        <v>PREVParafusadeira/Furadeira elétrica com fio ‐ 220V, 400W</v>
      </c>
      <c r="G417" s="611" t="s">
        <v>74</v>
      </c>
      <c r="H417" s="307" t="s">
        <v>228</v>
      </c>
      <c r="I417" s="321">
        <v>0.93599999999999994</v>
      </c>
      <c r="J417" s="321">
        <v>1.17</v>
      </c>
      <c r="K417" s="321">
        <v>1.17</v>
      </c>
      <c r="L417" s="321">
        <v>1.17</v>
      </c>
      <c r="M417" s="321">
        <v>1.17</v>
      </c>
      <c r="N417" s="321">
        <v>1.17</v>
      </c>
      <c r="O417" s="321">
        <v>1.17</v>
      </c>
      <c r="P417" s="321">
        <v>1.17</v>
      </c>
      <c r="Q417" s="321">
        <v>1.1599999999999999</v>
      </c>
      <c r="R417" s="321">
        <v>1.1599999999999999</v>
      </c>
      <c r="S417" s="321">
        <v>1.1599999999999999</v>
      </c>
      <c r="T417" s="321">
        <v>1.1599999999999999</v>
      </c>
      <c r="U417" s="321">
        <v>0.23199999999999998</v>
      </c>
      <c r="V417" s="308">
        <f t="shared" si="45"/>
        <v>13.997999999999999</v>
      </c>
      <c r="W417" s="308">
        <v>87.73</v>
      </c>
      <c r="X417" s="308">
        <f t="shared" si="47"/>
        <v>1228.0445400000001</v>
      </c>
      <c r="Y417" s="322" t="s">
        <v>74</v>
      </c>
      <c r="Z417" s="575"/>
      <c r="AA417" s="567"/>
    </row>
    <row r="418" spans="1:27" s="318" customFormat="1" ht="15" customHeight="1" outlineLevel="1">
      <c r="A418" s="282">
        <v>414</v>
      </c>
      <c r="B418" s="282" t="s">
        <v>1</v>
      </c>
      <c r="C418" s="312" t="s">
        <v>677</v>
      </c>
      <c r="D418" s="313" t="s">
        <v>678</v>
      </c>
      <c r="E418" s="314">
        <v>72750</v>
      </c>
      <c r="F418" s="553" t="str">
        <f t="shared" si="46"/>
        <v>REALParafusadeira/Furadeira elétrica com fio ‐ 220V, 400W</v>
      </c>
      <c r="G418" s="609">
        <f>Y418</f>
        <v>0.23812925656046105</v>
      </c>
      <c r="H418" s="315" t="s">
        <v>228</v>
      </c>
      <c r="I418" s="323">
        <v>0.5</v>
      </c>
      <c r="J418" s="323">
        <v>0.5</v>
      </c>
      <c r="K418" s="323">
        <v>1.1666666666666667</v>
      </c>
      <c r="L418" s="323">
        <v>1.1666666666666667</v>
      </c>
      <c r="M418" s="323"/>
      <c r="N418" s="323"/>
      <c r="O418" s="323"/>
      <c r="P418" s="323"/>
      <c r="Q418" s="323"/>
      <c r="R418" s="323"/>
      <c r="S418" s="323"/>
      <c r="T418" s="323"/>
      <c r="U418" s="323"/>
      <c r="V418" s="316">
        <f t="shared" si="45"/>
        <v>3.3333333333333339</v>
      </c>
      <c r="W418" s="316">
        <v>87.73</v>
      </c>
      <c r="X418" s="316">
        <f t="shared" si="47"/>
        <v>292.43333333333339</v>
      </c>
      <c r="Y418" s="322">
        <f>X418/X417</f>
        <v>0.23812925656046105</v>
      </c>
      <c r="Z418" s="572"/>
      <c r="AA418" s="567"/>
    </row>
    <row r="419" spans="1:27" s="311" customFormat="1" ht="15" customHeight="1" outlineLevel="1">
      <c r="A419" s="273">
        <v>415</v>
      </c>
      <c r="B419" s="273" t="s">
        <v>0</v>
      </c>
      <c r="C419" s="305" t="s">
        <v>679</v>
      </c>
      <c r="D419" s="306" t="s">
        <v>680</v>
      </c>
      <c r="E419" s="307" t="s">
        <v>679</v>
      </c>
      <c r="F419" s="553" t="str">
        <f t="shared" si="46"/>
        <v>PREVPlataforma de fibra de vidro antiderrapente para andaime modular isolante, com conexões em aluminio fundido 2x1m</v>
      </c>
      <c r="G419" s="611" t="s">
        <v>74</v>
      </c>
      <c r="H419" s="307" t="s">
        <v>228</v>
      </c>
      <c r="I419" s="321">
        <v>0.26400000000000001</v>
      </c>
      <c r="J419" s="321">
        <v>0.33</v>
      </c>
      <c r="K419" s="321">
        <v>0.33</v>
      </c>
      <c r="L419" s="321">
        <v>0.33</v>
      </c>
      <c r="M419" s="321">
        <v>0.33</v>
      </c>
      <c r="N419" s="321">
        <v>0.33</v>
      </c>
      <c r="O419" s="321">
        <v>0.33</v>
      </c>
      <c r="P419" s="321">
        <v>0.33</v>
      </c>
      <c r="Q419" s="321">
        <v>0.34</v>
      </c>
      <c r="R419" s="321">
        <v>0.34</v>
      </c>
      <c r="S419" s="321">
        <v>0.34</v>
      </c>
      <c r="T419" s="321">
        <v>0.34</v>
      </c>
      <c r="U419" s="321">
        <v>6.8000000000000005E-2</v>
      </c>
      <c r="V419" s="308">
        <f t="shared" si="45"/>
        <v>4.0019999999999998</v>
      </c>
      <c r="W419" s="308">
        <v>59.06</v>
      </c>
      <c r="X419" s="308">
        <f t="shared" si="47"/>
        <v>236.35811999999999</v>
      </c>
      <c r="Y419" s="322" t="s">
        <v>74</v>
      </c>
      <c r="Z419" s="575"/>
      <c r="AA419" s="567"/>
    </row>
    <row r="420" spans="1:27" s="318" customFormat="1" ht="15" customHeight="1" outlineLevel="1">
      <c r="A420" s="282">
        <v>416</v>
      </c>
      <c r="B420" s="282" t="s">
        <v>1</v>
      </c>
      <c r="C420" s="312" t="s">
        <v>679</v>
      </c>
      <c r="D420" s="313" t="s">
        <v>680</v>
      </c>
      <c r="E420" s="314" t="s">
        <v>679</v>
      </c>
      <c r="F420" s="553" t="str">
        <f t="shared" si="46"/>
        <v>REALPlataforma de fibra de vidro antiderrapente para andaime modular isolante, com conexões em aluminio fundido 2x1m</v>
      </c>
      <c r="G420" s="609">
        <f>Y420</f>
        <v>0</v>
      </c>
      <c r="H420" s="315" t="s">
        <v>228</v>
      </c>
      <c r="I420" s="323">
        <v>0</v>
      </c>
      <c r="J420" s="323">
        <v>0</v>
      </c>
      <c r="K420" s="323">
        <v>0</v>
      </c>
      <c r="L420" s="323">
        <v>0</v>
      </c>
      <c r="M420" s="323"/>
      <c r="N420" s="323"/>
      <c r="O420" s="323"/>
      <c r="P420" s="323"/>
      <c r="Q420" s="323"/>
      <c r="R420" s="323"/>
      <c r="S420" s="323"/>
      <c r="T420" s="323"/>
      <c r="U420" s="323"/>
      <c r="V420" s="316">
        <f t="shared" si="45"/>
        <v>0</v>
      </c>
      <c r="W420" s="316">
        <v>59.06</v>
      </c>
      <c r="X420" s="316">
        <f t="shared" si="47"/>
        <v>0</v>
      </c>
      <c r="Y420" s="322">
        <f>X420/X419</f>
        <v>0</v>
      </c>
      <c r="Z420" s="572"/>
      <c r="AA420" s="567"/>
    </row>
    <row r="421" spans="1:27" s="311" customFormat="1" ht="15" customHeight="1" outlineLevel="1">
      <c r="A421" s="273">
        <v>417</v>
      </c>
      <c r="B421" s="273" t="s">
        <v>0</v>
      </c>
      <c r="C421" s="305" t="s">
        <v>681</v>
      </c>
      <c r="D421" s="306" t="s">
        <v>682</v>
      </c>
      <c r="E421" s="307" t="s">
        <v>681</v>
      </c>
      <c r="F421" s="553" t="str">
        <f t="shared" si="46"/>
        <v>PREVPunho saca fusível NH tamanho 000 a 4, 1kV</v>
      </c>
      <c r="G421" s="611" t="s">
        <v>74</v>
      </c>
      <c r="H421" s="307" t="s">
        <v>228</v>
      </c>
      <c r="I421" s="321">
        <v>0.93599999999999994</v>
      </c>
      <c r="J421" s="321">
        <v>1.17</v>
      </c>
      <c r="K421" s="321">
        <v>1.17</v>
      </c>
      <c r="L421" s="321">
        <v>1.17</v>
      </c>
      <c r="M421" s="321">
        <v>1.17</v>
      </c>
      <c r="N421" s="321">
        <v>1.17</v>
      </c>
      <c r="O421" s="321">
        <v>1.17</v>
      </c>
      <c r="P421" s="321">
        <v>1.17</v>
      </c>
      <c r="Q421" s="321">
        <v>1.1599999999999999</v>
      </c>
      <c r="R421" s="321">
        <v>1.1599999999999999</v>
      </c>
      <c r="S421" s="321">
        <v>1.1599999999999999</v>
      </c>
      <c r="T421" s="321">
        <v>1.1599999999999999</v>
      </c>
      <c r="U421" s="321">
        <v>0.23199999999999998</v>
      </c>
      <c r="V421" s="308">
        <f t="shared" si="45"/>
        <v>13.997999999999999</v>
      </c>
      <c r="W421" s="308">
        <v>59.06</v>
      </c>
      <c r="X421" s="308">
        <f t="shared" si="47"/>
        <v>826.72187999999994</v>
      </c>
      <c r="Y421" s="322" t="s">
        <v>74</v>
      </c>
      <c r="Z421" s="575"/>
      <c r="AA421" s="567"/>
    </row>
    <row r="422" spans="1:27" s="318" customFormat="1" ht="15" customHeight="1" outlineLevel="1">
      <c r="A422" s="282">
        <v>418</v>
      </c>
      <c r="B422" s="282" t="s">
        <v>1</v>
      </c>
      <c r="C422" s="312" t="s">
        <v>681</v>
      </c>
      <c r="D422" s="313" t="s">
        <v>682</v>
      </c>
      <c r="E422" s="314" t="s">
        <v>681</v>
      </c>
      <c r="F422" s="553" t="str">
        <f t="shared" si="46"/>
        <v>REALPunho saca fusível NH tamanho 000 a 4, 1kV</v>
      </c>
      <c r="G422" s="609">
        <f>Y422</f>
        <v>0</v>
      </c>
      <c r="H422" s="315" t="s">
        <v>228</v>
      </c>
      <c r="I422" s="323">
        <v>0</v>
      </c>
      <c r="J422" s="323">
        <v>0</v>
      </c>
      <c r="K422" s="323">
        <v>0</v>
      </c>
      <c r="L422" s="323">
        <v>0</v>
      </c>
      <c r="M422" s="323"/>
      <c r="N422" s="323"/>
      <c r="O422" s="323"/>
      <c r="P422" s="323"/>
      <c r="Q422" s="323"/>
      <c r="R422" s="323"/>
      <c r="S422" s="323"/>
      <c r="T422" s="323"/>
      <c r="U422" s="323"/>
      <c r="V422" s="316">
        <f t="shared" si="45"/>
        <v>0</v>
      </c>
      <c r="W422" s="316">
        <v>59.06</v>
      </c>
      <c r="X422" s="316">
        <f t="shared" si="47"/>
        <v>0</v>
      </c>
      <c r="Y422" s="322">
        <f>X422/X421</f>
        <v>0</v>
      </c>
      <c r="Z422" s="572"/>
      <c r="AA422" s="567"/>
    </row>
    <row r="423" spans="1:27" s="311" customFormat="1" ht="15" customHeight="1" outlineLevel="1">
      <c r="A423" s="273">
        <v>419</v>
      </c>
      <c r="B423" s="273" t="s">
        <v>0</v>
      </c>
      <c r="C423" s="305" t="s">
        <v>683</v>
      </c>
      <c r="D423" s="306" t="s">
        <v>684</v>
      </c>
      <c r="E423" s="307" t="s">
        <v>683</v>
      </c>
      <c r="F423" s="553" t="str">
        <f t="shared" si="46"/>
        <v>PREVSela com extensor colar de 38mm</v>
      </c>
      <c r="G423" s="611" t="s">
        <v>74</v>
      </c>
      <c r="H423" s="307" t="s">
        <v>228</v>
      </c>
      <c r="I423" s="321">
        <v>0.46399999999999997</v>
      </c>
      <c r="J423" s="321">
        <v>0.57999999999999996</v>
      </c>
      <c r="K423" s="321">
        <v>0.57999999999999996</v>
      </c>
      <c r="L423" s="321">
        <v>0.57999999999999996</v>
      </c>
      <c r="M423" s="321">
        <v>0.57999999999999996</v>
      </c>
      <c r="N423" s="321">
        <v>0.57999999999999996</v>
      </c>
      <c r="O423" s="321">
        <v>0.57999999999999996</v>
      </c>
      <c r="P423" s="321">
        <v>0.57999999999999996</v>
      </c>
      <c r="Q423" s="321">
        <v>0.59</v>
      </c>
      <c r="R423" s="321">
        <v>0.59</v>
      </c>
      <c r="S423" s="321">
        <v>0.59</v>
      </c>
      <c r="T423" s="321">
        <v>0.59</v>
      </c>
      <c r="U423" s="321">
        <v>0.11799999999999999</v>
      </c>
      <c r="V423" s="308">
        <f t="shared" si="45"/>
        <v>7.0019999999999998</v>
      </c>
      <c r="W423" s="308">
        <v>409.82</v>
      </c>
      <c r="X423" s="308">
        <f t="shared" si="47"/>
        <v>2869.5596399999999</v>
      </c>
      <c r="Y423" s="322" t="s">
        <v>74</v>
      </c>
      <c r="Z423" s="575"/>
      <c r="AA423" s="567"/>
    </row>
    <row r="424" spans="1:27" s="318" customFormat="1" ht="15" customHeight="1" outlineLevel="1">
      <c r="A424" s="282">
        <v>420</v>
      </c>
      <c r="B424" s="282" t="s">
        <v>1</v>
      </c>
      <c r="C424" s="312" t="s">
        <v>683</v>
      </c>
      <c r="D424" s="313" t="s">
        <v>684</v>
      </c>
      <c r="E424" s="314" t="s">
        <v>683</v>
      </c>
      <c r="F424" s="553" t="str">
        <f t="shared" si="46"/>
        <v>REALSela com extensor colar de 38mm</v>
      </c>
      <c r="G424" s="609">
        <f>Y424</f>
        <v>0</v>
      </c>
      <c r="H424" s="315" t="s">
        <v>228</v>
      </c>
      <c r="I424" s="323">
        <v>0</v>
      </c>
      <c r="J424" s="323">
        <v>0</v>
      </c>
      <c r="K424" s="323">
        <v>0</v>
      </c>
      <c r="L424" s="323">
        <v>0</v>
      </c>
      <c r="M424" s="323"/>
      <c r="N424" s="323"/>
      <c r="O424" s="323"/>
      <c r="P424" s="323"/>
      <c r="Q424" s="323"/>
      <c r="R424" s="323"/>
      <c r="S424" s="323"/>
      <c r="T424" s="323"/>
      <c r="U424" s="323"/>
      <c r="V424" s="316">
        <f t="shared" si="45"/>
        <v>0</v>
      </c>
      <c r="W424" s="316">
        <v>409.82</v>
      </c>
      <c r="X424" s="316">
        <f t="shared" si="47"/>
        <v>0</v>
      </c>
      <c r="Y424" s="322">
        <f>X424/X423</f>
        <v>0</v>
      </c>
      <c r="Z424" s="572"/>
      <c r="AA424" s="567"/>
    </row>
    <row r="425" spans="1:27" s="311" customFormat="1" ht="15" customHeight="1" outlineLevel="1">
      <c r="A425" s="273">
        <v>421</v>
      </c>
      <c r="B425" s="273" t="s">
        <v>0</v>
      </c>
      <c r="C425" s="305" t="s">
        <v>685</v>
      </c>
      <c r="D425" s="306" t="s">
        <v>686</v>
      </c>
      <c r="E425" s="307" t="s">
        <v>685</v>
      </c>
      <c r="F425" s="553" t="str">
        <f t="shared" si="46"/>
        <v>PREVSeparador de fases horizontal 15kV polietileno de alta densidade na cor cinza (cx 110‐690 mm ; cx 66‐850 mm)</v>
      </c>
      <c r="G425" s="611" t="s">
        <v>74</v>
      </c>
      <c r="H425" s="307" t="s">
        <v>228</v>
      </c>
      <c r="I425" s="321">
        <v>0.53600000000000003</v>
      </c>
      <c r="J425" s="321">
        <v>0.67</v>
      </c>
      <c r="K425" s="321">
        <v>0.67</v>
      </c>
      <c r="L425" s="321">
        <v>0.67</v>
      </c>
      <c r="M425" s="321">
        <v>0.67</v>
      </c>
      <c r="N425" s="321">
        <v>0.67</v>
      </c>
      <c r="O425" s="321">
        <v>0.67</v>
      </c>
      <c r="P425" s="321">
        <v>0.67</v>
      </c>
      <c r="Q425" s="321">
        <v>0.66</v>
      </c>
      <c r="R425" s="321">
        <v>0.66</v>
      </c>
      <c r="S425" s="321">
        <v>0.66</v>
      </c>
      <c r="T425" s="321">
        <v>0.66</v>
      </c>
      <c r="U425" s="321">
        <v>0.13200000000000001</v>
      </c>
      <c r="V425" s="308">
        <f t="shared" si="45"/>
        <v>7.9980000000000002</v>
      </c>
      <c r="W425" s="308">
        <v>336.65</v>
      </c>
      <c r="X425" s="308">
        <f t="shared" si="47"/>
        <v>2692.5266999999999</v>
      </c>
      <c r="Y425" s="322" t="s">
        <v>74</v>
      </c>
      <c r="Z425" s="575"/>
      <c r="AA425" s="567"/>
    </row>
    <row r="426" spans="1:27" s="318" customFormat="1" ht="15" customHeight="1" outlineLevel="1">
      <c r="A426" s="282">
        <v>422</v>
      </c>
      <c r="B426" s="282" t="s">
        <v>1</v>
      </c>
      <c r="C426" s="312" t="s">
        <v>685</v>
      </c>
      <c r="D426" s="313" t="s">
        <v>686</v>
      </c>
      <c r="E426" s="314" t="s">
        <v>685</v>
      </c>
      <c r="F426" s="553" t="str">
        <f t="shared" si="46"/>
        <v>REALSeparador de fases horizontal 15kV polietileno de alta densidade na cor cinza (cx 110‐690 mm ; cx 66‐850 mm)</v>
      </c>
      <c r="G426" s="609">
        <f>Y426</f>
        <v>0</v>
      </c>
      <c r="H426" s="315" t="s">
        <v>228</v>
      </c>
      <c r="I426" s="323">
        <v>0</v>
      </c>
      <c r="J426" s="323">
        <v>0</v>
      </c>
      <c r="K426" s="323">
        <v>0</v>
      </c>
      <c r="L426" s="323">
        <v>0</v>
      </c>
      <c r="M426" s="323"/>
      <c r="N426" s="323"/>
      <c r="O426" s="323"/>
      <c r="P426" s="323"/>
      <c r="Q426" s="323"/>
      <c r="R426" s="323"/>
      <c r="S426" s="323"/>
      <c r="T426" s="323"/>
      <c r="U426" s="323"/>
      <c r="V426" s="316">
        <f t="shared" si="45"/>
        <v>0</v>
      </c>
      <c r="W426" s="316">
        <v>336.65</v>
      </c>
      <c r="X426" s="316">
        <f t="shared" si="47"/>
        <v>0</v>
      </c>
      <c r="Y426" s="322">
        <f>X426/X425</f>
        <v>0</v>
      </c>
      <c r="Z426" s="572"/>
      <c r="AA426" s="567"/>
    </row>
    <row r="427" spans="1:27" s="311" customFormat="1" ht="15" customHeight="1" outlineLevel="1">
      <c r="A427" s="273">
        <v>423</v>
      </c>
      <c r="B427" s="273" t="s">
        <v>0</v>
      </c>
      <c r="C427" s="305" t="s">
        <v>687</v>
      </c>
      <c r="D427" s="306" t="s">
        <v>688</v>
      </c>
      <c r="E427" s="307" t="s">
        <v>687</v>
      </c>
      <c r="F427" s="553" t="str">
        <f t="shared" si="46"/>
        <v>PREVSoprador térmico 2000W, 220V</v>
      </c>
      <c r="G427" s="611" t="s">
        <v>74</v>
      </c>
      <c r="H427" s="307" t="s">
        <v>228</v>
      </c>
      <c r="I427" s="321">
        <v>0.13600000000000001</v>
      </c>
      <c r="J427" s="321">
        <v>0.17</v>
      </c>
      <c r="K427" s="321">
        <v>0.17</v>
      </c>
      <c r="L427" s="321">
        <v>0.17</v>
      </c>
      <c r="M427" s="321">
        <v>0.17</v>
      </c>
      <c r="N427" s="321">
        <v>0.17</v>
      </c>
      <c r="O427" s="321">
        <v>0.17</v>
      </c>
      <c r="P427" s="321">
        <v>0.17</v>
      </c>
      <c r="Q427" s="321">
        <v>0.16</v>
      </c>
      <c r="R427" s="321">
        <v>0.16</v>
      </c>
      <c r="S427" s="321">
        <v>0.16</v>
      </c>
      <c r="T427" s="321">
        <v>0.16</v>
      </c>
      <c r="U427" s="321">
        <v>3.2000000000000001E-2</v>
      </c>
      <c r="V427" s="308">
        <f t="shared" si="45"/>
        <v>1.9979999999999998</v>
      </c>
      <c r="W427" s="308">
        <v>72.8</v>
      </c>
      <c r="X427" s="308">
        <f t="shared" si="47"/>
        <v>145.45439999999996</v>
      </c>
      <c r="Y427" s="322" t="s">
        <v>74</v>
      </c>
      <c r="Z427" s="575"/>
      <c r="AA427" s="567"/>
    </row>
    <row r="428" spans="1:27" s="318" customFormat="1" ht="15" customHeight="1" outlineLevel="1">
      <c r="A428" s="282">
        <v>424</v>
      </c>
      <c r="B428" s="282" t="s">
        <v>1</v>
      </c>
      <c r="C428" s="312" t="s">
        <v>687</v>
      </c>
      <c r="D428" s="313" t="s">
        <v>688</v>
      </c>
      <c r="E428" s="314" t="s">
        <v>687</v>
      </c>
      <c r="F428" s="553" t="str">
        <f t="shared" si="46"/>
        <v>REALSoprador térmico 2000W, 220V</v>
      </c>
      <c r="G428" s="609">
        <f>Y428</f>
        <v>0.33366700033366709</v>
      </c>
      <c r="H428" s="315" t="s">
        <v>228</v>
      </c>
      <c r="I428" s="323">
        <v>0.16666666666666666</v>
      </c>
      <c r="J428" s="323">
        <v>0.16666666666666666</v>
      </c>
      <c r="K428" s="323">
        <v>0.16666666666666666</v>
      </c>
      <c r="L428" s="323">
        <v>0.16666666666666666</v>
      </c>
      <c r="M428" s="323"/>
      <c r="N428" s="323"/>
      <c r="O428" s="323"/>
      <c r="P428" s="323"/>
      <c r="Q428" s="323"/>
      <c r="R428" s="323"/>
      <c r="S428" s="323"/>
      <c r="T428" s="323"/>
      <c r="U428" s="323"/>
      <c r="V428" s="316">
        <f t="shared" si="45"/>
        <v>0.66666666666666663</v>
      </c>
      <c r="W428" s="316">
        <v>72.8</v>
      </c>
      <c r="X428" s="316">
        <f t="shared" si="47"/>
        <v>48.533333333333331</v>
      </c>
      <c r="Y428" s="322">
        <f>X428/X427</f>
        <v>0.33366700033366709</v>
      </c>
      <c r="Z428" s="572"/>
      <c r="AA428" s="567"/>
    </row>
    <row r="429" spans="1:27" s="311" customFormat="1" ht="15" customHeight="1" outlineLevel="1">
      <c r="A429" s="273">
        <v>425</v>
      </c>
      <c r="B429" s="273" t="s">
        <v>0</v>
      </c>
      <c r="C429" s="305" t="s">
        <v>689</v>
      </c>
      <c r="D429" s="306" t="s">
        <v>690</v>
      </c>
      <c r="E429" s="307" t="s">
        <v>689</v>
      </c>
      <c r="F429" s="553" t="str">
        <f t="shared" si="46"/>
        <v>PREVTalha manual Tirfor 1.600kgf/cm² com alavanca</v>
      </c>
      <c r="G429" s="611" t="s">
        <v>74</v>
      </c>
      <c r="H429" s="307" t="s">
        <v>228</v>
      </c>
      <c r="I429" s="321">
        <v>0.13600000000000001</v>
      </c>
      <c r="J429" s="321">
        <v>0.17</v>
      </c>
      <c r="K429" s="321">
        <v>0.17</v>
      </c>
      <c r="L429" s="321">
        <v>0.17</v>
      </c>
      <c r="M429" s="321">
        <v>0.17</v>
      </c>
      <c r="N429" s="321">
        <v>0.17</v>
      </c>
      <c r="O429" s="321">
        <v>0.17</v>
      </c>
      <c r="P429" s="321">
        <v>0.17</v>
      </c>
      <c r="Q429" s="321">
        <v>0.16</v>
      </c>
      <c r="R429" s="321">
        <v>0.16</v>
      </c>
      <c r="S429" s="321">
        <v>0.16</v>
      </c>
      <c r="T429" s="321">
        <v>0.16</v>
      </c>
      <c r="U429" s="321">
        <v>3.4000000000000002E-2</v>
      </c>
      <c r="V429" s="308">
        <f t="shared" si="45"/>
        <v>1.9999999999999998</v>
      </c>
      <c r="W429" s="308">
        <v>474.28</v>
      </c>
      <c r="X429" s="308">
        <f t="shared" si="47"/>
        <v>948.55999999999983</v>
      </c>
      <c r="Y429" s="322" t="s">
        <v>74</v>
      </c>
      <c r="Z429" s="580"/>
      <c r="AA429" s="567"/>
    </row>
    <row r="430" spans="1:27" s="318" customFormat="1" ht="15" customHeight="1" outlineLevel="1">
      <c r="A430" s="282">
        <v>426</v>
      </c>
      <c r="B430" s="282" t="s">
        <v>1</v>
      </c>
      <c r="C430" s="312" t="s">
        <v>689</v>
      </c>
      <c r="D430" s="313" t="s">
        <v>690</v>
      </c>
      <c r="E430" s="314" t="s">
        <v>689</v>
      </c>
      <c r="F430" s="553" t="str">
        <f t="shared" si="46"/>
        <v>REALTalha manual Tirfor 1.600kgf/cm² com alavanca</v>
      </c>
      <c r="G430" s="609">
        <f>Y430</f>
        <v>0.33333333333333331</v>
      </c>
      <c r="H430" s="315" t="s">
        <v>228</v>
      </c>
      <c r="I430" s="323">
        <v>0.16666666666666666</v>
      </c>
      <c r="J430" s="323">
        <v>0.16666666666666666</v>
      </c>
      <c r="K430" s="323">
        <v>0.16666666666666666</v>
      </c>
      <c r="L430" s="323">
        <v>0.16666666666666666</v>
      </c>
      <c r="M430" s="323"/>
      <c r="N430" s="323"/>
      <c r="O430" s="323"/>
      <c r="P430" s="323"/>
      <c r="Q430" s="323"/>
      <c r="R430" s="323"/>
      <c r="S430" s="323"/>
      <c r="T430" s="323"/>
      <c r="U430" s="323"/>
      <c r="V430" s="316">
        <f t="shared" si="45"/>
        <v>0.66666666666666663</v>
      </c>
      <c r="W430" s="316">
        <v>474.28</v>
      </c>
      <c r="X430" s="316">
        <f t="shared" si="47"/>
        <v>316.18666666666661</v>
      </c>
      <c r="Y430" s="322">
        <f>X430/X429</f>
        <v>0.33333333333333331</v>
      </c>
      <c r="Z430" s="572"/>
      <c r="AA430" s="567"/>
    </row>
    <row r="431" spans="1:27" s="311" customFormat="1" ht="15" customHeight="1" outlineLevel="1">
      <c r="A431" s="273">
        <v>427</v>
      </c>
      <c r="B431" s="273" t="s">
        <v>0</v>
      </c>
      <c r="C431" s="305" t="s">
        <v>691</v>
      </c>
      <c r="D431" s="306" t="s">
        <v>692</v>
      </c>
      <c r="E431" s="307" t="s">
        <v>691</v>
      </c>
      <c r="F431" s="553" t="str">
        <f t="shared" si="46"/>
        <v>PREVTestador de bastão de manobra para isolador</v>
      </c>
      <c r="G431" s="611" t="s">
        <v>74</v>
      </c>
      <c r="H431" s="307" t="s">
        <v>228</v>
      </c>
      <c r="I431" s="321">
        <v>0.13600000000000001</v>
      </c>
      <c r="J431" s="321">
        <v>0.17</v>
      </c>
      <c r="K431" s="321">
        <v>0.17</v>
      </c>
      <c r="L431" s="321">
        <v>0.17</v>
      </c>
      <c r="M431" s="321">
        <v>0.17</v>
      </c>
      <c r="N431" s="321">
        <v>0.17</v>
      </c>
      <c r="O431" s="321">
        <v>0.17</v>
      </c>
      <c r="P431" s="321">
        <v>0.17</v>
      </c>
      <c r="Q431" s="321">
        <v>0.16</v>
      </c>
      <c r="R431" s="321">
        <v>0.16</v>
      </c>
      <c r="S431" s="321">
        <v>0.16</v>
      </c>
      <c r="T431" s="321">
        <v>0.16</v>
      </c>
      <c r="U431" s="321">
        <v>3.2000000000000001E-2</v>
      </c>
      <c r="V431" s="308">
        <f t="shared" si="45"/>
        <v>1.9979999999999998</v>
      </c>
      <c r="W431" s="308">
        <v>1464.17</v>
      </c>
      <c r="X431" s="308">
        <f t="shared" si="47"/>
        <v>2925.4116599999998</v>
      </c>
      <c r="Y431" s="322" t="s">
        <v>74</v>
      </c>
      <c r="Z431" s="575"/>
      <c r="AA431" s="567"/>
    </row>
    <row r="432" spans="1:27" s="318" customFormat="1" ht="15" customHeight="1" outlineLevel="1">
      <c r="A432" s="282">
        <v>428</v>
      </c>
      <c r="B432" s="282" t="s">
        <v>1</v>
      </c>
      <c r="C432" s="312" t="s">
        <v>691</v>
      </c>
      <c r="D432" s="313" t="s">
        <v>692</v>
      </c>
      <c r="E432" s="314" t="s">
        <v>691</v>
      </c>
      <c r="F432" s="553" t="str">
        <f t="shared" si="46"/>
        <v>REALTestador de bastão de manobra para isolador</v>
      </c>
      <c r="G432" s="609">
        <f>Y432</f>
        <v>0</v>
      </c>
      <c r="H432" s="315" t="s">
        <v>228</v>
      </c>
      <c r="I432" s="323">
        <v>0</v>
      </c>
      <c r="J432" s="323">
        <v>0</v>
      </c>
      <c r="K432" s="323">
        <v>0</v>
      </c>
      <c r="L432" s="323">
        <v>0</v>
      </c>
      <c r="M432" s="323"/>
      <c r="N432" s="323"/>
      <c r="O432" s="323"/>
      <c r="P432" s="323"/>
      <c r="Q432" s="323"/>
      <c r="R432" s="323"/>
      <c r="S432" s="323"/>
      <c r="T432" s="323"/>
      <c r="U432" s="323"/>
      <c r="V432" s="316">
        <f t="shared" si="45"/>
        <v>0</v>
      </c>
      <c r="W432" s="316">
        <v>1464.17</v>
      </c>
      <c r="X432" s="316">
        <f t="shared" si="47"/>
        <v>0</v>
      </c>
      <c r="Y432" s="322">
        <f>X432/X431</f>
        <v>0</v>
      </c>
      <c r="Z432" s="572"/>
      <c r="AA432" s="567"/>
    </row>
    <row r="433" spans="1:27" s="311" customFormat="1" ht="15" customHeight="1" outlineLevel="1">
      <c r="A433" s="273">
        <v>429</v>
      </c>
      <c r="B433" s="273" t="s">
        <v>0</v>
      </c>
      <c r="C433" s="305" t="s">
        <v>693</v>
      </c>
      <c r="D433" s="306" t="s">
        <v>694</v>
      </c>
      <c r="E433" s="307" t="s">
        <v>693</v>
      </c>
      <c r="F433" s="553" t="str">
        <f t="shared" si="46"/>
        <v>PREVTeste de Bateria Digital com Impressora Térmica Embutida</v>
      </c>
      <c r="G433" s="611" t="s">
        <v>74</v>
      </c>
      <c r="H433" s="307" t="s">
        <v>228</v>
      </c>
      <c r="I433" s="321">
        <v>0.60000000000000009</v>
      </c>
      <c r="J433" s="321">
        <v>0.75</v>
      </c>
      <c r="K433" s="321">
        <v>0.75</v>
      </c>
      <c r="L433" s="321">
        <v>0.75</v>
      </c>
      <c r="M433" s="321">
        <v>0.75</v>
      </c>
      <c r="N433" s="321">
        <v>0.75</v>
      </c>
      <c r="O433" s="321">
        <v>0.75</v>
      </c>
      <c r="P433" s="321">
        <v>0.75</v>
      </c>
      <c r="Q433" s="321">
        <v>0.75</v>
      </c>
      <c r="R433" s="321">
        <v>0.75</v>
      </c>
      <c r="S433" s="321">
        <v>0.75</v>
      </c>
      <c r="T433" s="321">
        <v>0.75</v>
      </c>
      <c r="U433" s="321">
        <v>0.15000000000000002</v>
      </c>
      <c r="V433" s="308">
        <f t="shared" si="45"/>
        <v>9</v>
      </c>
      <c r="W433" s="308">
        <v>427</v>
      </c>
      <c r="X433" s="308">
        <f t="shared" si="47"/>
        <v>3843</v>
      </c>
      <c r="Y433" s="322" t="s">
        <v>74</v>
      </c>
      <c r="Z433" s="575"/>
      <c r="AA433" s="567"/>
    </row>
    <row r="434" spans="1:27" s="318" customFormat="1" ht="15" customHeight="1" outlineLevel="1">
      <c r="A434" s="282">
        <v>430</v>
      </c>
      <c r="B434" s="282" t="s">
        <v>1</v>
      </c>
      <c r="C434" s="312" t="s">
        <v>693</v>
      </c>
      <c r="D434" s="313" t="s">
        <v>694</v>
      </c>
      <c r="E434" s="314" t="s">
        <v>693</v>
      </c>
      <c r="F434" s="553" t="str">
        <f t="shared" si="46"/>
        <v>REALTeste de Bateria Digital com Impressora Térmica Embutida</v>
      </c>
      <c r="G434" s="609">
        <f>Y434</f>
        <v>0</v>
      </c>
      <c r="H434" s="315" t="s">
        <v>228</v>
      </c>
      <c r="I434" s="323">
        <v>0</v>
      </c>
      <c r="J434" s="323">
        <v>0</v>
      </c>
      <c r="K434" s="323">
        <v>0</v>
      </c>
      <c r="L434" s="323">
        <v>0</v>
      </c>
      <c r="M434" s="323"/>
      <c r="N434" s="323"/>
      <c r="O434" s="323"/>
      <c r="P434" s="323"/>
      <c r="Q434" s="323"/>
      <c r="R434" s="323"/>
      <c r="S434" s="323"/>
      <c r="T434" s="323"/>
      <c r="U434" s="323"/>
      <c r="V434" s="316">
        <f t="shared" si="45"/>
        <v>0</v>
      </c>
      <c r="W434" s="316">
        <v>427</v>
      </c>
      <c r="X434" s="316">
        <f t="shared" si="47"/>
        <v>0</v>
      </c>
      <c r="Y434" s="322">
        <f>X434/X433</f>
        <v>0</v>
      </c>
      <c r="Z434" s="572"/>
      <c r="AA434" s="567"/>
    </row>
    <row r="435" spans="1:27" s="311" customFormat="1" ht="15" customHeight="1" outlineLevel="1">
      <c r="A435" s="273">
        <v>431</v>
      </c>
      <c r="B435" s="273" t="s">
        <v>0</v>
      </c>
      <c r="C435" s="305" t="s">
        <v>695</v>
      </c>
      <c r="D435" s="306" t="s">
        <v>696</v>
      </c>
      <c r="E435" s="307" t="s">
        <v>695</v>
      </c>
      <c r="F435" s="553" t="str">
        <f t="shared" si="46"/>
        <v>PREVTestador de Crimpagem Cabo Rede Lan Rj45 Rj11</v>
      </c>
      <c r="G435" s="611" t="s">
        <v>74</v>
      </c>
      <c r="H435" s="307" t="s">
        <v>228</v>
      </c>
      <c r="I435" s="321">
        <v>0.46399999999999997</v>
      </c>
      <c r="J435" s="321">
        <v>0.57999999999999996</v>
      </c>
      <c r="K435" s="321">
        <v>0.57999999999999996</v>
      </c>
      <c r="L435" s="321">
        <v>0.57999999999999996</v>
      </c>
      <c r="M435" s="321">
        <v>0.57999999999999996</v>
      </c>
      <c r="N435" s="321">
        <v>0.57999999999999996</v>
      </c>
      <c r="O435" s="321">
        <v>0.57999999999999996</v>
      </c>
      <c r="P435" s="321">
        <v>0.57999999999999996</v>
      </c>
      <c r="Q435" s="321">
        <v>0.59</v>
      </c>
      <c r="R435" s="321">
        <v>0.59</v>
      </c>
      <c r="S435" s="321">
        <v>0.59</v>
      </c>
      <c r="T435" s="321">
        <v>0.59</v>
      </c>
      <c r="U435" s="321">
        <v>0.11799999999999999</v>
      </c>
      <c r="V435" s="308">
        <f t="shared" si="45"/>
        <v>7.0019999999999998</v>
      </c>
      <c r="W435" s="308">
        <v>26.85</v>
      </c>
      <c r="X435" s="308">
        <f t="shared" si="47"/>
        <v>188.00370000000001</v>
      </c>
      <c r="Y435" s="322" t="s">
        <v>74</v>
      </c>
      <c r="Z435" s="575"/>
      <c r="AA435" s="567"/>
    </row>
    <row r="436" spans="1:27" s="318" customFormat="1" ht="15" customHeight="1" outlineLevel="1">
      <c r="A436" s="282">
        <v>432</v>
      </c>
      <c r="B436" s="282" t="s">
        <v>1</v>
      </c>
      <c r="C436" s="312" t="s">
        <v>695</v>
      </c>
      <c r="D436" s="313" t="s">
        <v>696</v>
      </c>
      <c r="E436" s="314" t="s">
        <v>695</v>
      </c>
      <c r="F436" s="553" t="str">
        <f t="shared" si="46"/>
        <v>REALTestador de Crimpagem Cabo Rede Lan Rj45 Rj11</v>
      </c>
      <c r="G436" s="609">
        <f>Y436</f>
        <v>0.21422450728363326</v>
      </c>
      <c r="H436" s="315" t="s">
        <v>228</v>
      </c>
      <c r="I436" s="323">
        <v>0.16666666666666666</v>
      </c>
      <c r="J436" s="323">
        <v>0.16666666666666666</v>
      </c>
      <c r="K436" s="323">
        <v>0.58333333333333337</v>
      </c>
      <c r="L436" s="323">
        <v>0.58333333333333337</v>
      </c>
      <c r="M436" s="323"/>
      <c r="N436" s="323"/>
      <c r="O436" s="323"/>
      <c r="P436" s="323"/>
      <c r="Q436" s="323"/>
      <c r="R436" s="323"/>
      <c r="S436" s="323"/>
      <c r="T436" s="323"/>
      <c r="U436" s="323"/>
      <c r="V436" s="316">
        <f t="shared" si="45"/>
        <v>1.5</v>
      </c>
      <c r="W436" s="316">
        <v>26.85</v>
      </c>
      <c r="X436" s="316">
        <f t="shared" si="47"/>
        <v>40.275000000000006</v>
      </c>
      <c r="Y436" s="322">
        <f>X436/X435</f>
        <v>0.21422450728363326</v>
      </c>
      <c r="Z436" s="572"/>
      <c r="AA436" s="567"/>
    </row>
    <row r="437" spans="1:27" s="311" customFormat="1" ht="15" customHeight="1">
      <c r="A437" s="273">
        <v>433</v>
      </c>
      <c r="B437" s="273" t="s">
        <v>0</v>
      </c>
      <c r="C437" s="289" t="s">
        <v>697</v>
      </c>
      <c r="D437" s="380" t="s">
        <v>698</v>
      </c>
      <c r="E437" s="291" t="s">
        <v>697</v>
      </c>
      <c r="F437" s="291"/>
      <c r="G437" s="610"/>
      <c r="H437" s="292"/>
      <c r="I437" s="396"/>
      <c r="J437" s="396"/>
      <c r="K437" s="396"/>
      <c r="L437" s="396"/>
      <c r="M437" s="396"/>
      <c r="N437" s="396"/>
      <c r="O437" s="396"/>
      <c r="P437" s="396"/>
      <c r="Q437" s="396"/>
      <c r="R437" s="396"/>
      <c r="S437" s="396"/>
      <c r="T437" s="396"/>
      <c r="U437" s="396"/>
      <c r="V437" s="319"/>
      <c r="W437" s="319"/>
      <c r="X437" s="370">
        <f>SUMIF(B439:B662,B437,X439:X662)</f>
        <v>426510.65128000022</v>
      </c>
      <c r="Y437" s="295" t="s">
        <v>74</v>
      </c>
      <c r="Z437" s="578"/>
      <c r="AA437" s="567"/>
    </row>
    <row r="438" spans="1:27" s="318" customFormat="1" ht="15" customHeight="1">
      <c r="A438" s="282">
        <v>434</v>
      </c>
      <c r="B438" s="282" t="s">
        <v>1</v>
      </c>
      <c r="C438" s="297" t="s">
        <v>697</v>
      </c>
      <c r="D438" s="381" t="s">
        <v>698</v>
      </c>
      <c r="E438" s="320" t="s">
        <v>697</v>
      </c>
      <c r="F438" s="320"/>
      <c r="G438" s="612"/>
      <c r="H438" s="300"/>
      <c r="I438" s="397"/>
      <c r="J438" s="397"/>
      <c r="K438" s="397"/>
      <c r="L438" s="397"/>
      <c r="M438" s="397"/>
      <c r="N438" s="397"/>
      <c r="O438" s="397"/>
      <c r="P438" s="397"/>
      <c r="Q438" s="397"/>
      <c r="R438" s="397"/>
      <c r="S438" s="397"/>
      <c r="T438" s="397"/>
      <c r="U438" s="397"/>
      <c r="V438" s="302">
        <v>0</v>
      </c>
      <c r="W438" s="302">
        <v>0</v>
      </c>
      <c r="X438" s="303">
        <f>SUMIF(B439:B662,B438,X439:X662)</f>
        <v>12093.130000000001</v>
      </c>
      <c r="Y438" s="295">
        <f>X438/X437</f>
        <v>2.8353641260088894E-2</v>
      </c>
      <c r="Z438" s="571"/>
      <c r="AA438" s="567"/>
    </row>
    <row r="439" spans="1:27" s="311" customFormat="1" ht="15" customHeight="1" outlineLevel="1">
      <c r="A439" s="273">
        <v>435</v>
      </c>
      <c r="B439" s="273" t="s">
        <v>0</v>
      </c>
      <c r="C439" s="305" t="s">
        <v>699</v>
      </c>
      <c r="D439" s="306" t="s">
        <v>700</v>
      </c>
      <c r="E439" s="307" t="s">
        <v>699</v>
      </c>
      <c r="F439" s="553" t="str">
        <f t="shared" ref="F439:F502" si="48">B439&amp;D439</f>
        <v>PREVAlarme sonoro, tensão de 125 Vcc</v>
      </c>
      <c r="G439" s="611" t="s">
        <v>74</v>
      </c>
      <c r="H439" s="307" t="s">
        <v>228</v>
      </c>
      <c r="I439" s="321">
        <v>0.2</v>
      </c>
      <c r="J439" s="321">
        <v>0.25</v>
      </c>
      <c r="K439" s="321">
        <v>0.25</v>
      </c>
      <c r="L439" s="321">
        <v>0.25</v>
      </c>
      <c r="M439" s="321">
        <v>0.25</v>
      </c>
      <c r="N439" s="321">
        <v>0.25</v>
      </c>
      <c r="O439" s="321">
        <v>0.25</v>
      </c>
      <c r="P439" s="321">
        <v>0.25</v>
      </c>
      <c r="Q439" s="321">
        <v>0.25</v>
      </c>
      <c r="R439" s="321">
        <v>0.25</v>
      </c>
      <c r="S439" s="321">
        <v>0.25</v>
      </c>
      <c r="T439" s="321">
        <v>0.25</v>
      </c>
      <c r="U439" s="321">
        <v>0.05</v>
      </c>
      <c r="V439" s="308">
        <f t="shared" ref="V439:V502" si="49">SUM(I439:U439)</f>
        <v>3</v>
      </c>
      <c r="W439" s="308">
        <v>82.16</v>
      </c>
      <c r="X439" s="308">
        <f t="shared" ref="X439:X502" si="50">W439*V439</f>
        <v>246.48</v>
      </c>
      <c r="Y439" s="322" t="s">
        <v>74</v>
      </c>
      <c r="Z439" s="575"/>
      <c r="AA439" s="567"/>
    </row>
    <row r="440" spans="1:27" s="318" customFormat="1" ht="15" customHeight="1" outlineLevel="1">
      <c r="A440" s="282">
        <v>436</v>
      </c>
      <c r="B440" s="282" t="s">
        <v>1</v>
      </c>
      <c r="C440" s="312" t="s">
        <v>699</v>
      </c>
      <c r="D440" s="313" t="s">
        <v>700</v>
      </c>
      <c r="E440" s="314" t="s">
        <v>699</v>
      </c>
      <c r="F440" s="553" t="str">
        <f t="shared" si="48"/>
        <v>REALAlarme sonoro, tensão de 125 Vcc</v>
      </c>
      <c r="G440" s="609">
        <f>Y440</f>
        <v>0</v>
      </c>
      <c r="H440" s="315" t="s">
        <v>228</v>
      </c>
      <c r="I440" s="323">
        <v>0</v>
      </c>
      <c r="J440" s="323">
        <v>0</v>
      </c>
      <c r="K440" s="323">
        <v>0</v>
      </c>
      <c r="L440" s="323">
        <v>0</v>
      </c>
      <c r="M440" s="323"/>
      <c r="N440" s="323"/>
      <c r="O440" s="323"/>
      <c r="P440" s="323"/>
      <c r="Q440" s="323"/>
      <c r="R440" s="323"/>
      <c r="S440" s="323"/>
      <c r="T440" s="323"/>
      <c r="U440" s="323"/>
      <c r="V440" s="316">
        <f t="shared" si="49"/>
        <v>0</v>
      </c>
      <c r="W440" s="316">
        <v>82.16</v>
      </c>
      <c r="X440" s="316">
        <f t="shared" si="50"/>
        <v>0</v>
      </c>
      <c r="Y440" s="322">
        <f>X440/X439</f>
        <v>0</v>
      </c>
      <c r="Z440" s="572"/>
      <c r="AA440" s="567"/>
    </row>
    <row r="441" spans="1:27" s="311" customFormat="1" ht="15" customHeight="1" outlineLevel="1">
      <c r="A441" s="273">
        <v>437</v>
      </c>
      <c r="B441" s="273" t="s">
        <v>0</v>
      </c>
      <c r="C441" s="305" t="s">
        <v>701</v>
      </c>
      <c r="D441" s="306" t="s">
        <v>702</v>
      </c>
      <c r="E441" s="307" t="s">
        <v>701</v>
      </c>
      <c r="F441" s="553" t="str">
        <f t="shared" si="48"/>
        <v>PREVBloco auxiliar com 2 contatos reversíveis</v>
      </c>
      <c r="G441" s="611" t="s">
        <v>74</v>
      </c>
      <c r="H441" s="307" t="s">
        <v>228</v>
      </c>
      <c r="I441" s="321">
        <v>0.46399999999999997</v>
      </c>
      <c r="J441" s="321">
        <v>0.57999999999999996</v>
      </c>
      <c r="K441" s="321">
        <v>0.57999999999999996</v>
      </c>
      <c r="L441" s="321">
        <v>0.57999999999999996</v>
      </c>
      <c r="M441" s="321">
        <v>0.57999999999999996</v>
      </c>
      <c r="N441" s="321">
        <v>0.57999999999999996</v>
      </c>
      <c r="O441" s="321">
        <v>0.57999999999999996</v>
      </c>
      <c r="P441" s="321">
        <v>0.57999999999999996</v>
      </c>
      <c r="Q441" s="321">
        <v>0.59</v>
      </c>
      <c r="R441" s="321">
        <v>0.59</v>
      </c>
      <c r="S441" s="321">
        <v>0.59</v>
      </c>
      <c r="T441" s="321">
        <v>0.59</v>
      </c>
      <c r="U441" s="321">
        <v>0.11799999999999999</v>
      </c>
      <c r="V441" s="308">
        <f t="shared" si="49"/>
        <v>7.0019999999999998</v>
      </c>
      <c r="W441" s="308">
        <v>59.57</v>
      </c>
      <c r="X441" s="308">
        <f t="shared" si="50"/>
        <v>417.10913999999997</v>
      </c>
      <c r="Y441" s="322" t="s">
        <v>74</v>
      </c>
      <c r="Z441" s="575"/>
      <c r="AA441" s="567"/>
    </row>
    <row r="442" spans="1:27" s="318" customFormat="1" ht="15" customHeight="1" outlineLevel="1">
      <c r="A442" s="282">
        <v>438</v>
      </c>
      <c r="B442" s="282" t="s">
        <v>1</v>
      </c>
      <c r="C442" s="312" t="s">
        <v>701</v>
      </c>
      <c r="D442" s="313" t="s">
        <v>702</v>
      </c>
      <c r="E442" s="314" t="s">
        <v>701</v>
      </c>
      <c r="F442" s="553" t="str">
        <f t="shared" si="48"/>
        <v>REALBloco auxiliar com 2 contatos reversíveis</v>
      </c>
      <c r="G442" s="609">
        <f>Y442</f>
        <v>0</v>
      </c>
      <c r="H442" s="315" t="s">
        <v>228</v>
      </c>
      <c r="I442" s="323">
        <v>0</v>
      </c>
      <c r="J442" s="323">
        <v>0</v>
      </c>
      <c r="K442" s="323">
        <v>0</v>
      </c>
      <c r="L442" s="323">
        <v>0</v>
      </c>
      <c r="M442" s="323"/>
      <c r="N442" s="323"/>
      <c r="O442" s="323"/>
      <c r="P442" s="323"/>
      <c r="Q442" s="323"/>
      <c r="R442" s="323"/>
      <c r="S442" s="323"/>
      <c r="T442" s="323"/>
      <c r="U442" s="323"/>
      <c r="V442" s="316">
        <f t="shared" si="49"/>
        <v>0</v>
      </c>
      <c r="W442" s="316">
        <v>59.57</v>
      </c>
      <c r="X442" s="316">
        <f t="shared" si="50"/>
        <v>0</v>
      </c>
      <c r="Y442" s="322">
        <f>X442/X441</f>
        <v>0</v>
      </c>
      <c r="Z442" s="572"/>
      <c r="AA442" s="567"/>
    </row>
    <row r="443" spans="1:27" s="311" customFormat="1" ht="15" customHeight="1" outlineLevel="1">
      <c r="A443" s="273">
        <v>439</v>
      </c>
      <c r="B443" s="273" t="s">
        <v>0</v>
      </c>
      <c r="C443" s="305" t="s">
        <v>703</v>
      </c>
      <c r="D443" s="306" t="s">
        <v>704</v>
      </c>
      <c r="E443" s="307" t="s">
        <v>703</v>
      </c>
      <c r="F443" s="553" t="str">
        <f t="shared" si="48"/>
        <v>PREVBotoeira de impulso preto</v>
      </c>
      <c r="G443" s="611" t="s">
        <v>74</v>
      </c>
      <c r="H443" s="307" t="s">
        <v>228</v>
      </c>
      <c r="I443" s="321">
        <v>1.3360000000000001</v>
      </c>
      <c r="J443" s="321">
        <v>1.67</v>
      </c>
      <c r="K443" s="321">
        <v>1.67</v>
      </c>
      <c r="L443" s="321">
        <v>1.67</v>
      </c>
      <c r="M443" s="321">
        <v>1.67</v>
      </c>
      <c r="N443" s="321">
        <v>1.67</v>
      </c>
      <c r="O443" s="321">
        <v>1.67</v>
      </c>
      <c r="P443" s="321">
        <v>1.67</v>
      </c>
      <c r="Q443" s="321">
        <v>1.66</v>
      </c>
      <c r="R443" s="321">
        <v>1.66</v>
      </c>
      <c r="S443" s="321">
        <v>1.66</v>
      </c>
      <c r="T443" s="321">
        <v>1.66</v>
      </c>
      <c r="U443" s="321">
        <v>0.33200000000000002</v>
      </c>
      <c r="V443" s="308">
        <f t="shared" si="49"/>
        <v>19.998000000000001</v>
      </c>
      <c r="W443" s="308">
        <v>88.48</v>
      </c>
      <c r="X443" s="308">
        <f t="shared" si="50"/>
        <v>1769.4230400000001</v>
      </c>
      <c r="Y443" s="322" t="s">
        <v>74</v>
      </c>
      <c r="Z443" s="575"/>
      <c r="AA443" s="567"/>
    </row>
    <row r="444" spans="1:27" s="318" customFormat="1" ht="15" customHeight="1" outlineLevel="1">
      <c r="A444" s="282">
        <v>440</v>
      </c>
      <c r="B444" s="282" t="s">
        <v>1</v>
      </c>
      <c r="C444" s="312" t="s">
        <v>703</v>
      </c>
      <c r="D444" s="313" t="s">
        <v>704</v>
      </c>
      <c r="E444" s="314" t="s">
        <v>703</v>
      </c>
      <c r="F444" s="553" t="str">
        <f t="shared" si="48"/>
        <v>REALBotoeira de impulso preto</v>
      </c>
      <c r="G444" s="609">
        <f>Y444</f>
        <v>0</v>
      </c>
      <c r="H444" s="315" t="s">
        <v>228</v>
      </c>
      <c r="I444" s="323">
        <v>0</v>
      </c>
      <c r="J444" s="323">
        <v>0</v>
      </c>
      <c r="K444" s="323">
        <v>0</v>
      </c>
      <c r="L444" s="323">
        <v>0</v>
      </c>
      <c r="M444" s="323"/>
      <c r="N444" s="323"/>
      <c r="O444" s="323"/>
      <c r="P444" s="323"/>
      <c r="Q444" s="323"/>
      <c r="R444" s="323"/>
      <c r="S444" s="323"/>
      <c r="T444" s="323"/>
      <c r="U444" s="323"/>
      <c r="V444" s="316">
        <f t="shared" si="49"/>
        <v>0</v>
      </c>
      <c r="W444" s="316">
        <v>88.48</v>
      </c>
      <c r="X444" s="316">
        <f t="shared" si="50"/>
        <v>0</v>
      </c>
      <c r="Y444" s="322">
        <f>X444/X443</f>
        <v>0</v>
      </c>
      <c r="Z444" s="572"/>
      <c r="AA444" s="567"/>
    </row>
    <row r="445" spans="1:27" s="311" customFormat="1" ht="15" customHeight="1" outlineLevel="1">
      <c r="A445" s="273">
        <v>441</v>
      </c>
      <c r="B445" s="273" t="s">
        <v>0</v>
      </c>
      <c r="C445" s="305" t="s">
        <v>705</v>
      </c>
      <c r="D445" s="306" t="s">
        <v>706</v>
      </c>
      <c r="E445" s="307" t="s">
        <v>705</v>
      </c>
      <c r="F445" s="553" t="str">
        <f t="shared" si="48"/>
        <v>PREVBotoeira de impulso verde</v>
      </c>
      <c r="G445" s="611" t="s">
        <v>74</v>
      </c>
      <c r="H445" s="307" t="s">
        <v>228</v>
      </c>
      <c r="I445" s="321">
        <v>1.3360000000000001</v>
      </c>
      <c r="J445" s="321">
        <v>1.67</v>
      </c>
      <c r="K445" s="321">
        <v>1.67</v>
      </c>
      <c r="L445" s="321">
        <v>1.67</v>
      </c>
      <c r="M445" s="321">
        <v>1.67</v>
      </c>
      <c r="N445" s="321">
        <v>1.67</v>
      </c>
      <c r="O445" s="321">
        <v>1.67</v>
      </c>
      <c r="P445" s="321">
        <v>1.67</v>
      </c>
      <c r="Q445" s="321">
        <v>1.66</v>
      </c>
      <c r="R445" s="321">
        <v>1.66</v>
      </c>
      <c r="S445" s="321">
        <v>1.66</v>
      </c>
      <c r="T445" s="321">
        <v>1.66</v>
      </c>
      <c r="U445" s="321">
        <v>0.33200000000000002</v>
      </c>
      <c r="V445" s="308">
        <f t="shared" si="49"/>
        <v>19.998000000000001</v>
      </c>
      <c r="W445" s="308">
        <v>88.48</v>
      </c>
      <c r="X445" s="308">
        <f t="shared" si="50"/>
        <v>1769.4230400000001</v>
      </c>
      <c r="Y445" s="322" t="s">
        <v>74</v>
      </c>
      <c r="Z445" s="575"/>
      <c r="AA445" s="567"/>
    </row>
    <row r="446" spans="1:27" s="318" customFormat="1" ht="15" customHeight="1" outlineLevel="1">
      <c r="A446" s="282">
        <v>442</v>
      </c>
      <c r="B446" s="282" t="s">
        <v>1</v>
      </c>
      <c r="C446" s="312" t="s">
        <v>705</v>
      </c>
      <c r="D446" s="313" t="s">
        <v>706</v>
      </c>
      <c r="E446" s="314" t="s">
        <v>705</v>
      </c>
      <c r="F446" s="553" t="str">
        <f t="shared" si="48"/>
        <v>REALBotoeira de impulso verde</v>
      </c>
      <c r="G446" s="609">
        <f>Y446</f>
        <v>0</v>
      </c>
      <c r="H446" s="315" t="s">
        <v>228</v>
      </c>
      <c r="I446" s="323">
        <v>0</v>
      </c>
      <c r="J446" s="323">
        <v>0</v>
      </c>
      <c r="K446" s="323">
        <v>0</v>
      </c>
      <c r="L446" s="323">
        <v>0</v>
      </c>
      <c r="M446" s="323"/>
      <c r="N446" s="323"/>
      <c r="O446" s="323"/>
      <c r="P446" s="323"/>
      <c r="Q446" s="323"/>
      <c r="R446" s="323"/>
      <c r="S446" s="323"/>
      <c r="T446" s="323"/>
      <c r="U446" s="323"/>
      <c r="V446" s="316">
        <f t="shared" si="49"/>
        <v>0</v>
      </c>
      <c r="W446" s="316">
        <v>88.48</v>
      </c>
      <c r="X446" s="316">
        <f t="shared" si="50"/>
        <v>0</v>
      </c>
      <c r="Y446" s="322">
        <f>X446/X445</f>
        <v>0</v>
      </c>
      <c r="Z446" s="572"/>
      <c r="AA446" s="567"/>
    </row>
    <row r="447" spans="1:27" s="311" customFormat="1" ht="15" customHeight="1" outlineLevel="1">
      <c r="A447" s="273">
        <v>443</v>
      </c>
      <c r="B447" s="273" t="s">
        <v>0</v>
      </c>
      <c r="C447" s="305" t="s">
        <v>707</v>
      </c>
      <c r="D447" s="306" t="s">
        <v>708</v>
      </c>
      <c r="E447" s="307" t="s">
        <v>707</v>
      </c>
      <c r="F447" s="553" t="str">
        <f t="shared" si="48"/>
        <v>PREVBotoeira de impulso vermelho</v>
      </c>
      <c r="G447" s="611" t="s">
        <v>74</v>
      </c>
      <c r="H447" s="307" t="s">
        <v>228</v>
      </c>
      <c r="I447" s="321">
        <v>1.3360000000000001</v>
      </c>
      <c r="J447" s="321">
        <v>1.67</v>
      </c>
      <c r="K447" s="321">
        <v>1.67</v>
      </c>
      <c r="L447" s="321">
        <v>1.67</v>
      </c>
      <c r="M447" s="321">
        <v>1.67</v>
      </c>
      <c r="N447" s="321">
        <v>1.67</v>
      </c>
      <c r="O447" s="321">
        <v>1.67</v>
      </c>
      <c r="P447" s="321">
        <v>1.67</v>
      </c>
      <c r="Q447" s="321">
        <v>1.66</v>
      </c>
      <c r="R447" s="321">
        <v>1.66</v>
      </c>
      <c r="S447" s="321">
        <v>1.66</v>
      </c>
      <c r="T447" s="321">
        <v>1.66</v>
      </c>
      <c r="U447" s="321">
        <v>0.33200000000000002</v>
      </c>
      <c r="V447" s="308">
        <f t="shared" si="49"/>
        <v>19.998000000000001</v>
      </c>
      <c r="W447" s="308">
        <v>88.48</v>
      </c>
      <c r="X447" s="308">
        <f t="shared" si="50"/>
        <v>1769.4230400000001</v>
      </c>
      <c r="Y447" s="322" t="s">
        <v>74</v>
      </c>
      <c r="Z447" s="575"/>
      <c r="AA447" s="567"/>
    </row>
    <row r="448" spans="1:27" s="318" customFormat="1" ht="15" customHeight="1" outlineLevel="1">
      <c r="A448" s="282">
        <v>444</v>
      </c>
      <c r="B448" s="282" t="s">
        <v>1</v>
      </c>
      <c r="C448" s="312" t="s">
        <v>707</v>
      </c>
      <c r="D448" s="313" t="s">
        <v>708</v>
      </c>
      <c r="E448" s="314" t="s">
        <v>707</v>
      </c>
      <c r="F448" s="553" t="str">
        <f t="shared" si="48"/>
        <v>REALBotoeira de impulso vermelho</v>
      </c>
      <c r="G448" s="609">
        <f>Y448</f>
        <v>0</v>
      </c>
      <c r="H448" s="315" t="s">
        <v>228</v>
      </c>
      <c r="I448" s="323">
        <v>0</v>
      </c>
      <c r="J448" s="323">
        <v>0</v>
      </c>
      <c r="K448" s="323">
        <v>0</v>
      </c>
      <c r="L448" s="323">
        <v>0</v>
      </c>
      <c r="M448" s="323"/>
      <c r="N448" s="323"/>
      <c r="O448" s="323"/>
      <c r="P448" s="323"/>
      <c r="Q448" s="323"/>
      <c r="R448" s="323"/>
      <c r="S448" s="323"/>
      <c r="T448" s="323"/>
      <c r="U448" s="323"/>
      <c r="V448" s="316">
        <f t="shared" si="49"/>
        <v>0</v>
      </c>
      <c r="W448" s="316">
        <v>88.48</v>
      </c>
      <c r="X448" s="316">
        <f t="shared" si="50"/>
        <v>0</v>
      </c>
      <c r="Y448" s="322">
        <f>X448/X447</f>
        <v>0</v>
      </c>
      <c r="Z448" s="572"/>
      <c r="AA448" s="567"/>
    </row>
    <row r="449" spans="1:27" s="311" customFormat="1" ht="15" customHeight="1" outlineLevel="1">
      <c r="A449" s="273">
        <v>445</v>
      </c>
      <c r="B449" s="273" t="s">
        <v>0</v>
      </c>
      <c r="C449" s="305" t="s">
        <v>709</v>
      </c>
      <c r="D449" s="306" t="s">
        <v>710</v>
      </c>
      <c r="E449" s="307" t="s">
        <v>709</v>
      </c>
      <c r="F449" s="553" t="str">
        <f t="shared" si="48"/>
        <v>PREVBotoeira de impulso amarelo</v>
      </c>
      <c r="G449" s="611" t="s">
        <v>74</v>
      </c>
      <c r="H449" s="307" t="s">
        <v>228</v>
      </c>
      <c r="I449" s="321">
        <v>1.3360000000000001</v>
      </c>
      <c r="J449" s="321">
        <v>1.67</v>
      </c>
      <c r="K449" s="321">
        <v>1.67</v>
      </c>
      <c r="L449" s="321">
        <v>1.67</v>
      </c>
      <c r="M449" s="321">
        <v>1.67</v>
      </c>
      <c r="N449" s="321">
        <v>1.67</v>
      </c>
      <c r="O449" s="321">
        <v>1.67</v>
      </c>
      <c r="P449" s="321">
        <v>1.67</v>
      </c>
      <c r="Q449" s="321">
        <v>1.66</v>
      </c>
      <c r="R449" s="321">
        <v>1.66</v>
      </c>
      <c r="S449" s="321">
        <v>1.66</v>
      </c>
      <c r="T449" s="321">
        <v>1.66</v>
      </c>
      <c r="U449" s="321">
        <v>0.33200000000000002</v>
      </c>
      <c r="V449" s="308">
        <f t="shared" si="49"/>
        <v>19.998000000000001</v>
      </c>
      <c r="W449" s="308">
        <v>88.48</v>
      </c>
      <c r="X449" s="308">
        <f t="shared" si="50"/>
        <v>1769.4230400000001</v>
      </c>
      <c r="Y449" s="322" t="s">
        <v>74</v>
      </c>
      <c r="Z449" s="575"/>
      <c r="AA449" s="567"/>
    </row>
    <row r="450" spans="1:27" s="318" customFormat="1" ht="15" customHeight="1" outlineLevel="1">
      <c r="A450" s="282">
        <v>446</v>
      </c>
      <c r="B450" s="282" t="s">
        <v>1</v>
      </c>
      <c r="C450" s="312" t="s">
        <v>709</v>
      </c>
      <c r="D450" s="313" t="s">
        <v>710</v>
      </c>
      <c r="E450" s="314" t="s">
        <v>709</v>
      </c>
      <c r="F450" s="553" t="str">
        <f t="shared" si="48"/>
        <v>REALBotoeira de impulso amarelo</v>
      </c>
      <c r="G450" s="609">
        <f>Y450</f>
        <v>0</v>
      </c>
      <c r="H450" s="315" t="s">
        <v>228</v>
      </c>
      <c r="I450" s="323">
        <v>0</v>
      </c>
      <c r="J450" s="323">
        <v>0</v>
      </c>
      <c r="K450" s="323">
        <v>0</v>
      </c>
      <c r="L450" s="323">
        <v>0</v>
      </c>
      <c r="M450" s="323"/>
      <c r="N450" s="323"/>
      <c r="O450" s="323"/>
      <c r="P450" s="323"/>
      <c r="Q450" s="323"/>
      <c r="R450" s="323"/>
      <c r="S450" s="323"/>
      <c r="T450" s="323"/>
      <c r="U450" s="323"/>
      <c r="V450" s="316">
        <f t="shared" si="49"/>
        <v>0</v>
      </c>
      <c r="W450" s="316">
        <v>88.48</v>
      </c>
      <c r="X450" s="316">
        <f t="shared" si="50"/>
        <v>0</v>
      </c>
      <c r="Y450" s="322">
        <f>X450/X449</f>
        <v>0</v>
      </c>
      <c r="Z450" s="572"/>
      <c r="AA450" s="567"/>
    </row>
    <row r="451" spans="1:27" s="311" customFormat="1" ht="15" customHeight="1" outlineLevel="1">
      <c r="A451" s="273">
        <v>447</v>
      </c>
      <c r="B451" s="273" t="s">
        <v>0</v>
      </c>
      <c r="C451" s="305" t="s">
        <v>711</v>
      </c>
      <c r="D451" s="306" t="s">
        <v>712</v>
      </c>
      <c r="E451" s="307" t="s">
        <v>711</v>
      </c>
      <c r="F451" s="553" t="str">
        <f t="shared" si="48"/>
        <v>PREVCartucho para solda exotermica 115g</v>
      </c>
      <c r="G451" s="611" t="s">
        <v>74</v>
      </c>
      <c r="H451" s="307" t="s">
        <v>228</v>
      </c>
      <c r="I451" s="321">
        <v>0.8640000000000001</v>
      </c>
      <c r="J451" s="321">
        <v>1.08</v>
      </c>
      <c r="K451" s="321">
        <v>1.08</v>
      </c>
      <c r="L451" s="321">
        <v>1.08</v>
      </c>
      <c r="M451" s="321">
        <v>1.08</v>
      </c>
      <c r="N451" s="321">
        <v>1.08</v>
      </c>
      <c r="O451" s="321">
        <v>1.08</v>
      </c>
      <c r="P451" s="321">
        <v>1.08</v>
      </c>
      <c r="Q451" s="321">
        <v>1.0900000000000001</v>
      </c>
      <c r="R451" s="321">
        <v>1.0900000000000001</v>
      </c>
      <c r="S451" s="321">
        <v>1.0900000000000001</v>
      </c>
      <c r="T451" s="321">
        <v>1.0900000000000001</v>
      </c>
      <c r="U451" s="321">
        <v>0.21800000000000003</v>
      </c>
      <c r="V451" s="308">
        <f t="shared" si="49"/>
        <v>13.001999999999999</v>
      </c>
      <c r="W451" s="308">
        <v>32.92</v>
      </c>
      <c r="X451" s="308">
        <f t="shared" si="50"/>
        <v>428.02583999999996</v>
      </c>
      <c r="Y451" s="322" t="s">
        <v>74</v>
      </c>
      <c r="Z451" s="575"/>
      <c r="AA451" s="567"/>
    </row>
    <row r="452" spans="1:27" s="318" customFormat="1" ht="15" customHeight="1" outlineLevel="1">
      <c r="A452" s="282">
        <v>448</v>
      </c>
      <c r="B452" s="282" t="s">
        <v>1</v>
      </c>
      <c r="C452" s="312" t="s">
        <v>711</v>
      </c>
      <c r="D452" s="313" t="s">
        <v>712</v>
      </c>
      <c r="E452" s="314" t="s">
        <v>711</v>
      </c>
      <c r="F452" s="553" t="str">
        <f t="shared" si="48"/>
        <v>REALCartucho para solda exotermica 115g</v>
      </c>
      <c r="G452" s="609">
        <f>Y452</f>
        <v>0</v>
      </c>
      <c r="H452" s="315" t="s">
        <v>228</v>
      </c>
      <c r="I452" s="323">
        <v>0</v>
      </c>
      <c r="J452" s="323">
        <v>0</v>
      </c>
      <c r="K452" s="323">
        <v>0</v>
      </c>
      <c r="L452" s="323">
        <v>0</v>
      </c>
      <c r="M452" s="323"/>
      <c r="N452" s="323"/>
      <c r="O452" s="323"/>
      <c r="P452" s="323"/>
      <c r="Q452" s="323"/>
      <c r="R452" s="323"/>
      <c r="S452" s="323"/>
      <c r="T452" s="323"/>
      <c r="U452" s="323"/>
      <c r="V452" s="316">
        <f t="shared" si="49"/>
        <v>0</v>
      </c>
      <c r="W452" s="316">
        <v>32.92</v>
      </c>
      <c r="X452" s="316">
        <f t="shared" si="50"/>
        <v>0</v>
      </c>
      <c r="Y452" s="322">
        <f>X452/X451</f>
        <v>0</v>
      </c>
      <c r="Z452" s="572"/>
      <c r="AA452" s="567"/>
    </row>
    <row r="453" spans="1:27" s="311" customFormat="1" ht="15" customHeight="1" outlineLevel="1">
      <c r="A453" s="273">
        <v>449</v>
      </c>
      <c r="B453" s="273" t="s">
        <v>0</v>
      </c>
      <c r="C453" s="305" t="s">
        <v>713</v>
      </c>
      <c r="D453" s="306" t="s">
        <v>714</v>
      </c>
      <c r="E453" s="307" t="s">
        <v>713</v>
      </c>
      <c r="F453" s="553" t="str">
        <f t="shared" si="48"/>
        <v>PREVCartucho para solda exotermica 90g</v>
      </c>
      <c r="G453" s="611" t="s">
        <v>74</v>
      </c>
      <c r="H453" s="307" t="s">
        <v>228</v>
      </c>
      <c r="I453" s="321">
        <v>0.8640000000000001</v>
      </c>
      <c r="J453" s="321">
        <v>1.08</v>
      </c>
      <c r="K453" s="321">
        <v>1.08</v>
      </c>
      <c r="L453" s="321">
        <v>1.08</v>
      </c>
      <c r="M453" s="321">
        <v>1.08</v>
      </c>
      <c r="N453" s="321">
        <v>1.08</v>
      </c>
      <c r="O453" s="321">
        <v>1.08</v>
      </c>
      <c r="P453" s="321">
        <v>1.08</v>
      </c>
      <c r="Q453" s="321">
        <v>1.0900000000000001</v>
      </c>
      <c r="R453" s="321">
        <v>1.0900000000000001</v>
      </c>
      <c r="S453" s="321">
        <v>1.0900000000000001</v>
      </c>
      <c r="T453" s="321">
        <v>1.0900000000000001</v>
      </c>
      <c r="U453" s="321">
        <v>0.21800000000000003</v>
      </c>
      <c r="V453" s="308">
        <f t="shared" si="49"/>
        <v>13.001999999999999</v>
      </c>
      <c r="W453" s="308">
        <v>32.92</v>
      </c>
      <c r="X453" s="308">
        <f t="shared" si="50"/>
        <v>428.02583999999996</v>
      </c>
      <c r="Y453" s="322" t="s">
        <v>74</v>
      </c>
      <c r="Z453" s="575"/>
      <c r="AA453" s="567"/>
    </row>
    <row r="454" spans="1:27" s="318" customFormat="1" ht="15" customHeight="1" outlineLevel="1">
      <c r="A454" s="282">
        <v>450</v>
      </c>
      <c r="B454" s="282" t="s">
        <v>1</v>
      </c>
      <c r="C454" s="312" t="s">
        <v>713</v>
      </c>
      <c r="D454" s="313" t="s">
        <v>714</v>
      </c>
      <c r="E454" s="314" t="s">
        <v>713</v>
      </c>
      <c r="F454" s="553" t="str">
        <f t="shared" si="48"/>
        <v>REALCartucho para solda exotermica 90g</v>
      </c>
      <c r="G454" s="609">
        <f>Y454</f>
        <v>0</v>
      </c>
      <c r="H454" s="315" t="s">
        <v>228</v>
      </c>
      <c r="I454" s="323">
        <v>0</v>
      </c>
      <c r="J454" s="323">
        <v>0</v>
      </c>
      <c r="K454" s="323">
        <v>0</v>
      </c>
      <c r="L454" s="323">
        <v>0</v>
      </c>
      <c r="M454" s="323"/>
      <c r="N454" s="323"/>
      <c r="O454" s="323"/>
      <c r="P454" s="323"/>
      <c r="Q454" s="323"/>
      <c r="R454" s="323"/>
      <c r="S454" s="323"/>
      <c r="T454" s="323"/>
      <c r="U454" s="323"/>
      <c r="V454" s="316">
        <f t="shared" si="49"/>
        <v>0</v>
      </c>
      <c r="W454" s="316">
        <v>32.92</v>
      </c>
      <c r="X454" s="316">
        <f t="shared" si="50"/>
        <v>0</v>
      </c>
      <c r="Y454" s="322">
        <f>X454/X453</f>
        <v>0</v>
      </c>
      <c r="Z454" s="572"/>
      <c r="AA454" s="567"/>
    </row>
    <row r="455" spans="1:27" s="311" customFormat="1" ht="15" customHeight="1" outlineLevel="1">
      <c r="A455" s="273">
        <v>451</v>
      </c>
      <c r="B455" s="273" t="s">
        <v>0</v>
      </c>
      <c r="C455" s="305" t="s">
        <v>715</v>
      </c>
      <c r="D455" s="306" t="s">
        <v>716</v>
      </c>
      <c r="E455" s="307" t="s">
        <v>715</v>
      </c>
      <c r="F455" s="553" t="str">
        <f t="shared" si="48"/>
        <v>PREVChave comutadora de 2 posições, 3 pólos, 3na, 20A, 48x48 mm</v>
      </c>
      <c r="G455" s="611" t="s">
        <v>74</v>
      </c>
      <c r="H455" s="307" t="s">
        <v>228</v>
      </c>
      <c r="I455" s="321">
        <v>0.46399999999999997</v>
      </c>
      <c r="J455" s="321">
        <v>0.57999999999999996</v>
      </c>
      <c r="K455" s="321">
        <v>0.57999999999999996</v>
      </c>
      <c r="L455" s="321">
        <v>0.57999999999999996</v>
      </c>
      <c r="M455" s="321">
        <v>0.57999999999999996</v>
      </c>
      <c r="N455" s="321">
        <v>0.57999999999999996</v>
      </c>
      <c r="O455" s="321">
        <v>0.57999999999999996</v>
      </c>
      <c r="P455" s="321">
        <v>0.57999999999999996</v>
      </c>
      <c r="Q455" s="321">
        <v>0.59</v>
      </c>
      <c r="R455" s="321">
        <v>0.59</v>
      </c>
      <c r="S455" s="321">
        <v>0.59</v>
      </c>
      <c r="T455" s="321">
        <v>0.59</v>
      </c>
      <c r="U455" s="321">
        <v>0.11799999999999999</v>
      </c>
      <c r="V455" s="308">
        <f t="shared" si="49"/>
        <v>7.0019999999999998</v>
      </c>
      <c r="W455" s="308">
        <v>206.6</v>
      </c>
      <c r="X455" s="308">
        <f t="shared" si="50"/>
        <v>1446.6132</v>
      </c>
      <c r="Y455" s="322" t="s">
        <v>74</v>
      </c>
      <c r="Z455" s="575"/>
      <c r="AA455" s="567"/>
    </row>
    <row r="456" spans="1:27" s="318" customFormat="1" ht="15" customHeight="1" outlineLevel="1">
      <c r="A456" s="282">
        <v>452</v>
      </c>
      <c r="B456" s="282" t="s">
        <v>1</v>
      </c>
      <c r="C456" s="312" t="s">
        <v>715</v>
      </c>
      <c r="D456" s="313" t="s">
        <v>716</v>
      </c>
      <c r="E456" s="314" t="s">
        <v>715</v>
      </c>
      <c r="F456" s="553" t="str">
        <f t="shared" si="48"/>
        <v>REALChave comutadora de 2 posições, 3 pólos, 3na, 20A, 48x48 mm</v>
      </c>
      <c r="G456" s="609">
        <f>Y456</f>
        <v>0</v>
      </c>
      <c r="H456" s="315" t="s">
        <v>228</v>
      </c>
      <c r="I456" s="323">
        <v>0</v>
      </c>
      <c r="J456" s="323">
        <v>0</v>
      </c>
      <c r="K456" s="323">
        <v>0</v>
      </c>
      <c r="L456" s="323">
        <v>0</v>
      </c>
      <c r="M456" s="323"/>
      <c r="N456" s="323"/>
      <c r="O456" s="323"/>
      <c r="P456" s="323"/>
      <c r="Q456" s="323"/>
      <c r="R456" s="323"/>
      <c r="S456" s="323"/>
      <c r="T456" s="323"/>
      <c r="U456" s="323"/>
      <c r="V456" s="316">
        <f t="shared" si="49"/>
        <v>0</v>
      </c>
      <c r="W456" s="316">
        <v>206.6</v>
      </c>
      <c r="X456" s="316">
        <f t="shared" si="50"/>
        <v>0</v>
      </c>
      <c r="Y456" s="322">
        <f>X456/X455</f>
        <v>0</v>
      </c>
      <c r="Z456" s="572"/>
      <c r="AA456" s="567"/>
    </row>
    <row r="457" spans="1:27" s="311" customFormat="1" ht="15" customHeight="1" outlineLevel="1">
      <c r="A457" s="273">
        <v>453</v>
      </c>
      <c r="B457" s="273" t="s">
        <v>0</v>
      </c>
      <c r="C457" s="305" t="s">
        <v>717</v>
      </c>
      <c r="D457" s="306" t="s">
        <v>718</v>
      </c>
      <c r="E457" s="307" t="s">
        <v>717</v>
      </c>
      <c r="F457" s="553" t="str">
        <f t="shared" si="48"/>
        <v>PREVChave de comando de disjuntor, 3 posições, 690 V, corrente nominal 20 A</v>
      </c>
      <c r="G457" s="611" t="s">
        <v>74</v>
      </c>
      <c r="H457" s="307" t="s">
        <v>228</v>
      </c>
      <c r="I457" s="321">
        <v>0.46399999999999997</v>
      </c>
      <c r="J457" s="321">
        <v>0.57999999999999996</v>
      </c>
      <c r="K457" s="321">
        <v>0.57999999999999996</v>
      </c>
      <c r="L457" s="321">
        <v>0.57999999999999996</v>
      </c>
      <c r="M457" s="321">
        <v>0.57999999999999996</v>
      </c>
      <c r="N457" s="321">
        <v>0.57999999999999996</v>
      </c>
      <c r="O457" s="321">
        <v>0.57999999999999996</v>
      </c>
      <c r="P457" s="321">
        <v>0.57999999999999996</v>
      </c>
      <c r="Q457" s="321">
        <v>0.59</v>
      </c>
      <c r="R457" s="321">
        <v>0.59</v>
      </c>
      <c r="S457" s="321">
        <v>0.59</v>
      </c>
      <c r="T457" s="321">
        <v>0.59</v>
      </c>
      <c r="U457" s="321">
        <v>0.11799999999999999</v>
      </c>
      <c r="V457" s="308">
        <f t="shared" si="49"/>
        <v>7.0019999999999998</v>
      </c>
      <c r="W457" s="308">
        <v>606.4</v>
      </c>
      <c r="X457" s="308">
        <f t="shared" si="50"/>
        <v>4246.0127999999995</v>
      </c>
      <c r="Y457" s="322" t="s">
        <v>74</v>
      </c>
      <c r="Z457" s="575"/>
      <c r="AA457" s="567"/>
    </row>
    <row r="458" spans="1:27" s="318" customFormat="1" ht="15" customHeight="1" outlineLevel="1">
      <c r="A458" s="282">
        <v>454</v>
      </c>
      <c r="B458" s="282" t="s">
        <v>1</v>
      </c>
      <c r="C458" s="312" t="s">
        <v>717</v>
      </c>
      <c r="D458" s="313" t="s">
        <v>718</v>
      </c>
      <c r="E458" s="314" t="s">
        <v>717</v>
      </c>
      <c r="F458" s="553" t="str">
        <f t="shared" si="48"/>
        <v>REALChave de comando de disjuntor, 3 posições, 690 V, corrente nominal 20 A</v>
      </c>
      <c r="G458" s="609">
        <f>Y458</f>
        <v>0</v>
      </c>
      <c r="H458" s="315" t="s">
        <v>228</v>
      </c>
      <c r="I458" s="323">
        <v>0</v>
      </c>
      <c r="J458" s="323">
        <v>0</v>
      </c>
      <c r="K458" s="323">
        <v>0</v>
      </c>
      <c r="L458" s="323">
        <v>0</v>
      </c>
      <c r="M458" s="323"/>
      <c r="N458" s="323"/>
      <c r="O458" s="323"/>
      <c r="P458" s="323"/>
      <c r="Q458" s="323"/>
      <c r="R458" s="323"/>
      <c r="S458" s="323"/>
      <c r="T458" s="323"/>
      <c r="U458" s="323"/>
      <c r="V458" s="316">
        <f t="shared" si="49"/>
        <v>0</v>
      </c>
      <c r="W458" s="316">
        <v>606.4</v>
      </c>
      <c r="X458" s="316">
        <f t="shared" si="50"/>
        <v>0</v>
      </c>
      <c r="Y458" s="322">
        <f>X458/X457</f>
        <v>0</v>
      </c>
      <c r="Z458" s="572"/>
      <c r="AA458" s="567"/>
    </row>
    <row r="459" spans="1:27" s="311" customFormat="1" ht="15" customHeight="1" outlineLevel="1">
      <c r="A459" s="273">
        <v>455</v>
      </c>
      <c r="B459" s="273" t="s">
        <v>0</v>
      </c>
      <c r="C459" s="305" t="s">
        <v>719</v>
      </c>
      <c r="D459" s="306" t="s">
        <v>720</v>
      </c>
      <c r="E459" s="307" t="s">
        <v>719</v>
      </c>
      <c r="F459" s="553" t="str">
        <f t="shared" si="48"/>
        <v>PREVChave seletora ca 10‐2pólos‐2pos.‐690V‐20 A</v>
      </c>
      <c r="G459" s="611" t="s">
        <v>74</v>
      </c>
      <c r="H459" s="307" t="s">
        <v>228</v>
      </c>
      <c r="I459" s="321">
        <v>0.46399999999999997</v>
      </c>
      <c r="J459" s="321">
        <v>0.57999999999999996</v>
      </c>
      <c r="K459" s="321">
        <v>0.57999999999999996</v>
      </c>
      <c r="L459" s="321">
        <v>0.57999999999999996</v>
      </c>
      <c r="M459" s="321">
        <v>0.57999999999999996</v>
      </c>
      <c r="N459" s="321">
        <v>0.57999999999999996</v>
      </c>
      <c r="O459" s="321">
        <v>0.57999999999999996</v>
      </c>
      <c r="P459" s="321">
        <v>0.57999999999999996</v>
      </c>
      <c r="Q459" s="321">
        <v>0.59</v>
      </c>
      <c r="R459" s="321">
        <v>0.59</v>
      </c>
      <c r="S459" s="321">
        <v>0.59</v>
      </c>
      <c r="T459" s="321">
        <v>0.59</v>
      </c>
      <c r="U459" s="321">
        <v>0.11799999999999999</v>
      </c>
      <c r="V459" s="308">
        <f t="shared" si="49"/>
        <v>7.0019999999999998</v>
      </c>
      <c r="W459" s="308">
        <v>65.86</v>
      </c>
      <c r="X459" s="308">
        <f t="shared" si="50"/>
        <v>461.15171999999995</v>
      </c>
      <c r="Y459" s="322" t="s">
        <v>74</v>
      </c>
      <c r="Z459" s="575"/>
      <c r="AA459" s="567"/>
    </row>
    <row r="460" spans="1:27" s="318" customFormat="1" ht="15" customHeight="1" outlineLevel="1">
      <c r="A460" s="282">
        <v>456</v>
      </c>
      <c r="B460" s="282" t="s">
        <v>1</v>
      </c>
      <c r="C460" s="312" t="s">
        <v>719</v>
      </c>
      <c r="D460" s="313" t="s">
        <v>720</v>
      </c>
      <c r="E460" s="314" t="s">
        <v>719</v>
      </c>
      <c r="F460" s="553" t="str">
        <f t="shared" si="48"/>
        <v>REALChave seletora ca 10‐2pólos‐2pos.‐690V‐20 A</v>
      </c>
      <c r="G460" s="609">
        <f>Y460</f>
        <v>0</v>
      </c>
      <c r="H460" s="315" t="s">
        <v>228</v>
      </c>
      <c r="I460" s="323">
        <v>0</v>
      </c>
      <c r="J460" s="323">
        <v>0</v>
      </c>
      <c r="K460" s="323">
        <v>0</v>
      </c>
      <c r="L460" s="323">
        <v>0</v>
      </c>
      <c r="M460" s="323"/>
      <c r="N460" s="323"/>
      <c r="O460" s="323"/>
      <c r="P460" s="323"/>
      <c r="Q460" s="323"/>
      <c r="R460" s="323"/>
      <c r="S460" s="323"/>
      <c r="T460" s="323"/>
      <c r="U460" s="323"/>
      <c r="V460" s="316">
        <f t="shared" si="49"/>
        <v>0</v>
      </c>
      <c r="W460" s="316">
        <v>65.86</v>
      </c>
      <c r="X460" s="316">
        <f t="shared" si="50"/>
        <v>0</v>
      </c>
      <c r="Y460" s="322">
        <f>X460/X459</f>
        <v>0</v>
      </c>
      <c r="Z460" s="572"/>
      <c r="AA460" s="567"/>
    </row>
    <row r="461" spans="1:27" s="311" customFormat="1" ht="15" customHeight="1" outlineLevel="1">
      <c r="A461" s="273">
        <v>457</v>
      </c>
      <c r="B461" s="273" t="s">
        <v>0</v>
      </c>
      <c r="C461" s="305" t="s">
        <v>721</v>
      </c>
      <c r="D461" s="306" t="s">
        <v>722</v>
      </c>
      <c r="E461" s="307" t="s">
        <v>721</v>
      </c>
      <c r="F461" s="553" t="str">
        <f t="shared" si="48"/>
        <v>PREVChave seletora, 2 posições, 6 contatos, 690 V, 20 A</v>
      </c>
      <c r="G461" s="611" t="s">
        <v>74</v>
      </c>
      <c r="H461" s="307" t="s">
        <v>228</v>
      </c>
      <c r="I461" s="321">
        <v>0.46399999999999997</v>
      </c>
      <c r="J461" s="321">
        <v>0.57999999999999996</v>
      </c>
      <c r="K461" s="321">
        <v>0.57999999999999996</v>
      </c>
      <c r="L461" s="321">
        <v>0.57999999999999996</v>
      </c>
      <c r="M461" s="321">
        <v>0.57999999999999996</v>
      </c>
      <c r="N461" s="321">
        <v>0.57999999999999996</v>
      </c>
      <c r="O461" s="321">
        <v>0.57999999999999996</v>
      </c>
      <c r="P461" s="321">
        <v>0.57999999999999996</v>
      </c>
      <c r="Q461" s="321">
        <v>0.59</v>
      </c>
      <c r="R461" s="321">
        <v>0.59</v>
      </c>
      <c r="S461" s="321">
        <v>0.59</v>
      </c>
      <c r="T461" s="321">
        <v>0.59</v>
      </c>
      <c r="U461" s="321">
        <v>0.11799999999999999</v>
      </c>
      <c r="V461" s="308">
        <f t="shared" si="49"/>
        <v>7.0019999999999998</v>
      </c>
      <c r="W461" s="308">
        <v>208.7</v>
      </c>
      <c r="X461" s="308">
        <f t="shared" si="50"/>
        <v>1461.3173999999999</v>
      </c>
      <c r="Y461" s="322" t="s">
        <v>74</v>
      </c>
      <c r="Z461" s="575"/>
      <c r="AA461" s="567"/>
    </row>
    <row r="462" spans="1:27" s="318" customFormat="1" ht="15" customHeight="1" outlineLevel="1">
      <c r="A462" s="282">
        <v>458</v>
      </c>
      <c r="B462" s="282" t="s">
        <v>1</v>
      </c>
      <c r="C462" s="312" t="s">
        <v>721</v>
      </c>
      <c r="D462" s="313" t="s">
        <v>722</v>
      </c>
      <c r="E462" s="314" t="s">
        <v>721</v>
      </c>
      <c r="F462" s="553" t="str">
        <f t="shared" si="48"/>
        <v>REALChave seletora, 2 posições, 6 contatos, 690 V, 20 A</v>
      </c>
      <c r="G462" s="609">
        <f>Y462</f>
        <v>0</v>
      </c>
      <c r="H462" s="315" t="s">
        <v>228</v>
      </c>
      <c r="I462" s="323">
        <v>0</v>
      </c>
      <c r="J462" s="323">
        <v>0</v>
      </c>
      <c r="K462" s="323">
        <v>0</v>
      </c>
      <c r="L462" s="323">
        <v>0</v>
      </c>
      <c r="M462" s="323"/>
      <c r="N462" s="323"/>
      <c r="O462" s="323"/>
      <c r="P462" s="323"/>
      <c r="Q462" s="323"/>
      <c r="R462" s="323"/>
      <c r="S462" s="323"/>
      <c r="T462" s="323"/>
      <c r="U462" s="323"/>
      <c r="V462" s="316">
        <f t="shared" si="49"/>
        <v>0</v>
      </c>
      <c r="W462" s="316">
        <v>208.7</v>
      </c>
      <c r="X462" s="316">
        <f t="shared" si="50"/>
        <v>0</v>
      </c>
      <c r="Y462" s="322">
        <f>X462/X461</f>
        <v>0</v>
      </c>
      <c r="Z462" s="572"/>
      <c r="AA462" s="567"/>
    </row>
    <row r="463" spans="1:27" s="311" customFormat="1" ht="15" customHeight="1" outlineLevel="1">
      <c r="A463" s="273">
        <v>459</v>
      </c>
      <c r="B463" s="273" t="s">
        <v>0</v>
      </c>
      <c r="C463" s="305" t="s">
        <v>723</v>
      </c>
      <c r="D463" s="306" t="s">
        <v>724</v>
      </c>
      <c r="E463" s="307" t="s">
        <v>723</v>
      </c>
      <c r="F463" s="553" t="str">
        <f t="shared" si="48"/>
        <v>PREVChave seletora, 690 V, com 2 posições, 6 contatos, corrente nominal 20 A</v>
      </c>
      <c r="G463" s="611" t="s">
        <v>74</v>
      </c>
      <c r="H463" s="307" t="s">
        <v>228</v>
      </c>
      <c r="I463" s="321">
        <v>0.46399999999999997</v>
      </c>
      <c r="J463" s="321">
        <v>0.57999999999999996</v>
      </c>
      <c r="K463" s="321">
        <v>0.57999999999999996</v>
      </c>
      <c r="L463" s="321">
        <v>0.57999999999999996</v>
      </c>
      <c r="M463" s="321">
        <v>0.57999999999999996</v>
      </c>
      <c r="N463" s="321">
        <v>0.57999999999999996</v>
      </c>
      <c r="O463" s="321">
        <v>0.57999999999999996</v>
      </c>
      <c r="P463" s="321">
        <v>0.57999999999999996</v>
      </c>
      <c r="Q463" s="321">
        <v>0.59</v>
      </c>
      <c r="R463" s="321">
        <v>0.59</v>
      </c>
      <c r="S463" s="321">
        <v>0.59</v>
      </c>
      <c r="T463" s="321">
        <v>0.59</v>
      </c>
      <c r="U463" s="321">
        <v>0.11799999999999999</v>
      </c>
      <c r="V463" s="308">
        <f t="shared" si="49"/>
        <v>7.0019999999999998</v>
      </c>
      <c r="W463" s="308">
        <v>208.7</v>
      </c>
      <c r="X463" s="308">
        <f t="shared" si="50"/>
        <v>1461.3173999999999</v>
      </c>
      <c r="Y463" s="322" t="s">
        <v>74</v>
      </c>
      <c r="Z463" s="575"/>
      <c r="AA463" s="567"/>
    </row>
    <row r="464" spans="1:27" s="318" customFormat="1" ht="15" customHeight="1" outlineLevel="1">
      <c r="A464" s="282">
        <v>460</v>
      </c>
      <c r="B464" s="282" t="s">
        <v>1</v>
      </c>
      <c r="C464" s="312" t="s">
        <v>723</v>
      </c>
      <c r="D464" s="313" t="s">
        <v>724</v>
      </c>
      <c r="E464" s="314" t="s">
        <v>723</v>
      </c>
      <c r="F464" s="553" t="str">
        <f t="shared" si="48"/>
        <v>REALChave seletora, 690 V, com 2 posições, 6 contatos, corrente nominal 20 A</v>
      </c>
      <c r="G464" s="609">
        <f>Y464</f>
        <v>0</v>
      </c>
      <c r="H464" s="315" t="s">
        <v>228</v>
      </c>
      <c r="I464" s="323">
        <v>0</v>
      </c>
      <c r="J464" s="323">
        <v>0</v>
      </c>
      <c r="K464" s="323">
        <v>0</v>
      </c>
      <c r="L464" s="323">
        <v>0</v>
      </c>
      <c r="M464" s="323"/>
      <c r="N464" s="323"/>
      <c r="O464" s="323"/>
      <c r="P464" s="323"/>
      <c r="Q464" s="323"/>
      <c r="R464" s="323"/>
      <c r="S464" s="323"/>
      <c r="T464" s="323"/>
      <c r="U464" s="323"/>
      <c r="V464" s="316">
        <f t="shared" si="49"/>
        <v>0</v>
      </c>
      <c r="W464" s="316">
        <v>208.7</v>
      </c>
      <c r="X464" s="316">
        <f t="shared" si="50"/>
        <v>0</v>
      </c>
      <c r="Y464" s="322">
        <f>X464/X463</f>
        <v>0</v>
      </c>
      <c r="Z464" s="572"/>
      <c r="AA464" s="567"/>
    </row>
    <row r="465" spans="1:27" s="311" customFormat="1" ht="15" customHeight="1" outlineLevel="1">
      <c r="A465" s="273">
        <v>461</v>
      </c>
      <c r="B465" s="273" t="s">
        <v>0</v>
      </c>
      <c r="C465" s="305" t="s">
        <v>725</v>
      </c>
      <c r="D465" s="306" t="s">
        <v>726</v>
      </c>
      <c r="E465" s="307" t="s">
        <v>725</v>
      </c>
      <c r="F465" s="553" t="str">
        <f t="shared" si="48"/>
        <v>PREVConector splitbolt para cabo de cobre nu #70mm²</v>
      </c>
      <c r="G465" s="611" t="s">
        <v>74</v>
      </c>
      <c r="H465" s="307" t="s">
        <v>228</v>
      </c>
      <c r="I465" s="321">
        <v>0.8640000000000001</v>
      </c>
      <c r="J465" s="321">
        <v>1.08</v>
      </c>
      <c r="K465" s="321">
        <v>1.08</v>
      </c>
      <c r="L465" s="321">
        <v>1.08</v>
      </c>
      <c r="M465" s="321">
        <v>1.08</v>
      </c>
      <c r="N465" s="321">
        <v>1.08</v>
      </c>
      <c r="O465" s="321">
        <v>1.08</v>
      </c>
      <c r="P465" s="321">
        <v>1.08</v>
      </c>
      <c r="Q465" s="321">
        <v>1.0900000000000001</v>
      </c>
      <c r="R465" s="321">
        <v>1.0900000000000001</v>
      </c>
      <c r="S465" s="321">
        <v>1.0900000000000001</v>
      </c>
      <c r="T465" s="321">
        <v>1.0900000000000001</v>
      </c>
      <c r="U465" s="321">
        <v>0.21800000000000003</v>
      </c>
      <c r="V465" s="308">
        <f t="shared" si="49"/>
        <v>13.001999999999999</v>
      </c>
      <c r="W465" s="308">
        <v>27.74</v>
      </c>
      <c r="X465" s="308">
        <f t="shared" si="50"/>
        <v>360.67547999999994</v>
      </c>
      <c r="Y465" s="322" t="s">
        <v>74</v>
      </c>
      <c r="Z465" s="575"/>
      <c r="AA465" s="567"/>
    </row>
    <row r="466" spans="1:27" s="318" customFormat="1" ht="15" customHeight="1" outlineLevel="1">
      <c r="A466" s="282">
        <v>462</v>
      </c>
      <c r="B466" s="282" t="s">
        <v>1</v>
      </c>
      <c r="C466" s="312" t="s">
        <v>725</v>
      </c>
      <c r="D466" s="313" t="s">
        <v>726</v>
      </c>
      <c r="E466" s="314" t="s">
        <v>725</v>
      </c>
      <c r="F466" s="553" t="str">
        <f t="shared" si="48"/>
        <v>REALConector splitbolt para cabo de cobre nu #70mm²</v>
      </c>
      <c r="G466" s="609">
        <f>Y466</f>
        <v>0</v>
      </c>
      <c r="H466" s="315" t="s">
        <v>228</v>
      </c>
      <c r="I466" s="323">
        <v>0</v>
      </c>
      <c r="J466" s="323">
        <v>0</v>
      </c>
      <c r="K466" s="323">
        <v>0</v>
      </c>
      <c r="L466" s="323">
        <v>0</v>
      </c>
      <c r="M466" s="323"/>
      <c r="N466" s="323"/>
      <c r="O466" s="323"/>
      <c r="P466" s="323"/>
      <c r="Q466" s="323"/>
      <c r="R466" s="323"/>
      <c r="S466" s="323"/>
      <c r="T466" s="323"/>
      <c r="U466" s="323"/>
      <c r="V466" s="316">
        <f t="shared" si="49"/>
        <v>0</v>
      </c>
      <c r="W466" s="316">
        <v>27.74</v>
      </c>
      <c r="X466" s="316">
        <f t="shared" si="50"/>
        <v>0</v>
      </c>
      <c r="Y466" s="322">
        <f>X466/X465</f>
        <v>0</v>
      </c>
      <c r="Z466" s="572"/>
      <c r="AA466" s="567"/>
    </row>
    <row r="467" spans="1:27" s="311" customFormat="1" ht="15" customHeight="1" outlineLevel="1">
      <c r="A467" s="273">
        <v>463</v>
      </c>
      <c r="B467" s="273" t="s">
        <v>0</v>
      </c>
      <c r="C467" s="305" t="s">
        <v>727</v>
      </c>
      <c r="D467" s="306" t="s">
        <v>728</v>
      </c>
      <c r="E467" s="307" t="s">
        <v>727</v>
      </c>
      <c r="F467" s="553" t="str">
        <f t="shared" si="48"/>
        <v>PREVConector terminal a compressão para cabos de cobre nu #35mm²</v>
      </c>
      <c r="G467" s="611" t="s">
        <v>74</v>
      </c>
      <c r="H467" s="307" t="s">
        <v>228</v>
      </c>
      <c r="I467" s="321">
        <v>1.8</v>
      </c>
      <c r="J467" s="321">
        <v>2.25</v>
      </c>
      <c r="K467" s="321">
        <v>2.25</v>
      </c>
      <c r="L467" s="321">
        <v>2.25</v>
      </c>
      <c r="M467" s="321">
        <v>2.25</v>
      </c>
      <c r="N467" s="321">
        <v>2.25</v>
      </c>
      <c r="O467" s="321">
        <v>2.25</v>
      </c>
      <c r="P467" s="321">
        <v>2.25</v>
      </c>
      <c r="Q467" s="321">
        <v>2.25</v>
      </c>
      <c r="R467" s="321">
        <v>2.25</v>
      </c>
      <c r="S467" s="321">
        <v>2.25</v>
      </c>
      <c r="T467" s="321">
        <v>2.25</v>
      </c>
      <c r="U467" s="321">
        <v>0.45</v>
      </c>
      <c r="V467" s="308">
        <f t="shared" si="49"/>
        <v>27</v>
      </c>
      <c r="W467" s="308">
        <v>9.0399999999999991</v>
      </c>
      <c r="X467" s="308">
        <f t="shared" si="50"/>
        <v>244.07999999999998</v>
      </c>
      <c r="Y467" s="322" t="s">
        <v>74</v>
      </c>
      <c r="Z467" s="575"/>
      <c r="AA467" s="567"/>
    </row>
    <row r="468" spans="1:27" s="318" customFormat="1" ht="15" customHeight="1" outlineLevel="1">
      <c r="A468" s="282">
        <v>464</v>
      </c>
      <c r="B468" s="282" t="s">
        <v>1</v>
      </c>
      <c r="C468" s="312" t="s">
        <v>727</v>
      </c>
      <c r="D468" s="313" t="s">
        <v>728</v>
      </c>
      <c r="E468" s="314" t="s">
        <v>727</v>
      </c>
      <c r="F468" s="553" t="str">
        <f t="shared" si="48"/>
        <v>REALConector terminal a compressão para cabos de cobre nu #35mm²</v>
      </c>
      <c r="G468" s="609">
        <f>Y468</f>
        <v>0</v>
      </c>
      <c r="H468" s="315" t="s">
        <v>228</v>
      </c>
      <c r="I468" s="323">
        <v>0</v>
      </c>
      <c r="J468" s="323">
        <v>0</v>
      </c>
      <c r="K468" s="323">
        <v>0</v>
      </c>
      <c r="L468" s="323">
        <v>0</v>
      </c>
      <c r="M468" s="323"/>
      <c r="N468" s="323"/>
      <c r="O468" s="323"/>
      <c r="P468" s="323"/>
      <c r="Q468" s="323"/>
      <c r="R468" s="323"/>
      <c r="S468" s="323"/>
      <c r="T468" s="323"/>
      <c r="U468" s="323"/>
      <c r="V468" s="316">
        <f t="shared" si="49"/>
        <v>0</v>
      </c>
      <c r="W468" s="316">
        <v>9.0399999999999991</v>
      </c>
      <c r="X468" s="316">
        <f t="shared" si="50"/>
        <v>0</v>
      </c>
      <c r="Y468" s="322">
        <f>X468/X467</f>
        <v>0</v>
      </c>
      <c r="Z468" s="572"/>
      <c r="AA468" s="567"/>
    </row>
    <row r="469" spans="1:27" s="311" customFormat="1" ht="15" customHeight="1" outlineLevel="1">
      <c r="A469" s="273">
        <v>465</v>
      </c>
      <c r="B469" s="273" t="s">
        <v>0</v>
      </c>
      <c r="C469" s="305" t="s">
        <v>729</v>
      </c>
      <c r="D469" s="306" t="s">
        <v>730</v>
      </c>
      <c r="E469" s="307" t="s">
        <v>729</v>
      </c>
      <c r="F469" s="553" t="str">
        <f t="shared" si="48"/>
        <v>PREVContator de força tretrapolar com 2na+2nf, 690 V, 30 A, tensão de alimentação de força e comando 125 Vcc.</v>
      </c>
      <c r="G469" s="611" t="s">
        <v>74</v>
      </c>
      <c r="H469" s="307" t="s">
        <v>228</v>
      </c>
      <c r="I469" s="321">
        <v>0.2</v>
      </c>
      <c r="J469" s="321">
        <v>0.25</v>
      </c>
      <c r="K469" s="321">
        <v>0.25</v>
      </c>
      <c r="L469" s="321">
        <v>0.25</v>
      </c>
      <c r="M469" s="321">
        <v>0.25</v>
      </c>
      <c r="N469" s="321">
        <v>0.25</v>
      </c>
      <c r="O469" s="321">
        <v>0.25</v>
      </c>
      <c r="P469" s="321">
        <v>0.25</v>
      </c>
      <c r="Q469" s="321">
        <v>0.25</v>
      </c>
      <c r="R469" s="321">
        <v>0.25</v>
      </c>
      <c r="S469" s="321">
        <v>0.25</v>
      </c>
      <c r="T469" s="321">
        <v>0.25</v>
      </c>
      <c r="U469" s="321">
        <v>0.05</v>
      </c>
      <c r="V469" s="308">
        <f t="shared" si="49"/>
        <v>3</v>
      </c>
      <c r="W469" s="308">
        <v>749.66</v>
      </c>
      <c r="X469" s="308">
        <f t="shared" si="50"/>
        <v>2248.98</v>
      </c>
      <c r="Y469" s="322" t="s">
        <v>74</v>
      </c>
      <c r="Z469" s="575"/>
      <c r="AA469" s="567"/>
    </row>
    <row r="470" spans="1:27" s="318" customFormat="1" ht="15" customHeight="1" outlineLevel="1">
      <c r="A470" s="282">
        <v>466</v>
      </c>
      <c r="B470" s="282" t="s">
        <v>1</v>
      </c>
      <c r="C470" s="312" t="s">
        <v>729</v>
      </c>
      <c r="D470" s="313" t="s">
        <v>730</v>
      </c>
      <c r="E470" s="314" t="s">
        <v>729</v>
      </c>
      <c r="F470" s="553" t="str">
        <f t="shared" si="48"/>
        <v>REALContator de força tretrapolar com 2na+2nf, 690 V, 30 A, tensão de alimentação de força e comando 125 Vcc.</v>
      </c>
      <c r="G470" s="609">
        <f>Y470</f>
        <v>0</v>
      </c>
      <c r="H470" s="315" t="s">
        <v>228</v>
      </c>
      <c r="I470" s="323">
        <v>0</v>
      </c>
      <c r="J470" s="323">
        <v>0</v>
      </c>
      <c r="K470" s="323">
        <v>0</v>
      </c>
      <c r="L470" s="323">
        <v>0</v>
      </c>
      <c r="M470" s="323"/>
      <c r="N470" s="323"/>
      <c r="O470" s="323"/>
      <c r="P470" s="323"/>
      <c r="Q470" s="323"/>
      <c r="R470" s="323"/>
      <c r="S470" s="323"/>
      <c r="T470" s="323"/>
      <c r="U470" s="323"/>
      <c r="V470" s="316">
        <f t="shared" si="49"/>
        <v>0</v>
      </c>
      <c r="W470" s="316">
        <v>749.66</v>
      </c>
      <c r="X470" s="316">
        <f t="shared" si="50"/>
        <v>0</v>
      </c>
      <c r="Y470" s="322">
        <f>X470/X469</f>
        <v>0</v>
      </c>
      <c r="Z470" s="572"/>
      <c r="AA470" s="567"/>
    </row>
    <row r="471" spans="1:27" s="311" customFormat="1" ht="15" customHeight="1" outlineLevel="1">
      <c r="A471" s="273">
        <v>467</v>
      </c>
      <c r="B471" s="273" t="s">
        <v>0</v>
      </c>
      <c r="C471" s="305" t="s">
        <v>731</v>
      </c>
      <c r="D471" s="306" t="s">
        <v>732</v>
      </c>
      <c r="E471" s="307" t="s">
        <v>731</v>
      </c>
      <c r="F471" s="553" t="str">
        <f t="shared" si="48"/>
        <v>PREVCabo cobre flexível classe 4 ou 5 isolação PVC/A M 1,68 e cobertura PVC‐ST1 antichama BWF‐B 0,6/1 kV 50mm²</v>
      </c>
      <c r="G471" s="611" t="s">
        <v>74</v>
      </c>
      <c r="H471" s="307" t="s">
        <v>733</v>
      </c>
      <c r="I471" s="321">
        <v>33.336000000000006</v>
      </c>
      <c r="J471" s="321">
        <v>41.67</v>
      </c>
      <c r="K471" s="321">
        <v>41.67</v>
      </c>
      <c r="L471" s="321">
        <v>41.67</v>
      </c>
      <c r="M471" s="321">
        <v>41.67</v>
      </c>
      <c r="N471" s="321">
        <v>41.67</v>
      </c>
      <c r="O471" s="321">
        <v>41.67</v>
      </c>
      <c r="P471" s="321">
        <v>41.67</v>
      </c>
      <c r="Q471" s="321">
        <v>41.66</v>
      </c>
      <c r="R471" s="321">
        <v>41.66</v>
      </c>
      <c r="S471" s="321">
        <v>41.66</v>
      </c>
      <c r="T471" s="321">
        <v>41.66</v>
      </c>
      <c r="U471" s="321">
        <v>8.331999999999999</v>
      </c>
      <c r="V471" s="308">
        <f t="shared" si="49"/>
        <v>499.99799999999993</v>
      </c>
      <c r="W471" s="308">
        <v>66.3</v>
      </c>
      <c r="X471" s="308">
        <f t="shared" si="50"/>
        <v>33149.867399999996</v>
      </c>
      <c r="Y471" s="322" t="s">
        <v>74</v>
      </c>
      <c r="Z471" s="575"/>
      <c r="AA471" s="567"/>
    </row>
    <row r="472" spans="1:27" s="318" customFormat="1" ht="15" customHeight="1" outlineLevel="1">
      <c r="A472" s="282">
        <v>468</v>
      </c>
      <c r="B472" s="282" t="s">
        <v>1</v>
      </c>
      <c r="C472" s="312" t="s">
        <v>731</v>
      </c>
      <c r="D472" s="313" t="s">
        <v>732</v>
      </c>
      <c r="E472" s="314" t="s">
        <v>731</v>
      </c>
      <c r="F472" s="553" t="str">
        <f t="shared" si="48"/>
        <v>REALCabo cobre flexível classe 4 ou 5 isolação PVC/A M 1,68 e cobertura PVC‐ST1 antichama BWF‐B 0,6/1 kV 50mm²</v>
      </c>
      <c r="G472" s="609">
        <f>Y472</f>
        <v>5.2000208000832007E-3</v>
      </c>
      <c r="H472" s="315" t="s">
        <v>733</v>
      </c>
      <c r="I472" s="323">
        <v>0</v>
      </c>
      <c r="J472" s="323">
        <v>0</v>
      </c>
      <c r="K472" s="323">
        <v>0</v>
      </c>
      <c r="L472" s="323">
        <v>2.6</v>
      </c>
      <c r="M472" s="323"/>
      <c r="N472" s="323"/>
      <c r="O472" s="323"/>
      <c r="P472" s="323"/>
      <c r="Q472" s="323"/>
      <c r="R472" s="323"/>
      <c r="S472" s="323"/>
      <c r="T472" s="323"/>
      <c r="U472" s="323"/>
      <c r="V472" s="316">
        <f t="shared" si="49"/>
        <v>2.6</v>
      </c>
      <c r="W472" s="316">
        <v>66.3</v>
      </c>
      <c r="X472" s="316">
        <f t="shared" si="50"/>
        <v>172.38</v>
      </c>
      <c r="Y472" s="322">
        <f>X472/X471</f>
        <v>5.2000208000832007E-3</v>
      </c>
      <c r="Z472" s="572"/>
      <c r="AA472" s="567"/>
    </row>
    <row r="473" spans="1:27" s="311" customFormat="1" ht="15" customHeight="1" outlineLevel="1">
      <c r="A473" s="273">
        <v>469</v>
      </c>
      <c r="B473" s="273" t="s">
        <v>0</v>
      </c>
      <c r="C473" s="305" t="s">
        <v>734</v>
      </c>
      <c r="D473" s="306" t="s">
        <v>735</v>
      </c>
      <c r="E473" s="307" t="s">
        <v>734</v>
      </c>
      <c r="F473" s="553" t="str">
        <f t="shared" si="48"/>
        <v>PREVCabo cobre flexível classe 4 ou 5 isolação PVC/A M 1,68 e cobertura PVC‐ST1 antichama BWF‐B 0,6/1 kV 70mm²</v>
      </c>
      <c r="G473" s="611" t="s">
        <v>74</v>
      </c>
      <c r="H473" s="307" t="s">
        <v>733</v>
      </c>
      <c r="I473" s="321">
        <v>33.336000000000006</v>
      </c>
      <c r="J473" s="321">
        <v>41.67</v>
      </c>
      <c r="K473" s="321">
        <v>41.67</v>
      </c>
      <c r="L473" s="321">
        <v>41.67</v>
      </c>
      <c r="M473" s="321">
        <v>41.67</v>
      </c>
      <c r="N473" s="321">
        <v>41.67</v>
      </c>
      <c r="O473" s="321">
        <v>41.67</v>
      </c>
      <c r="P473" s="321">
        <v>41.67</v>
      </c>
      <c r="Q473" s="321">
        <v>41.66</v>
      </c>
      <c r="R473" s="321">
        <v>41.66</v>
      </c>
      <c r="S473" s="321">
        <v>41.66</v>
      </c>
      <c r="T473" s="321">
        <v>41.66</v>
      </c>
      <c r="U473" s="321">
        <v>8.331999999999999</v>
      </c>
      <c r="V473" s="308">
        <f t="shared" si="49"/>
        <v>499.99799999999993</v>
      </c>
      <c r="W473" s="308">
        <v>91.84</v>
      </c>
      <c r="X473" s="308">
        <f t="shared" si="50"/>
        <v>45919.816319999998</v>
      </c>
      <c r="Y473" s="322" t="s">
        <v>74</v>
      </c>
      <c r="Z473" s="575"/>
      <c r="AA473" s="567"/>
    </row>
    <row r="474" spans="1:27" s="318" customFormat="1" ht="15" customHeight="1" outlineLevel="1">
      <c r="A474" s="282">
        <v>470</v>
      </c>
      <c r="B474" s="282" t="s">
        <v>1</v>
      </c>
      <c r="C474" s="312" t="s">
        <v>734</v>
      </c>
      <c r="D474" s="313" t="s">
        <v>735</v>
      </c>
      <c r="E474" s="314" t="s">
        <v>734</v>
      </c>
      <c r="F474" s="553" t="str">
        <f t="shared" si="48"/>
        <v>REALCabo cobre flexível classe 4 ou 5 isolação PVC/A M 1,68 e cobertura PVC‐ST1 antichama BWF‐B 0,6/1 kV 70mm²</v>
      </c>
      <c r="G474" s="609">
        <f>Y474</f>
        <v>0</v>
      </c>
      <c r="H474" s="315" t="s">
        <v>733</v>
      </c>
      <c r="I474" s="323">
        <v>0</v>
      </c>
      <c r="J474" s="323">
        <v>0</v>
      </c>
      <c r="K474" s="323">
        <v>0</v>
      </c>
      <c r="L474" s="323">
        <v>0</v>
      </c>
      <c r="M474" s="323"/>
      <c r="N474" s="323"/>
      <c r="O474" s="323"/>
      <c r="P474" s="323"/>
      <c r="Q474" s="323"/>
      <c r="R474" s="323"/>
      <c r="S474" s="323"/>
      <c r="T474" s="323"/>
      <c r="U474" s="323"/>
      <c r="V474" s="316">
        <f t="shared" si="49"/>
        <v>0</v>
      </c>
      <c r="W474" s="316">
        <v>91.84</v>
      </c>
      <c r="X474" s="316">
        <f t="shared" si="50"/>
        <v>0</v>
      </c>
      <c r="Y474" s="322">
        <f>X474/X473</f>
        <v>0</v>
      </c>
      <c r="Z474" s="572"/>
      <c r="AA474" s="567"/>
    </row>
    <row r="475" spans="1:27" s="311" customFormat="1" ht="15" customHeight="1" outlineLevel="1">
      <c r="A475" s="273">
        <v>471</v>
      </c>
      <c r="B475" s="273" t="s">
        <v>0</v>
      </c>
      <c r="C475" s="305" t="s">
        <v>736</v>
      </c>
      <c r="D475" s="306" t="s">
        <v>737</v>
      </c>
      <c r="E475" s="307" t="s">
        <v>736</v>
      </c>
      <c r="F475" s="553" t="str">
        <f t="shared" si="48"/>
        <v>PREVCabo cobre flexível classe 4 ou 5 isolação PVC/A M 1,68 e cobertura PVC‐ST1 antichama BWF‐B 0,6/1 kV 95mm²</v>
      </c>
      <c r="G475" s="611" t="s">
        <v>74</v>
      </c>
      <c r="H475" s="307" t="s">
        <v>733</v>
      </c>
      <c r="I475" s="321">
        <v>13.336000000000002</v>
      </c>
      <c r="J475" s="321">
        <v>16.670000000000002</v>
      </c>
      <c r="K475" s="321">
        <v>16.670000000000002</v>
      </c>
      <c r="L475" s="321">
        <v>16.670000000000002</v>
      </c>
      <c r="M475" s="321">
        <v>16.670000000000002</v>
      </c>
      <c r="N475" s="321">
        <v>16.670000000000002</v>
      </c>
      <c r="O475" s="321">
        <v>16.670000000000002</v>
      </c>
      <c r="P475" s="321">
        <v>16.670000000000002</v>
      </c>
      <c r="Q475" s="321">
        <v>16.66</v>
      </c>
      <c r="R475" s="321">
        <v>16.66</v>
      </c>
      <c r="S475" s="321">
        <v>16.66</v>
      </c>
      <c r="T475" s="321">
        <v>16.66</v>
      </c>
      <c r="U475" s="321">
        <v>3.3320000000000003</v>
      </c>
      <c r="V475" s="308">
        <f t="shared" si="49"/>
        <v>199.99799999999999</v>
      </c>
      <c r="W475" s="308">
        <v>122</v>
      </c>
      <c r="X475" s="308">
        <f t="shared" si="50"/>
        <v>24399.755999999998</v>
      </c>
      <c r="Y475" s="322" t="s">
        <v>74</v>
      </c>
      <c r="Z475" s="575"/>
      <c r="AA475" s="567"/>
    </row>
    <row r="476" spans="1:27" s="318" customFormat="1" ht="15" customHeight="1" outlineLevel="1">
      <c r="A476" s="282">
        <v>472</v>
      </c>
      <c r="B476" s="282" t="s">
        <v>1</v>
      </c>
      <c r="C476" s="312" t="s">
        <v>736</v>
      </c>
      <c r="D476" s="313" t="s">
        <v>737</v>
      </c>
      <c r="E476" s="314" t="s">
        <v>736</v>
      </c>
      <c r="F476" s="553" t="str">
        <f t="shared" si="48"/>
        <v>REALCabo cobre flexível classe 4 ou 5 isolação PVC/A M 1,68 e cobertura PVC‐ST1 antichama BWF‐B 0,6/1 kV 95mm²</v>
      </c>
      <c r="G476" s="609">
        <f>Y476</f>
        <v>0</v>
      </c>
      <c r="H476" s="315" t="s">
        <v>733</v>
      </c>
      <c r="I476" s="323">
        <v>0</v>
      </c>
      <c r="J476" s="323">
        <v>0</v>
      </c>
      <c r="K476" s="323">
        <v>0</v>
      </c>
      <c r="L476" s="323">
        <v>0</v>
      </c>
      <c r="M476" s="323"/>
      <c r="N476" s="323"/>
      <c r="O476" s="323"/>
      <c r="P476" s="323"/>
      <c r="Q476" s="323"/>
      <c r="R476" s="323"/>
      <c r="S476" s="323"/>
      <c r="T476" s="323"/>
      <c r="U476" s="323"/>
      <c r="V476" s="316">
        <f t="shared" si="49"/>
        <v>0</v>
      </c>
      <c r="W476" s="316">
        <v>122</v>
      </c>
      <c r="X476" s="316">
        <f t="shared" si="50"/>
        <v>0</v>
      </c>
      <c r="Y476" s="322">
        <f>X476/X475</f>
        <v>0</v>
      </c>
      <c r="Z476" s="572"/>
      <c r="AA476" s="567"/>
    </row>
    <row r="477" spans="1:27" s="311" customFormat="1" ht="15" customHeight="1" outlineLevel="1">
      <c r="A477" s="273">
        <v>473</v>
      </c>
      <c r="B477" s="273" t="s">
        <v>0</v>
      </c>
      <c r="C477" s="305" t="s">
        <v>738</v>
      </c>
      <c r="D477" s="306" t="s">
        <v>739</v>
      </c>
      <c r="E477" s="307" t="s">
        <v>738</v>
      </c>
      <c r="F477" s="553" t="str">
        <f t="shared" si="48"/>
        <v>PREVCabo cobre flexível classe 4 ou 5 isolação PVC/A M 1,68 e cobertura PVC‐ST1 antichama BWF‐B 0,6/1 kV 120mm²</v>
      </c>
      <c r="G477" s="611" t="s">
        <v>74</v>
      </c>
      <c r="H477" s="307" t="s">
        <v>733</v>
      </c>
      <c r="I477" s="321">
        <v>13.336000000000002</v>
      </c>
      <c r="J477" s="321">
        <v>16.670000000000002</v>
      </c>
      <c r="K477" s="321">
        <v>16.670000000000002</v>
      </c>
      <c r="L477" s="321">
        <v>16.670000000000002</v>
      </c>
      <c r="M477" s="321">
        <v>16.670000000000002</v>
      </c>
      <c r="N477" s="321">
        <v>16.670000000000002</v>
      </c>
      <c r="O477" s="321">
        <v>16.670000000000002</v>
      </c>
      <c r="P477" s="321">
        <v>16.670000000000002</v>
      </c>
      <c r="Q477" s="321">
        <v>16.66</v>
      </c>
      <c r="R477" s="321">
        <v>16.66</v>
      </c>
      <c r="S477" s="321">
        <v>16.66</v>
      </c>
      <c r="T477" s="321">
        <v>16.66</v>
      </c>
      <c r="U477" s="321">
        <v>3.3320000000000003</v>
      </c>
      <c r="V477" s="308">
        <f t="shared" si="49"/>
        <v>199.99799999999999</v>
      </c>
      <c r="W477" s="308">
        <v>158.79</v>
      </c>
      <c r="X477" s="308">
        <f t="shared" si="50"/>
        <v>31757.682419999997</v>
      </c>
      <c r="Y477" s="322" t="s">
        <v>74</v>
      </c>
      <c r="Z477" s="575"/>
      <c r="AA477" s="567"/>
    </row>
    <row r="478" spans="1:27" s="318" customFormat="1" ht="15" customHeight="1" outlineLevel="1">
      <c r="A478" s="282">
        <v>474</v>
      </c>
      <c r="B478" s="282" t="s">
        <v>1</v>
      </c>
      <c r="C478" s="312" t="s">
        <v>738</v>
      </c>
      <c r="D478" s="313" t="s">
        <v>739</v>
      </c>
      <c r="E478" s="314" t="s">
        <v>738</v>
      </c>
      <c r="F478" s="553" t="str">
        <f t="shared" si="48"/>
        <v>REALCabo cobre flexível classe 4 ou 5 isolação PVC/A M 1,68 e cobertura PVC‐ST1 antichama BWF‐B 0,6/1 kV 120mm²</v>
      </c>
      <c r="G478" s="609">
        <f>Y478</f>
        <v>0</v>
      </c>
      <c r="H478" s="315" t="s">
        <v>733</v>
      </c>
      <c r="I478" s="323">
        <v>0</v>
      </c>
      <c r="J478" s="323">
        <v>0</v>
      </c>
      <c r="K478" s="323">
        <v>0</v>
      </c>
      <c r="L478" s="323">
        <v>0</v>
      </c>
      <c r="M478" s="323"/>
      <c r="N478" s="323"/>
      <c r="O478" s="323"/>
      <c r="P478" s="323"/>
      <c r="Q478" s="323"/>
      <c r="R478" s="323"/>
      <c r="S478" s="323"/>
      <c r="T478" s="323"/>
      <c r="U478" s="323"/>
      <c r="V478" s="316">
        <f t="shared" si="49"/>
        <v>0</v>
      </c>
      <c r="W478" s="316">
        <v>158.79</v>
      </c>
      <c r="X478" s="316">
        <f t="shared" si="50"/>
        <v>0</v>
      </c>
      <c r="Y478" s="322">
        <f>X478/X477</f>
        <v>0</v>
      </c>
      <c r="Z478" s="572"/>
      <c r="AA478" s="567"/>
    </row>
    <row r="479" spans="1:27" s="311" customFormat="1" ht="15" customHeight="1" outlineLevel="1">
      <c r="A479" s="273">
        <v>475</v>
      </c>
      <c r="B479" s="273" t="s">
        <v>0</v>
      </c>
      <c r="C479" s="305" t="s">
        <v>740</v>
      </c>
      <c r="D479" s="306" t="s">
        <v>741</v>
      </c>
      <c r="E479" s="307" t="s">
        <v>740</v>
      </c>
      <c r="F479" s="553" t="str">
        <f t="shared" si="48"/>
        <v>PREVCabo de cobre nu, eletrolítico, têmpera meio duro, #35mm² (m)</v>
      </c>
      <c r="G479" s="611" t="s">
        <v>74</v>
      </c>
      <c r="H479" s="307" t="s">
        <v>733</v>
      </c>
      <c r="I479" s="321">
        <v>33.336000000000006</v>
      </c>
      <c r="J479" s="321">
        <v>41.67</v>
      </c>
      <c r="K479" s="321">
        <v>41.67</v>
      </c>
      <c r="L479" s="321">
        <v>41.67</v>
      </c>
      <c r="M479" s="321">
        <v>41.67</v>
      </c>
      <c r="N479" s="321">
        <v>41.67</v>
      </c>
      <c r="O479" s="321">
        <v>41.67</v>
      </c>
      <c r="P479" s="321">
        <v>41.67</v>
      </c>
      <c r="Q479" s="321">
        <v>41.66</v>
      </c>
      <c r="R479" s="321">
        <v>41.66</v>
      </c>
      <c r="S479" s="321">
        <v>41.66</v>
      </c>
      <c r="T479" s="321">
        <v>41.66</v>
      </c>
      <c r="U479" s="321">
        <v>8.331999999999999</v>
      </c>
      <c r="V479" s="308">
        <f t="shared" si="49"/>
        <v>499.99799999999993</v>
      </c>
      <c r="W479" s="308">
        <v>52.1</v>
      </c>
      <c r="X479" s="308">
        <f t="shared" si="50"/>
        <v>26049.895799999998</v>
      </c>
      <c r="Y479" s="322" t="s">
        <v>74</v>
      </c>
      <c r="Z479" s="575"/>
      <c r="AA479" s="567"/>
    </row>
    <row r="480" spans="1:27" s="318" customFormat="1" ht="15" customHeight="1" outlineLevel="1">
      <c r="A480" s="282">
        <v>476</v>
      </c>
      <c r="B480" s="282" t="s">
        <v>1</v>
      </c>
      <c r="C480" s="312" t="s">
        <v>740</v>
      </c>
      <c r="D480" s="313" t="s">
        <v>741</v>
      </c>
      <c r="E480" s="314" t="s">
        <v>740</v>
      </c>
      <c r="F480" s="553" t="str">
        <f t="shared" si="48"/>
        <v>REALCabo de cobre nu, eletrolítico, têmpera meio duro, #35mm² (m)</v>
      </c>
      <c r="G480" s="609">
        <f>Y480</f>
        <v>0</v>
      </c>
      <c r="H480" s="315" t="s">
        <v>733</v>
      </c>
      <c r="I480" s="323">
        <v>0</v>
      </c>
      <c r="J480" s="323">
        <v>0</v>
      </c>
      <c r="K480" s="323">
        <v>0</v>
      </c>
      <c r="L480" s="323">
        <v>0</v>
      </c>
      <c r="M480" s="323"/>
      <c r="N480" s="323"/>
      <c r="O480" s="323"/>
      <c r="P480" s="323"/>
      <c r="Q480" s="323"/>
      <c r="R480" s="323"/>
      <c r="S480" s="323"/>
      <c r="T480" s="323"/>
      <c r="U480" s="323"/>
      <c r="V480" s="316">
        <f t="shared" si="49"/>
        <v>0</v>
      </c>
      <c r="W480" s="316">
        <v>52.1</v>
      </c>
      <c r="X480" s="316">
        <f t="shared" si="50"/>
        <v>0</v>
      </c>
      <c r="Y480" s="322">
        <f>X480/X479</f>
        <v>0</v>
      </c>
      <c r="Z480" s="572"/>
      <c r="AA480" s="567"/>
    </row>
    <row r="481" spans="1:27" s="311" customFormat="1" ht="15" customHeight="1" outlineLevel="1">
      <c r="A481" s="273">
        <v>477</v>
      </c>
      <c r="B481" s="273" t="s">
        <v>0</v>
      </c>
      <c r="C481" s="305" t="s">
        <v>742</v>
      </c>
      <c r="D481" s="306" t="s">
        <v>743</v>
      </c>
      <c r="E481" s="307" t="s">
        <v>742</v>
      </c>
      <c r="F481" s="553" t="str">
        <f t="shared" si="48"/>
        <v>PREVCabo de cobre nu, eletrolítico, têmpera meio duro, #50mm² (m)</v>
      </c>
      <c r="G481" s="611" t="s">
        <v>74</v>
      </c>
      <c r="H481" s="307" t="s">
        <v>733</v>
      </c>
      <c r="I481" s="321">
        <v>33.336000000000006</v>
      </c>
      <c r="J481" s="321">
        <v>41.67</v>
      </c>
      <c r="K481" s="321">
        <v>41.67</v>
      </c>
      <c r="L481" s="321">
        <v>41.67</v>
      </c>
      <c r="M481" s="321">
        <v>41.67</v>
      </c>
      <c r="N481" s="321">
        <v>41.67</v>
      </c>
      <c r="O481" s="321">
        <v>41.67</v>
      </c>
      <c r="P481" s="321">
        <v>41.67</v>
      </c>
      <c r="Q481" s="321">
        <v>41.66</v>
      </c>
      <c r="R481" s="321">
        <v>41.66</v>
      </c>
      <c r="S481" s="321">
        <v>41.66</v>
      </c>
      <c r="T481" s="321">
        <v>41.66</v>
      </c>
      <c r="U481" s="321">
        <v>8.331999999999999</v>
      </c>
      <c r="V481" s="308">
        <f t="shared" si="49"/>
        <v>499.99799999999993</v>
      </c>
      <c r="W481" s="308">
        <v>72.569999999999993</v>
      </c>
      <c r="X481" s="308">
        <f t="shared" si="50"/>
        <v>36284.854859999992</v>
      </c>
      <c r="Y481" s="322" t="s">
        <v>74</v>
      </c>
      <c r="Z481" s="575"/>
      <c r="AA481" s="567"/>
    </row>
    <row r="482" spans="1:27" s="318" customFormat="1" ht="15" customHeight="1" outlineLevel="1">
      <c r="A482" s="282">
        <v>478</v>
      </c>
      <c r="B482" s="282" t="s">
        <v>1</v>
      </c>
      <c r="C482" s="312" t="s">
        <v>742</v>
      </c>
      <c r="D482" s="313" t="s">
        <v>743</v>
      </c>
      <c r="E482" s="314" t="s">
        <v>742</v>
      </c>
      <c r="F482" s="553" t="str">
        <f t="shared" si="48"/>
        <v>REALCabo de cobre nu, eletrolítico, têmpera meio duro, #50mm² (m)</v>
      </c>
      <c r="G482" s="609">
        <f>Y482</f>
        <v>0</v>
      </c>
      <c r="H482" s="315" t="s">
        <v>733</v>
      </c>
      <c r="I482" s="323">
        <v>0</v>
      </c>
      <c r="J482" s="323">
        <v>0</v>
      </c>
      <c r="K482" s="323">
        <v>0</v>
      </c>
      <c r="L482" s="323">
        <v>0</v>
      </c>
      <c r="M482" s="323"/>
      <c r="N482" s="323"/>
      <c r="O482" s="323"/>
      <c r="P482" s="323"/>
      <c r="Q482" s="323"/>
      <c r="R482" s="323"/>
      <c r="S482" s="323"/>
      <c r="T482" s="323"/>
      <c r="U482" s="323"/>
      <c r="V482" s="316">
        <f t="shared" si="49"/>
        <v>0</v>
      </c>
      <c r="W482" s="316">
        <v>72.569999999999993</v>
      </c>
      <c r="X482" s="316">
        <f t="shared" si="50"/>
        <v>0</v>
      </c>
      <c r="Y482" s="322">
        <f>X482/X481</f>
        <v>0</v>
      </c>
      <c r="Z482" s="572"/>
      <c r="AA482" s="567"/>
    </row>
    <row r="483" spans="1:27" s="311" customFormat="1" ht="15" customHeight="1" outlineLevel="1">
      <c r="A483" s="273">
        <v>479</v>
      </c>
      <c r="B483" s="273" t="s">
        <v>0</v>
      </c>
      <c r="C483" s="305" t="s">
        <v>744</v>
      </c>
      <c r="D483" s="306" t="s">
        <v>745</v>
      </c>
      <c r="E483" s="307" t="s">
        <v>744</v>
      </c>
      <c r="F483" s="553" t="str">
        <f t="shared" si="48"/>
        <v>PREVCabo de cobre nu, eletrolítico, têmpera meio duro, #70mm² (m)</v>
      </c>
      <c r="G483" s="611" t="s">
        <v>74</v>
      </c>
      <c r="H483" s="307" t="s">
        <v>733</v>
      </c>
      <c r="I483" s="321">
        <v>33.336000000000006</v>
      </c>
      <c r="J483" s="321">
        <v>41.67</v>
      </c>
      <c r="K483" s="321">
        <v>41.67</v>
      </c>
      <c r="L483" s="321">
        <v>41.67</v>
      </c>
      <c r="M483" s="321">
        <v>41.67</v>
      </c>
      <c r="N483" s="321">
        <v>41.67</v>
      </c>
      <c r="O483" s="321">
        <v>41.67</v>
      </c>
      <c r="P483" s="321">
        <v>41.67</v>
      </c>
      <c r="Q483" s="321">
        <v>41.66</v>
      </c>
      <c r="R483" s="321">
        <v>41.66</v>
      </c>
      <c r="S483" s="321">
        <v>41.66</v>
      </c>
      <c r="T483" s="321">
        <v>41.66</v>
      </c>
      <c r="U483" s="321">
        <v>8.331999999999999</v>
      </c>
      <c r="V483" s="308">
        <f t="shared" si="49"/>
        <v>499.99799999999993</v>
      </c>
      <c r="W483" s="308">
        <v>102.22</v>
      </c>
      <c r="X483" s="308">
        <f t="shared" si="50"/>
        <v>51109.795559999991</v>
      </c>
      <c r="Y483" s="322" t="s">
        <v>74</v>
      </c>
      <c r="Z483" s="575"/>
      <c r="AA483" s="567"/>
    </row>
    <row r="484" spans="1:27" s="318" customFormat="1" ht="15" customHeight="1" outlineLevel="1">
      <c r="A484" s="282">
        <v>480</v>
      </c>
      <c r="B484" s="282" t="s">
        <v>1</v>
      </c>
      <c r="C484" s="312" t="s">
        <v>744</v>
      </c>
      <c r="D484" s="313" t="s">
        <v>745</v>
      </c>
      <c r="E484" s="314" t="s">
        <v>744</v>
      </c>
      <c r="F484" s="553" t="str">
        <f t="shared" si="48"/>
        <v>REALCabo de cobre nu, eletrolítico, têmpera meio duro, #70mm² (m)</v>
      </c>
      <c r="G484" s="609">
        <f>Y484</f>
        <v>0</v>
      </c>
      <c r="H484" s="315" t="s">
        <v>733</v>
      </c>
      <c r="I484" s="323">
        <v>0</v>
      </c>
      <c r="J484" s="323">
        <v>0</v>
      </c>
      <c r="K484" s="323">
        <v>0</v>
      </c>
      <c r="L484" s="323">
        <v>0</v>
      </c>
      <c r="M484" s="323"/>
      <c r="N484" s="323"/>
      <c r="O484" s="323"/>
      <c r="P484" s="323"/>
      <c r="Q484" s="323"/>
      <c r="R484" s="323"/>
      <c r="S484" s="323"/>
      <c r="T484" s="323"/>
      <c r="U484" s="323"/>
      <c r="V484" s="316">
        <f t="shared" si="49"/>
        <v>0</v>
      </c>
      <c r="W484" s="316">
        <v>102.22</v>
      </c>
      <c r="X484" s="316">
        <f t="shared" si="50"/>
        <v>0</v>
      </c>
      <c r="Y484" s="322">
        <f>X484/X483</f>
        <v>0</v>
      </c>
      <c r="Z484" s="572"/>
      <c r="AA484" s="567"/>
    </row>
    <row r="485" spans="1:27" s="311" customFormat="1" ht="15" customHeight="1" outlineLevel="1">
      <c r="A485" s="273">
        <v>481</v>
      </c>
      <c r="B485" s="273" t="s">
        <v>0</v>
      </c>
      <c r="C485" s="305" t="s">
        <v>746</v>
      </c>
      <c r="D485" s="306" t="s">
        <v>747</v>
      </c>
      <c r="E485" s="307" t="s">
        <v>746</v>
      </c>
      <c r="F485" s="553" t="str">
        <f t="shared" si="48"/>
        <v>PREVContator tripolar, 690 V, corrente nominal 26 A, 220 Vca, contatos auxiliares 2na+2n</v>
      </c>
      <c r="G485" s="611" t="s">
        <v>74</v>
      </c>
      <c r="H485" s="307" t="s">
        <v>228</v>
      </c>
      <c r="I485" s="321">
        <v>0.2</v>
      </c>
      <c r="J485" s="321">
        <v>0.25</v>
      </c>
      <c r="K485" s="321">
        <v>0.25</v>
      </c>
      <c r="L485" s="321">
        <v>0.25</v>
      </c>
      <c r="M485" s="321">
        <v>0.25</v>
      </c>
      <c r="N485" s="321">
        <v>0.25</v>
      </c>
      <c r="O485" s="321">
        <v>0.25</v>
      </c>
      <c r="P485" s="321">
        <v>0.25</v>
      </c>
      <c r="Q485" s="321">
        <v>0.25</v>
      </c>
      <c r="R485" s="321">
        <v>0.25</v>
      </c>
      <c r="S485" s="321">
        <v>0.25</v>
      </c>
      <c r="T485" s="321">
        <v>0.25</v>
      </c>
      <c r="U485" s="321">
        <v>0.05</v>
      </c>
      <c r="V485" s="308">
        <f t="shared" si="49"/>
        <v>3</v>
      </c>
      <c r="W485" s="308">
        <v>352.69</v>
      </c>
      <c r="X485" s="308">
        <f t="shared" si="50"/>
        <v>1058.07</v>
      </c>
      <c r="Y485" s="322" t="s">
        <v>74</v>
      </c>
      <c r="Z485" s="575"/>
      <c r="AA485" s="567"/>
    </row>
    <row r="486" spans="1:27" s="318" customFormat="1" ht="15" customHeight="1" outlineLevel="1">
      <c r="A486" s="282">
        <v>482</v>
      </c>
      <c r="B486" s="282" t="s">
        <v>1</v>
      </c>
      <c r="C486" s="312" t="s">
        <v>746</v>
      </c>
      <c r="D486" s="313" t="s">
        <v>747</v>
      </c>
      <c r="E486" s="314" t="s">
        <v>746</v>
      </c>
      <c r="F486" s="553" t="str">
        <f t="shared" si="48"/>
        <v>REALContator tripolar, 690 V, corrente nominal 26 A, 220 Vca, contatos auxiliares 2na+2n</v>
      </c>
      <c r="G486" s="609">
        <f>Y486</f>
        <v>0</v>
      </c>
      <c r="H486" s="315" t="s">
        <v>228</v>
      </c>
      <c r="I486" s="323">
        <v>0</v>
      </c>
      <c r="J486" s="323">
        <v>0</v>
      </c>
      <c r="K486" s="323">
        <v>0</v>
      </c>
      <c r="L486" s="323">
        <v>0</v>
      </c>
      <c r="M486" s="323"/>
      <c r="N486" s="323"/>
      <c r="O486" s="323"/>
      <c r="P486" s="323"/>
      <c r="Q486" s="323"/>
      <c r="R486" s="323"/>
      <c r="S486" s="323"/>
      <c r="T486" s="323"/>
      <c r="U486" s="323"/>
      <c r="V486" s="316">
        <f t="shared" si="49"/>
        <v>0</v>
      </c>
      <c r="W486" s="316">
        <v>352.69</v>
      </c>
      <c r="X486" s="316">
        <f t="shared" si="50"/>
        <v>0</v>
      </c>
      <c r="Y486" s="322">
        <f>X486/X485</f>
        <v>0</v>
      </c>
      <c r="Z486" s="572"/>
      <c r="AA486" s="567"/>
    </row>
    <row r="487" spans="1:27" s="311" customFormat="1" ht="15" customHeight="1" outlineLevel="1">
      <c r="A487" s="273">
        <v>483</v>
      </c>
      <c r="B487" s="273" t="s">
        <v>0</v>
      </c>
      <c r="C487" s="305" t="s">
        <v>748</v>
      </c>
      <c r="D487" s="306" t="s">
        <v>749</v>
      </c>
      <c r="E487" s="307" t="s">
        <v>748</v>
      </c>
      <c r="F487" s="553" t="str">
        <f t="shared" si="48"/>
        <v>PREVContator auxiliar 250 Vcc vax 110 Vcc 3na‐+2nf</v>
      </c>
      <c r="G487" s="611" t="s">
        <v>74</v>
      </c>
      <c r="H487" s="307" t="s">
        <v>228</v>
      </c>
      <c r="I487" s="321">
        <v>0.2</v>
      </c>
      <c r="J487" s="321">
        <v>0.25</v>
      </c>
      <c r="K487" s="321">
        <v>0.25</v>
      </c>
      <c r="L487" s="321">
        <v>0.25</v>
      </c>
      <c r="M487" s="321">
        <v>0.25</v>
      </c>
      <c r="N487" s="321">
        <v>0.25</v>
      </c>
      <c r="O487" s="321">
        <v>0.25</v>
      </c>
      <c r="P487" s="321">
        <v>0.25</v>
      </c>
      <c r="Q487" s="321">
        <v>0.25</v>
      </c>
      <c r="R487" s="321">
        <v>0.25</v>
      </c>
      <c r="S487" s="321">
        <v>0.25</v>
      </c>
      <c r="T487" s="321">
        <v>0.25</v>
      </c>
      <c r="U487" s="321">
        <v>0.05</v>
      </c>
      <c r="V487" s="308">
        <f t="shared" si="49"/>
        <v>3</v>
      </c>
      <c r="W487" s="308">
        <v>319.10000000000002</v>
      </c>
      <c r="X487" s="308">
        <f t="shared" si="50"/>
        <v>957.30000000000007</v>
      </c>
      <c r="Y487" s="322" t="s">
        <v>74</v>
      </c>
      <c r="Z487" s="575"/>
      <c r="AA487" s="567"/>
    </row>
    <row r="488" spans="1:27" s="318" customFormat="1" ht="15" customHeight="1" outlineLevel="1">
      <c r="A488" s="282">
        <v>484</v>
      </c>
      <c r="B488" s="282" t="s">
        <v>1</v>
      </c>
      <c r="C488" s="312" t="s">
        <v>748</v>
      </c>
      <c r="D488" s="313" t="s">
        <v>749</v>
      </c>
      <c r="E488" s="314" t="s">
        <v>748</v>
      </c>
      <c r="F488" s="553" t="str">
        <f t="shared" si="48"/>
        <v>REALContator auxiliar 250 Vcc vax 110 Vcc 3na‐+2nf</v>
      </c>
      <c r="G488" s="609">
        <f>Y488</f>
        <v>0</v>
      </c>
      <c r="H488" s="315" t="s">
        <v>228</v>
      </c>
      <c r="I488" s="323">
        <v>0</v>
      </c>
      <c r="J488" s="323">
        <v>0</v>
      </c>
      <c r="K488" s="323">
        <v>0</v>
      </c>
      <c r="L488" s="323">
        <v>0</v>
      </c>
      <c r="M488" s="323"/>
      <c r="N488" s="323"/>
      <c r="O488" s="323"/>
      <c r="P488" s="323"/>
      <c r="Q488" s="323"/>
      <c r="R488" s="323"/>
      <c r="S488" s="323"/>
      <c r="T488" s="323"/>
      <c r="U488" s="323"/>
      <c r="V488" s="316">
        <f t="shared" si="49"/>
        <v>0</v>
      </c>
      <c r="W488" s="316">
        <v>319.10000000000002</v>
      </c>
      <c r="X488" s="316">
        <f t="shared" si="50"/>
        <v>0</v>
      </c>
      <c r="Y488" s="322">
        <f>X488/X487</f>
        <v>0</v>
      </c>
      <c r="Z488" s="572"/>
      <c r="AA488" s="567"/>
    </row>
    <row r="489" spans="1:27" s="311" customFormat="1" ht="15" customHeight="1" outlineLevel="1">
      <c r="A489" s="273">
        <v>485</v>
      </c>
      <c r="B489" s="273" t="s">
        <v>0</v>
      </c>
      <c r="C489" s="305" t="s">
        <v>750</v>
      </c>
      <c r="D489" s="306" t="s">
        <v>751</v>
      </c>
      <c r="E489" s="307" t="s">
        <v>750</v>
      </c>
      <c r="F489" s="553" t="str">
        <f t="shared" si="48"/>
        <v>PREVContator auxiliar, 2na+2nf, cwcba0.22, bobina 125 Vcc</v>
      </c>
      <c r="G489" s="611" t="s">
        <v>74</v>
      </c>
      <c r="H489" s="307" t="s">
        <v>228</v>
      </c>
      <c r="I489" s="321">
        <v>0.2</v>
      </c>
      <c r="J489" s="321">
        <v>0.25</v>
      </c>
      <c r="K489" s="321">
        <v>0.25</v>
      </c>
      <c r="L489" s="321">
        <v>0.25</v>
      </c>
      <c r="M489" s="321">
        <v>0.25</v>
      </c>
      <c r="N489" s="321">
        <v>0.25</v>
      </c>
      <c r="O489" s="321">
        <v>0.25</v>
      </c>
      <c r="P489" s="321">
        <v>0.25</v>
      </c>
      <c r="Q489" s="321">
        <v>0.25</v>
      </c>
      <c r="R489" s="321">
        <v>0.25</v>
      </c>
      <c r="S489" s="321">
        <v>0.25</v>
      </c>
      <c r="T489" s="321">
        <v>0.25</v>
      </c>
      <c r="U489" s="321">
        <v>0.05</v>
      </c>
      <c r="V489" s="308">
        <f t="shared" si="49"/>
        <v>3</v>
      </c>
      <c r="W489" s="308">
        <v>248.58</v>
      </c>
      <c r="X489" s="308">
        <f t="shared" si="50"/>
        <v>745.74</v>
      </c>
      <c r="Y489" s="322" t="s">
        <v>74</v>
      </c>
      <c r="Z489" s="575"/>
      <c r="AA489" s="567"/>
    </row>
    <row r="490" spans="1:27" s="318" customFormat="1" ht="15" customHeight="1" outlineLevel="1">
      <c r="A490" s="282">
        <v>486</v>
      </c>
      <c r="B490" s="282" t="s">
        <v>1</v>
      </c>
      <c r="C490" s="312" t="s">
        <v>750</v>
      </c>
      <c r="D490" s="313" t="s">
        <v>751</v>
      </c>
      <c r="E490" s="314" t="s">
        <v>750</v>
      </c>
      <c r="F490" s="553" t="str">
        <f t="shared" si="48"/>
        <v>REALContator auxiliar, 2na+2nf, cwcba0.22, bobina 125 Vcc</v>
      </c>
      <c r="G490" s="609">
        <f>Y490</f>
        <v>0</v>
      </c>
      <c r="H490" s="315" t="s">
        <v>228</v>
      </c>
      <c r="I490" s="323">
        <v>0</v>
      </c>
      <c r="J490" s="323">
        <v>0</v>
      </c>
      <c r="K490" s="323">
        <v>0</v>
      </c>
      <c r="L490" s="323">
        <v>0</v>
      </c>
      <c r="M490" s="323"/>
      <c r="N490" s="323"/>
      <c r="O490" s="323"/>
      <c r="P490" s="323"/>
      <c r="Q490" s="323"/>
      <c r="R490" s="323"/>
      <c r="S490" s="323"/>
      <c r="T490" s="323"/>
      <c r="U490" s="323"/>
      <c r="V490" s="316">
        <f t="shared" si="49"/>
        <v>0</v>
      </c>
      <c r="W490" s="316">
        <v>248.58</v>
      </c>
      <c r="X490" s="316">
        <f t="shared" si="50"/>
        <v>0</v>
      </c>
      <c r="Y490" s="322">
        <f>X490/X489</f>
        <v>0</v>
      </c>
      <c r="Z490" s="572"/>
      <c r="AA490" s="567"/>
    </row>
    <row r="491" spans="1:27" s="311" customFormat="1" ht="15" customHeight="1" outlineLevel="1">
      <c r="A491" s="273">
        <v>487</v>
      </c>
      <c r="B491" s="273" t="s">
        <v>0</v>
      </c>
      <c r="C491" s="305" t="s">
        <v>752</v>
      </c>
      <c r="D491" s="306" t="s">
        <v>753</v>
      </c>
      <c r="E491" s="307" t="s">
        <v>752</v>
      </c>
      <c r="F491" s="553" t="str">
        <f t="shared" si="48"/>
        <v>PREVContator auxiliar,3na+1nf, cwcba0.31, bobina 125 Vcc</v>
      </c>
      <c r="G491" s="611" t="s">
        <v>74</v>
      </c>
      <c r="H491" s="307" t="s">
        <v>228</v>
      </c>
      <c r="I491" s="321">
        <v>0.2</v>
      </c>
      <c r="J491" s="321">
        <v>0.25</v>
      </c>
      <c r="K491" s="321">
        <v>0.25</v>
      </c>
      <c r="L491" s="321">
        <v>0.25</v>
      </c>
      <c r="M491" s="321">
        <v>0.25</v>
      </c>
      <c r="N491" s="321">
        <v>0.25</v>
      </c>
      <c r="O491" s="321">
        <v>0.25</v>
      </c>
      <c r="P491" s="321">
        <v>0.25</v>
      </c>
      <c r="Q491" s="321">
        <v>0.25</v>
      </c>
      <c r="R491" s="321">
        <v>0.25</v>
      </c>
      <c r="S491" s="321">
        <v>0.25</v>
      </c>
      <c r="T491" s="321">
        <v>0.25</v>
      </c>
      <c r="U491" s="321">
        <v>0.05</v>
      </c>
      <c r="V491" s="308">
        <f t="shared" si="49"/>
        <v>3</v>
      </c>
      <c r="W491" s="308">
        <v>248.58</v>
      </c>
      <c r="X491" s="308">
        <f t="shared" si="50"/>
        <v>745.74</v>
      </c>
      <c r="Y491" s="322" t="s">
        <v>74</v>
      </c>
      <c r="Z491" s="575"/>
      <c r="AA491" s="567"/>
    </row>
    <row r="492" spans="1:27" s="318" customFormat="1" ht="15" customHeight="1" outlineLevel="1">
      <c r="A492" s="282">
        <v>488</v>
      </c>
      <c r="B492" s="282" t="s">
        <v>1</v>
      </c>
      <c r="C492" s="312" t="s">
        <v>752</v>
      </c>
      <c r="D492" s="313" t="s">
        <v>753</v>
      </c>
      <c r="E492" s="314" t="s">
        <v>752</v>
      </c>
      <c r="F492" s="553" t="str">
        <f t="shared" si="48"/>
        <v>REALContator auxiliar,3na+1nf, cwcba0.31, bobina 125 Vcc</v>
      </c>
      <c r="G492" s="609">
        <f>Y492</f>
        <v>0</v>
      </c>
      <c r="H492" s="315" t="s">
        <v>228</v>
      </c>
      <c r="I492" s="323">
        <v>0</v>
      </c>
      <c r="J492" s="323">
        <v>0</v>
      </c>
      <c r="K492" s="323">
        <v>0</v>
      </c>
      <c r="L492" s="323">
        <v>0</v>
      </c>
      <c r="M492" s="323"/>
      <c r="N492" s="323"/>
      <c r="O492" s="323"/>
      <c r="P492" s="323"/>
      <c r="Q492" s="323"/>
      <c r="R492" s="323"/>
      <c r="S492" s="323"/>
      <c r="T492" s="323"/>
      <c r="U492" s="323"/>
      <c r="V492" s="316">
        <f t="shared" si="49"/>
        <v>0</v>
      </c>
      <c r="W492" s="316">
        <v>248.58</v>
      </c>
      <c r="X492" s="316">
        <f t="shared" si="50"/>
        <v>0</v>
      </c>
      <c r="Y492" s="322">
        <f>X492/X491</f>
        <v>0</v>
      </c>
      <c r="Z492" s="572"/>
      <c r="AA492" s="567"/>
    </row>
    <row r="493" spans="1:27" s="311" customFormat="1" ht="15" customHeight="1" outlineLevel="1">
      <c r="A493" s="273">
        <v>489</v>
      </c>
      <c r="B493" s="273" t="s">
        <v>0</v>
      </c>
      <c r="C493" s="305" t="s">
        <v>754</v>
      </c>
      <c r="D493" s="306" t="s">
        <v>753</v>
      </c>
      <c r="E493" s="307" t="s">
        <v>754</v>
      </c>
      <c r="F493" s="553" t="str">
        <f t="shared" si="48"/>
        <v>PREVContator auxiliar,3na+1nf, cwcba0.31, bobina 125 Vcc</v>
      </c>
      <c r="G493" s="611" t="s">
        <v>74</v>
      </c>
      <c r="H493" s="307" t="s">
        <v>228</v>
      </c>
      <c r="I493" s="321">
        <v>0.2</v>
      </c>
      <c r="J493" s="321">
        <v>0.25</v>
      </c>
      <c r="K493" s="321">
        <v>0.25</v>
      </c>
      <c r="L493" s="321">
        <v>0.25</v>
      </c>
      <c r="M493" s="321">
        <v>0.25</v>
      </c>
      <c r="N493" s="321">
        <v>0.25</v>
      </c>
      <c r="O493" s="321">
        <v>0.25</v>
      </c>
      <c r="P493" s="321">
        <v>0.25</v>
      </c>
      <c r="Q493" s="321">
        <v>0.25</v>
      </c>
      <c r="R493" s="321">
        <v>0.25</v>
      </c>
      <c r="S493" s="321">
        <v>0.25</v>
      </c>
      <c r="T493" s="321">
        <v>0.25</v>
      </c>
      <c r="U493" s="321">
        <v>0.05</v>
      </c>
      <c r="V493" s="308">
        <f t="shared" si="49"/>
        <v>3</v>
      </c>
      <c r="W493" s="308">
        <v>248.58</v>
      </c>
      <c r="X493" s="308">
        <f t="shared" si="50"/>
        <v>745.74</v>
      </c>
      <c r="Y493" s="322" t="s">
        <v>74</v>
      </c>
      <c r="Z493" s="575"/>
      <c r="AA493" s="567"/>
    </row>
    <row r="494" spans="1:27" s="318" customFormat="1" ht="15" customHeight="1" outlineLevel="1">
      <c r="A494" s="282">
        <v>490</v>
      </c>
      <c r="B494" s="282" t="s">
        <v>1</v>
      </c>
      <c r="C494" s="312" t="s">
        <v>754</v>
      </c>
      <c r="D494" s="313" t="s">
        <v>753</v>
      </c>
      <c r="E494" s="314" t="s">
        <v>754</v>
      </c>
      <c r="F494" s="553" t="str">
        <f t="shared" si="48"/>
        <v>REALContator auxiliar,3na+1nf, cwcba0.31, bobina 125 Vcc</v>
      </c>
      <c r="G494" s="609">
        <f>Y494</f>
        <v>0</v>
      </c>
      <c r="H494" s="315" t="s">
        <v>228</v>
      </c>
      <c r="I494" s="323">
        <v>0</v>
      </c>
      <c r="J494" s="323">
        <v>0</v>
      </c>
      <c r="K494" s="323">
        <v>0</v>
      </c>
      <c r="L494" s="323">
        <v>0</v>
      </c>
      <c r="M494" s="323"/>
      <c r="N494" s="323"/>
      <c r="O494" s="323"/>
      <c r="P494" s="323"/>
      <c r="Q494" s="323"/>
      <c r="R494" s="323"/>
      <c r="S494" s="323"/>
      <c r="T494" s="323"/>
      <c r="U494" s="323"/>
      <c r="V494" s="316">
        <f t="shared" si="49"/>
        <v>0</v>
      </c>
      <c r="W494" s="316">
        <v>248.58</v>
      </c>
      <c r="X494" s="316">
        <f t="shared" si="50"/>
        <v>0</v>
      </c>
      <c r="Y494" s="322">
        <f>X494/X493</f>
        <v>0</v>
      </c>
      <c r="Z494" s="572"/>
      <c r="AA494" s="567"/>
    </row>
    <row r="495" spans="1:27" s="311" customFormat="1" ht="15" customHeight="1" outlineLevel="1">
      <c r="A495" s="273">
        <v>491</v>
      </c>
      <c r="B495" s="273" t="s">
        <v>0</v>
      </c>
      <c r="C495" s="305" t="s">
        <v>755</v>
      </c>
      <c r="D495" s="306" t="s">
        <v>756</v>
      </c>
      <c r="E495" s="307" t="s">
        <v>755</v>
      </c>
      <c r="F495" s="553" t="str">
        <f t="shared" si="48"/>
        <v>PREVContator de força lc1 d12‐3p+na+nf‐125 Vcc</v>
      </c>
      <c r="G495" s="611" t="s">
        <v>74</v>
      </c>
      <c r="H495" s="307" t="s">
        <v>228</v>
      </c>
      <c r="I495" s="321">
        <v>0.2</v>
      </c>
      <c r="J495" s="321">
        <v>0.25</v>
      </c>
      <c r="K495" s="321">
        <v>0.25</v>
      </c>
      <c r="L495" s="321">
        <v>0.25</v>
      </c>
      <c r="M495" s="321">
        <v>0.25</v>
      </c>
      <c r="N495" s="321">
        <v>0.25</v>
      </c>
      <c r="O495" s="321">
        <v>0.25</v>
      </c>
      <c r="P495" s="321">
        <v>0.25</v>
      </c>
      <c r="Q495" s="321">
        <v>0.25</v>
      </c>
      <c r="R495" s="321">
        <v>0.25</v>
      </c>
      <c r="S495" s="321">
        <v>0.25</v>
      </c>
      <c r="T495" s="321">
        <v>0.25</v>
      </c>
      <c r="U495" s="321">
        <v>0.05</v>
      </c>
      <c r="V495" s="308">
        <f t="shared" si="49"/>
        <v>3</v>
      </c>
      <c r="W495" s="308">
        <v>103.65</v>
      </c>
      <c r="X495" s="308">
        <f t="shared" si="50"/>
        <v>310.95000000000005</v>
      </c>
      <c r="Y495" s="322" t="s">
        <v>74</v>
      </c>
      <c r="Z495" s="575"/>
      <c r="AA495" s="567"/>
    </row>
    <row r="496" spans="1:27" s="318" customFormat="1" ht="15" customHeight="1" outlineLevel="1">
      <c r="A496" s="282">
        <v>492</v>
      </c>
      <c r="B496" s="282" t="s">
        <v>1</v>
      </c>
      <c r="C496" s="312" t="s">
        <v>755</v>
      </c>
      <c r="D496" s="313" t="s">
        <v>756</v>
      </c>
      <c r="E496" s="314" t="s">
        <v>755</v>
      </c>
      <c r="F496" s="553" t="str">
        <f t="shared" si="48"/>
        <v>REALContator de força lc1 d12‐3p+na+nf‐125 Vcc</v>
      </c>
      <c r="G496" s="609">
        <f>Y496</f>
        <v>0</v>
      </c>
      <c r="H496" s="315" t="s">
        <v>228</v>
      </c>
      <c r="I496" s="323">
        <v>0</v>
      </c>
      <c r="J496" s="323">
        <v>0</v>
      </c>
      <c r="K496" s="323">
        <v>0</v>
      </c>
      <c r="L496" s="323">
        <v>0</v>
      </c>
      <c r="M496" s="323"/>
      <c r="N496" s="323"/>
      <c r="O496" s="323"/>
      <c r="P496" s="323"/>
      <c r="Q496" s="323"/>
      <c r="R496" s="323"/>
      <c r="S496" s="323"/>
      <c r="T496" s="323"/>
      <c r="U496" s="323"/>
      <c r="V496" s="316">
        <f t="shared" si="49"/>
        <v>0</v>
      </c>
      <c r="W496" s="316">
        <v>103.65</v>
      </c>
      <c r="X496" s="316">
        <f t="shared" si="50"/>
        <v>0</v>
      </c>
      <c r="Y496" s="322">
        <f>X496/X495</f>
        <v>0</v>
      </c>
      <c r="Z496" s="572"/>
      <c r="AA496" s="567"/>
    </row>
    <row r="497" spans="1:27" s="311" customFormat="1" ht="15" customHeight="1" outlineLevel="1">
      <c r="A497" s="273">
        <v>493</v>
      </c>
      <c r="B497" s="273" t="s">
        <v>0</v>
      </c>
      <c r="C497" s="305" t="s">
        <v>757</v>
      </c>
      <c r="D497" s="306" t="s">
        <v>758</v>
      </c>
      <c r="E497" s="307" t="s">
        <v>757</v>
      </c>
      <c r="F497" s="553" t="str">
        <f t="shared" si="48"/>
        <v>PREVContator de força,125 Vcc, 250 A, 2no, 2nc, 3 pólos</v>
      </c>
      <c r="G497" s="611" t="s">
        <v>74</v>
      </c>
      <c r="H497" s="307" t="s">
        <v>228</v>
      </c>
      <c r="I497" s="321">
        <v>0.2</v>
      </c>
      <c r="J497" s="321">
        <v>0.25</v>
      </c>
      <c r="K497" s="321">
        <v>0.25</v>
      </c>
      <c r="L497" s="321">
        <v>0.25</v>
      </c>
      <c r="M497" s="321">
        <v>0.25</v>
      </c>
      <c r="N497" s="321">
        <v>0.25</v>
      </c>
      <c r="O497" s="321">
        <v>0.25</v>
      </c>
      <c r="P497" s="321">
        <v>0.25</v>
      </c>
      <c r="Q497" s="321">
        <v>0.25</v>
      </c>
      <c r="R497" s="321">
        <v>0.25</v>
      </c>
      <c r="S497" s="321">
        <v>0.25</v>
      </c>
      <c r="T497" s="321">
        <v>0.25</v>
      </c>
      <c r="U497" s="321">
        <v>0.05</v>
      </c>
      <c r="V497" s="308">
        <f t="shared" si="49"/>
        <v>3</v>
      </c>
      <c r="W497" s="308">
        <v>4938.67</v>
      </c>
      <c r="X497" s="308">
        <f t="shared" si="50"/>
        <v>14816.01</v>
      </c>
      <c r="Y497" s="322" t="s">
        <v>74</v>
      </c>
      <c r="Z497" s="575"/>
      <c r="AA497" s="567"/>
    </row>
    <row r="498" spans="1:27" s="318" customFormat="1" ht="15" customHeight="1" outlineLevel="1">
      <c r="A498" s="282">
        <v>494</v>
      </c>
      <c r="B498" s="282" t="s">
        <v>1</v>
      </c>
      <c r="C498" s="312" t="s">
        <v>757</v>
      </c>
      <c r="D498" s="313" t="s">
        <v>758</v>
      </c>
      <c r="E498" s="314" t="s">
        <v>757</v>
      </c>
      <c r="F498" s="553" t="str">
        <f t="shared" si="48"/>
        <v>REALContator de força,125 Vcc, 250 A, 2no, 2nc, 3 pólos</v>
      </c>
      <c r="G498" s="609">
        <f>Y498</f>
        <v>0</v>
      </c>
      <c r="H498" s="315" t="s">
        <v>228</v>
      </c>
      <c r="I498" s="323">
        <v>0</v>
      </c>
      <c r="J498" s="323">
        <v>0</v>
      </c>
      <c r="K498" s="323">
        <v>0</v>
      </c>
      <c r="L498" s="323">
        <v>0</v>
      </c>
      <c r="M498" s="323"/>
      <c r="N498" s="323"/>
      <c r="O498" s="323"/>
      <c r="P498" s="323"/>
      <c r="Q498" s="323"/>
      <c r="R498" s="323"/>
      <c r="S498" s="323"/>
      <c r="T498" s="323"/>
      <c r="U498" s="323"/>
      <c r="V498" s="316">
        <f t="shared" si="49"/>
        <v>0</v>
      </c>
      <c r="W498" s="316">
        <v>4938.67</v>
      </c>
      <c r="X498" s="316">
        <f t="shared" si="50"/>
        <v>0</v>
      </c>
      <c r="Y498" s="322">
        <f>X498/X497</f>
        <v>0</v>
      </c>
      <c r="Z498" s="572"/>
      <c r="AA498" s="567"/>
    </row>
    <row r="499" spans="1:27" s="311" customFormat="1" ht="15" customHeight="1" outlineLevel="1">
      <c r="A499" s="273">
        <v>495</v>
      </c>
      <c r="B499" s="273" t="s">
        <v>0</v>
      </c>
      <c r="C499" s="305" t="s">
        <v>759</v>
      </c>
      <c r="D499" s="306" t="s">
        <v>760</v>
      </c>
      <c r="E499" s="307" t="s">
        <v>759</v>
      </c>
      <c r="F499" s="553" t="str">
        <f t="shared" si="48"/>
        <v>PREVContator tripolar 9A, 125 Vcc</v>
      </c>
      <c r="G499" s="611" t="s">
        <v>74</v>
      </c>
      <c r="H499" s="307" t="s">
        <v>228</v>
      </c>
      <c r="I499" s="321">
        <v>0.2</v>
      </c>
      <c r="J499" s="321">
        <v>0.25</v>
      </c>
      <c r="K499" s="321">
        <v>0.25</v>
      </c>
      <c r="L499" s="321">
        <v>0.25</v>
      </c>
      <c r="M499" s="321">
        <v>0.25</v>
      </c>
      <c r="N499" s="321">
        <v>0.25</v>
      </c>
      <c r="O499" s="321">
        <v>0.25</v>
      </c>
      <c r="P499" s="321">
        <v>0.25</v>
      </c>
      <c r="Q499" s="321">
        <v>0.25</v>
      </c>
      <c r="R499" s="321">
        <v>0.25</v>
      </c>
      <c r="S499" s="321">
        <v>0.25</v>
      </c>
      <c r="T499" s="321">
        <v>0.25</v>
      </c>
      <c r="U499" s="321">
        <v>0.05</v>
      </c>
      <c r="V499" s="308">
        <f t="shared" si="49"/>
        <v>3</v>
      </c>
      <c r="W499" s="308">
        <v>153.78</v>
      </c>
      <c r="X499" s="308">
        <f t="shared" si="50"/>
        <v>461.34000000000003</v>
      </c>
      <c r="Y499" s="322" t="s">
        <v>74</v>
      </c>
      <c r="Z499" s="575"/>
      <c r="AA499" s="567"/>
    </row>
    <row r="500" spans="1:27" s="318" customFormat="1" ht="15" customHeight="1" outlineLevel="1">
      <c r="A500" s="282">
        <v>496</v>
      </c>
      <c r="B500" s="282" t="s">
        <v>1</v>
      </c>
      <c r="C500" s="312" t="s">
        <v>759</v>
      </c>
      <c r="D500" s="313" t="s">
        <v>760</v>
      </c>
      <c r="E500" s="314" t="s">
        <v>759</v>
      </c>
      <c r="F500" s="553" t="str">
        <f t="shared" si="48"/>
        <v>REALContator tripolar 9A, 125 Vcc</v>
      </c>
      <c r="G500" s="609">
        <f>Y500</f>
        <v>0</v>
      </c>
      <c r="H500" s="315" t="s">
        <v>228</v>
      </c>
      <c r="I500" s="323">
        <v>0</v>
      </c>
      <c r="J500" s="323">
        <v>0</v>
      </c>
      <c r="K500" s="323">
        <v>0</v>
      </c>
      <c r="L500" s="323">
        <v>0</v>
      </c>
      <c r="M500" s="323"/>
      <c r="N500" s="323"/>
      <c r="O500" s="323"/>
      <c r="P500" s="323"/>
      <c r="Q500" s="323"/>
      <c r="R500" s="323"/>
      <c r="S500" s="323"/>
      <c r="T500" s="323"/>
      <c r="U500" s="323"/>
      <c r="V500" s="316">
        <f t="shared" si="49"/>
        <v>0</v>
      </c>
      <c r="W500" s="316">
        <v>153.78</v>
      </c>
      <c r="X500" s="316">
        <f t="shared" si="50"/>
        <v>0</v>
      </c>
      <c r="Y500" s="322">
        <f>X500/X499</f>
        <v>0</v>
      </c>
      <c r="Z500" s="572"/>
      <c r="AA500" s="567"/>
    </row>
    <row r="501" spans="1:27" s="311" customFormat="1" ht="15" customHeight="1" outlineLevel="1">
      <c r="A501" s="273">
        <v>497</v>
      </c>
      <c r="B501" s="273" t="s">
        <v>0</v>
      </c>
      <c r="C501" s="305" t="s">
        <v>761</v>
      </c>
      <c r="D501" s="306" t="s">
        <v>762</v>
      </c>
      <c r="E501" s="307" t="s">
        <v>761</v>
      </c>
      <c r="F501" s="553" t="str">
        <f t="shared" si="48"/>
        <v>PREVDisjuntor trifásico termomagnético, 32A, 125 Vcc</v>
      </c>
      <c r="G501" s="611" t="s">
        <v>74</v>
      </c>
      <c r="H501" s="307" t="s">
        <v>228</v>
      </c>
      <c r="I501" s="321">
        <v>0.2</v>
      </c>
      <c r="J501" s="321">
        <v>0.25</v>
      </c>
      <c r="K501" s="321">
        <v>0.25</v>
      </c>
      <c r="L501" s="321">
        <v>0.25</v>
      </c>
      <c r="M501" s="321">
        <v>0.25</v>
      </c>
      <c r="N501" s="321">
        <v>0.25</v>
      </c>
      <c r="O501" s="321">
        <v>0.25</v>
      </c>
      <c r="P501" s="321">
        <v>0.25</v>
      </c>
      <c r="Q501" s="321">
        <v>0.25</v>
      </c>
      <c r="R501" s="321">
        <v>0.25</v>
      </c>
      <c r="S501" s="321">
        <v>0.25</v>
      </c>
      <c r="T501" s="321">
        <v>0.25</v>
      </c>
      <c r="U501" s="321">
        <v>0.05</v>
      </c>
      <c r="V501" s="308">
        <f t="shared" si="49"/>
        <v>3</v>
      </c>
      <c r="W501" s="308">
        <v>554.25</v>
      </c>
      <c r="X501" s="308">
        <f t="shared" si="50"/>
        <v>1662.75</v>
      </c>
      <c r="Y501" s="322" t="s">
        <v>74</v>
      </c>
      <c r="Z501" s="575"/>
      <c r="AA501" s="567"/>
    </row>
    <row r="502" spans="1:27" s="318" customFormat="1" ht="15" customHeight="1" outlineLevel="1">
      <c r="A502" s="282">
        <v>498</v>
      </c>
      <c r="B502" s="282" t="s">
        <v>1</v>
      </c>
      <c r="C502" s="312" t="s">
        <v>761</v>
      </c>
      <c r="D502" s="313" t="s">
        <v>762</v>
      </c>
      <c r="E502" s="314" t="s">
        <v>761</v>
      </c>
      <c r="F502" s="553" t="str">
        <f t="shared" si="48"/>
        <v>REALDisjuntor trifásico termomagnético, 32A, 125 Vcc</v>
      </c>
      <c r="G502" s="609">
        <f>Y502</f>
        <v>0</v>
      </c>
      <c r="H502" s="315" t="s">
        <v>228</v>
      </c>
      <c r="I502" s="323">
        <v>0</v>
      </c>
      <c r="J502" s="323">
        <v>0</v>
      </c>
      <c r="K502" s="323">
        <v>0</v>
      </c>
      <c r="L502" s="323">
        <v>0</v>
      </c>
      <c r="M502" s="323"/>
      <c r="N502" s="323"/>
      <c r="O502" s="323"/>
      <c r="P502" s="323"/>
      <c r="Q502" s="323"/>
      <c r="R502" s="323"/>
      <c r="S502" s="323"/>
      <c r="T502" s="323"/>
      <c r="U502" s="323"/>
      <c r="V502" s="316">
        <f t="shared" si="49"/>
        <v>0</v>
      </c>
      <c r="W502" s="316">
        <v>554.25</v>
      </c>
      <c r="X502" s="316">
        <f t="shared" si="50"/>
        <v>0</v>
      </c>
      <c r="Y502" s="322">
        <f>X502/X501</f>
        <v>0</v>
      </c>
      <c r="Z502" s="572"/>
      <c r="AA502" s="567"/>
    </row>
    <row r="503" spans="1:27" s="311" customFormat="1" ht="15" customHeight="1" outlineLevel="1">
      <c r="A503" s="273">
        <v>499</v>
      </c>
      <c r="B503" s="273" t="s">
        <v>0</v>
      </c>
      <c r="C503" s="305" t="s">
        <v>763</v>
      </c>
      <c r="D503" s="306" t="s">
        <v>764</v>
      </c>
      <c r="E503" s="307" t="s">
        <v>763</v>
      </c>
      <c r="F503" s="553" t="str">
        <f t="shared" ref="F503:F566" si="51">B503&amp;D503</f>
        <v>PREVDisjuntor auxiliar de controle, bipolar, comando manual 125 Vcc, 10 A, 440 Vca, 10 kA(em 125 Vcc).</v>
      </c>
      <c r="G503" s="611" t="s">
        <v>74</v>
      </c>
      <c r="H503" s="307" t="s">
        <v>228</v>
      </c>
      <c r="I503" s="321">
        <v>0.46399999999999997</v>
      </c>
      <c r="J503" s="321">
        <v>0.57999999999999996</v>
      </c>
      <c r="K503" s="321">
        <v>0.57999999999999996</v>
      </c>
      <c r="L503" s="321">
        <v>0.57999999999999996</v>
      </c>
      <c r="M503" s="321">
        <v>0.57999999999999996</v>
      </c>
      <c r="N503" s="321">
        <v>0.57999999999999996</v>
      </c>
      <c r="O503" s="321">
        <v>0.57999999999999996</v>
      </c>
      <c r="P503" s="321">
        <v>0.57999999999999996</v>
      </c>
      <c r="Q503" s="321">
        <v>0.59</v>
      </c>
      <c r="R503" s="321">
        <v>0.59</v>
      </c>
      <c r="S503" s="321">
        <v>0.59</v>
      </c>
      <c r="T503" s="321">
        <v>0.59</v>
      </c>
      <c r="U503" s="321">
        <v>0.11799999999999999</v>
      </c>
      <c r="V503" s="308">
        <f t="shared" ref="V503:V566" si="52">SUM(I503:U503)</f>
        <v>7.0019999999999998</v>
      </c>
      <c r="W503" s="308">
        <v>115.63</v>
      </c>
      <c r="X503" s="308">
        <f t="shared" ref="X503:X566" si="53">W503*V503</f>
        <v>809.64125999999999</v>
      </c>
      <c r="Y503" s="322" t="s">
        <v>74</v>
      </c>
      <c r="Z503" s="575"/>
      <c r="AA503" s="567"/>
    </row>
    <row r="504" spans="1:27" s="318" customFormat="1" ht="15" customHeight="1" outlineLevel="1">
      <c r="A504" s="282">
        <v>500</v>
      </c>
      <c r="B504" s="282" t="s">
        <v>1</v>
      </c>
      <c r="C504" s="312" t="s">
        <v>763</v>
      </c>
      <c r="D504" s="313" t="s">
        <v>764</v>
      </c>
      <c r="E504" s="314" t="s">
        <v>763</v>
      </c>
      <c r="F504" s="553" t="str">
        <f t="shared" si="51"/>
        <v>REALDisjuntor auxiliar de controle, bipolar, comando manual 125 Vcc, 10 A, 440 Vca, 10 kA(em 125 Vcc).</v>
      </c>
      <c r="G504" s="609">
        <f>Y504</f>
        <v>0</v>
      </c>
      <c r="H504" s="315" t="s">
        <v>228</v>
      </c>
      <c r="I504" s="323">
        <v>0</v>
      </c>
      <c r="J504" s="323">
        <v>0</v>
      </c>
      <c r="K504" s="323">
        <v>0</v>
      </c>
      <c r="L504" s="323">
        <v>0</v>
      </c>
      <c r="M504" s="323"/>
      <c r="N504" s="323"/>
      <c r="O504" s="323"/>
      <c r="P504" s="323"/>
      <c r="Q504" s="323"/>
      <c r="R504" s="323"/>
      <c r="S504" s="323"/>
      <c r="T504" s="323"/>
      <c r="U504" s="323"/>
      <c r="V504" s="316">
        <f t="shared" si="52"/>
        <v>0</v>
      </c>
      <c r="W504" s="316">
        <v>115.63</v>
      </c>
      <c r="X504" s="316">
        <f t="shared" si="53"/>
        <v>0</v>
      </c>
      <c r="Y504" s="322">
        <f>X504/X503</f>
        <v>0</v>
      </c>
      <c r="Z504" s="572"/>
      <c r="AA504" s="567"/>
    </row>
    <row r="505" spans="1:27" s="311" customFormat="1" ht="15" customHeight="1" outlineLevel="1">
      <c r="A505" s="273">
        <v>501</v>
      </c>
      <c r="B505" s="273" t="s">
        <v>0</v>
      </c>
      <c r="C505" s="305" t="s">
        <v>765</v>
      </c>
      <c r="D505" s="306" t="s">
        <v>766</v>
      </c>
      <c r="E505" s="307" t="s">
        <v>765</v>
      </c>
      <c r="F505" s="553" t="str">
        <f t="shared" si="51"/>
        <v>PREVDisjuntor auxiliar de controle, monopolar, comando manual , 10 A, 440 Vca, 20 kA(em 230 Vca)</v>
      </c>
      <c r="G505" s="611" t="s">
        <v>74</v>
      </c>
      <c r="H505" s="307" t="s">
        <v>228</v>
      </c>
      <c r="I505" s="321">
        <v>0.46399999999999997</v>
      </c>
      <c r="J505" s="321">
        <v>0.57999999999999996</v>
      </c>
      <c r="K505" s="321">
        <v>0.57999999999999996</v>
      </c>
      <c r="L505" s="321">
        <v>0.57999999999999996</v>
      </c>
      <c r="M505" s="321">
        <v>0.57999999999999996</v>
      </c>
      <c r="N505" s="321">
        <v>0.57999999999999996</v>
      </c>
      <c r="O505" s="321">
        <v>0.57999999999999996</v>
      </c>
      <c r="P505" s="321">
        <v>0.57999999999999996</v>
      </c>
      <c r="Q505" s="321">
        <v>0.59</v>
      </c>
      <c r="R505" s="321">
        <v>0.59</v>
      </c>
      <c r="S505" s="321">
        <v>0.59</v>
      </c>
      <c r="T505" s="321">
        <v>0.59</v>
      </c>
      <c r="U505" s="321">
        <v>0.11799999999999999</v>
      </c>
      <c r="V505" s="308">
        <f t="shared" si="52"/>
        <v>7.0019999999999998</v>
      </c>
      <c r="W505" s="308">
        <v>26.13</v>
      </c>
      <c r="X505" s="308">
        <f t="shared" si="53"/>
        <v>182.96225999999999</v>
      </c>
      <c r="Y505" s="322" t="s">
        <v>74</v>
      </c>
      <c r="Z505" s="575"/>
      <c r="AA505" s="567"/>
    </row>
    <row r="506" spans="1:27" s="318" customFormat="1" ht="15" customHeight="1" outlineLevel="1">
      <c r="A506" s="282">
        <v>502</v>
      </c>
      <c r="B506" s="282" t="s">
        <v>1</v>
      </c>
      <c r="C506" s="312" t="s">
        <v>765</v>
      </c>
      <c r="D506" s="313" t="s">
        <v>766</v>
      </c>
      <c r="E506" s="314" t="s">
        <v>765</v>
      </c>
      <c r="F506" s="553" t="str">
        <f t="shared" si="51"/>
        <v>REALDisjuntor auxiliar de controle, monopolar, comando manual , 10 A, 440 Vca, 20 kA(em 230 Vca)</v>
      </c>
      <c r="G506" s="609">
        <f>Y506</f>
        <v>0</v>
      </c>
      <c r="H506" s="315" t="s">
        <v>228</v>
      </c>
      <c r="I506" s="323">
        <v>0</v>
      </c>
      <c r="J506" s="323">
        <v>0</v>
      </c>
      <c r="K506" s="323">
        <v>0</v>
      </c>
      <c r="L506" s="323">
        <v>0</v>
      </c>
      <c r="M506" s="323"/>
      <c r="N506" s="323"/>
      <c r="O506" s="323"/>
      <c r="P506" s="323"/>
      <c r="Q506" s="323"/>
      <c r="R506" s="323"/>
      <c r="S506" s="323"/>
      <c r="T506" s="323"/>
      <c r="U506" s="323"/>
      <c r="V506" s="316">
        <f t="shared" si="52"/>
        <v>0</v>
      </c>
      <c r="W506" s="316">
        <v>26.13</v>
      </c>
      <c r="X506" s="316">
        <f t="shared" si="53"/>
        <v>0</v>
      </c>
      <c r="Y506" s="322">
        <f>X506/X505</f>
        <v>0</v>
      </c>
      <c r="Z506" s="572"/>
      <c r="AA506" s="567"/>
    </row>
    <row r="507" spans="1:27" s="311" customFormat="1" ht="15" customHeight="1" outlineLevel="1">
      <c r="A507" s="273">
        <v>503</v>
      </c>
      <c r="B507" s="273" t="s">
        <v>0</v>
      </c>
      <c r="C507" s="305" t="s">
        <v>767</v>
      </c>
      <c r="D507" s="306" t="s">
        <v>768</v>
      </c>
      <c r="E507" s="307" t="s">
        <v>767</v>
      </c>
      <c r="F507" s="553" t="str">
        <f t="shared" si="51"/>
        <v>PREVDisjuntor bipolar 16A 250 Vcc</v>
      </c>
      <c r="G507" s="611" t="s">
        <v>74</v>
      </c>
      <c r="H507" s="307" t="s">
        <v>228</v>
      </c>
      <c r="I507" s="321">
        <v>0.46399999999999997</v>
      </c>
      <c r="J507" s="321">
        <v>0.57999999999999996</v>
      </c>
      <c r="K507" s="321">
        <v>0.57999999999999996</v>
      </c>
      <c r="L507" s="321">
        <v>0.57999999999999996</v>
      </c>
      <c r="M507" s="321">
        <v>0.57999999999999996</v>
      </c>
      <c r="N507" s="321">
        <v>0.57999999999999996</v>
      </c>
      <c r="O507" s="321">
        <v>0.57999999999999996</v>
      </c>
      <c r="P507" s="321">
        <v>0.57999999999999996</v>
      </c>
      <c r="Q507" s="321">
        <v>0.59</v>
      </c>
      <c r="R507" s="321">
        <v>0.59</v>
      </c>
      <c r="S507" s="321">
        <v>0.59</v>
      </c>
      <c r="T507" s="321">
        <v>0.59</v>
      </c>
      <c r="U507" s="321">
        <v>0.11799999999999999</v>
      </c>
      <c r="V507" s="308">
        <f t="shared" si="52"/>
        <v>7.0019999999999998</v>
      </c>
      <c r="W507" s="308">
        <v>64.25</v>
      </c>
      <c r="X507" s="308">
        <f t="shared" si="53"/>
        <v>449.87849999999997</v>
      </c>
      <c r="Y507" s="322" t="s">
        <v>74</v>
      </c>
      <c r="Z507" s="575"/>
      <c r="AA507" s="567"/>
    </row>
    <row r="508" spans="1:27" s="318" customFormat="1" ht="15" customHeight="1" outlineLevel="1">
      <c r="A508" s="282">
        <v>504</v>
      </c>
      <c r="B508" s="282" t="s">
        <v>1</v>
      </c>
      <c r="C508" s="312" t="s">
        <v>767</v>
      </c>
      <c r="D508" s="313" t="s">
        <v>768</v>
      </c>
      <c r="E508" s="314" t="s">
        <v>767</v>
      </c>
      <c r="F508" s="553" t="str">
        <f t="shared" si="51"/>
        <v>REALDisjuntor bipolar 16A 250 Vcc</v>
      </c>
      <c r="G508" s="609">
        <f>Y508</f>
        <v>0</v>
      </c>
      <c r="H508" s="315" t="s">
        <v>228</v>
      </c>
      <c r="I508" s="323">
        <v>0</v>
      </c>
      <c r="J508" s="323">
        <v>0</v>
      </c>
      <c r="K508" s="323">
        <v>0</v>
      </c>
      <c r="L508" s="323">
        <v>0</v>
      </c>
      <c r="M508" s="323"/>
      <c r="N508" s="323"/>
      <c r="O508" s="323"/>
      <c r="P508" s="323"/>
      <c r="Q508" s="323"/>
      <c r="R508" s="323"/>
      <c r="S508" s="323"/>
      <c r="T508" s="323"/>
      <c r="U508" s="323"/>
      <c r="V508" s="316">
        <f t="shared" si="52"/>
        <v>0</v>
      </c>
      <c r="W508" s="316">
        <v>64.25</v>
      </c>
      <c r="X508" s="316">
        <f t="shared" si="53"/>
        <v>0</v>
      </c>
      <c r="Y508" s="322">
        <f>X508/X507</f>
        <v>0</v>
      </c>
      <c r="Z508" s="572"/>
      <c r="AA508" s="567"/>
    </row>
    <row r="509" spans="1:27" s="311" customFormat="1" ht="15" customHeight="1" outlineLevel="1">
      <c r="A509" s="273">
        <v>505</v>
      </c>
      <c r="B509" s="273" t="s">
        <v>0</v>
      </c>
      <c r="C509" s="305" t="s">
        <v>769</v>
      </c>
      <c r="D509" s="306" t="s">
        <v>770</v>
      </c>
      <c r="E509" s="307" t="s">
        <v>769</v>
      </c>
      <c r="F509" s="553" t="str">
        <f t="shared" si="51"/>
        <v>PREVDisjuntor bipolar 10A, 10 kA</v>
      </c>
      <c r="G509" s="611" t="s">
        <v>74</v>
      </c>
      <c r="H509" s="307" t="s">
        <v>228</v>
      </c>
      <c r="I509" s="321">
        <v>0.46399999999999997</v>
      </c>
      <c r="J509" s="321">
        <v>0.57999999999999996</v>
      </c>
      <c r="K509" s="321">
        <v>0.57999999999999996</v>
      </c>
      <c r="L509" s="321">
        <v>0.57999999999999996</v>
      </c>
      <c r="M509" s="321">
        <v>0.57999999999999996</v>
      </c>
      <c r="N509" s="321">
        <v>0.57999999999999996</v>
      </c>
      <c r="O509" s="321">
        <v>0.57999999999999996</v>
      </c>
      <c r="P509" s="321">
        <v>0.57999999999999996</v>
      </c>
      <c r="Q509" s="321">
        <v>0.59</v>
      </c>
      <c r="R509" s="321">
        <v>0.59</v>
      </c>
      <c r="S509" s="321">
        <v>0.59</v>
      </c>
      <c r="T509" s="321">
        <v>0.59</v>
      </c>
      <c r="U509" s="321">
        <v>0.11799999999999999</v>
      </c>
      <c r="V509" s="308">
        <f t="shared" si="52"/>
        <v>7.0019999999999998</v>
      </c>
      <c r="W509" s="308">
        <v>64.25</v>
      </c>
      <c r="X509" s="308">
        <f t="shared" si="53"/>
        <v>449.87849999999997</v>
      </c>
      <c r="Y509" s="322" t="s">
        <v>74</v>
      </c>
      <c r="Z509" s="575"/>
      <c r="AA509" s="567"/>
    </row>
    <row r="510" spans="1:27" s="318" customFormat="1" ht="15" customHeight="1" outlineLevel="1">
      <c r="A510" s="282">
        <v>506</v>
      </c>
      <c r="B510" s="282" t="s">
        <v>1</v>
      </c>
      <c r="C510" s="312" t="s">
        <v>769</v>
      </c>
      <c r="D510" s="313" t="s">
        <v>770</v>
      </c>
      <c r="E510" s="314" t="s">
        <v>769</v>
      </c>
      <c r="F510" s="553" t="str">
        <f t="shared" si="51"/>
        <v>REALDisjuntor bipolar 10A, 10 kA</v>
      </c>
      <c r="G510" s="609">
        <f>Y510</f>
        <v>0</v>
      </c>
      <c r="H510" s="315" t="s">
        <v>228</v>
      </c>
      <c r="I510" s="323">
        <v>0</v>
      </c>
      <c r="J510" s="323">
        <v>0</v>
      </c>
      <c r="K510" s="323">
        <v>0</v>
      </c>
      <c r="L510" s="323">
        <v>0</v>
      </c>
      <c r="M510" s="323"/>
      <c r="N510" s="323"/>
      <c r="O510" s="323"/>
      <c r="P510" s="323"/>
      <c r="Q510" s="323"/>
      <c r="R510" s="323"/>
      <c r="S510" s="323"/>
      <c r="T510" s="323"/>
      <c r="U510" s="323"/>
      <c r="V510" s="316">
        <f t="shared" si="52"/>
        <v>0</v>
      </c>
      <c r="W510" s="316">
        <v>64.25</v>
      </c>
      <c r="X510" s="316">
        <f t="shared" si="53"/>
        <v>0</v>
      </c>
      <c r="Y510" s="322">
        <f>X510/X509</f>
        <v>0</v>
      </c>
      <c r="Z510" s="572"/>
      <c r="AA510" s="567"/>
    </row>
    <row r="511" spans="1:27" s="311" customFormat="1" ht="15" customHeight="1" outlineLevel="1">
      <c r="A511" s="273">
        <v>507</v>
      </c>
      <c r="B511" s="273" t="s">
        <v>0</v>
      </c>
      <c r="C511" s="305" t="s">
        <v>771</v>
      </c>
      <c r="D511" s="306" t="s">
        <v>772</v>
      </c>
      <c r="E511" s="307" t="s">
        <v>771</v>
      </c>
      <c r="F511" s="553" t="str">
        <f t="shared" si="51"/>
        <v>PREVDisjuntor bipolar 32A 250 Vcc</v>
      </c>
      <c r="G511" s="611" t="s">
        <v>74</v>
      </c>
      <c r="H511" s="307" t="s">
        <v>228</v>
      </c>
      <c r="I511" s="321">
        <v>0.33600000000000002</v>
      </c>
      <c r="J511" s="321">
        <v>0.42</v>
      </c>
      <c r="K511" s="321">
        <v>0.42</v>
      </c>
      <c r="L511" s="321">
        <v>0.42</v>
      </c>
      <c r="M511" s="321">
        <v>0.42</v>
      </c>
      <c r="N511" s="321">
        <v>0.42</v>
      </c>
      <c r="O511" s="321">
        <v>0.42</v>
      </c>
      <c r="P511" s="321">
        <v>0.42</v>
      </c>
      <c r="Q511" s="321">
        <v>0.41</v>
      </c>
      <c r="R511" s="321">
        <v>0.41</v>
      </c>
      <c r="S511" s="321">
        <v>0.41</v>
      </c>
      <c r="T511" s="321">
        <v>0.41</v>
      </c>
      <c r="U511" s="321">
        <v>8.2000000000000003E-2</v>
      </c>
      <c r="V511" s="308">
        <f t="shared" si="52"/>
        <v>4.9980000000000002</v>
      </c>
      <c r="W511" s="308">
        <v>64.25</v>
      </c>
      <c r="X511" s="308">
        <f t="shared" si="53"/>
        <v>321.12150000000003</v>
      </c>
      <c r="Y511" s="322" t="s">
        <v>74</v>
      </c>
      <c r="Z511" s="575"/>
      <c r="AA511" s="567"/>
    </row>
    <row r="512" spans="1:27" s="318" customFormat="1" ht="15" customHeight="1" outlineLevel="1">
      <c r="A512" s="282">
        <v>508</v>
      </c>
      <c r="B512" s="282" t="s">
        <v>1</v>
      </c>
      <c r="C512" s="312" t="s">
        <v>771</v>
      </c>
      <c r="D512" s="313" t="s">
        <v>772</v>
      </c>
      <c r="E512" s="314" t="s">
        <v>771</v>
      </c>
      <c r="F512" s="553" t="str">
        <f t="shared" si="51"/>
        <v>REALDisjuntor bipolar 32A 250 Vcc</v>
      </c>
      <c r="G512" s="609">
        <f>Y512</f>
        <v>0</v>
      </c>
      <c r="H512" s="315" t="s">
        <v>228</v>
      </c>
      <c r="I512" s="323">
        <v>0</v>
      </c>
      <c r="J512" s="323">
        <v>0</v>
      </c>
      <c r="K512" s="323">
        <v>0</v>
      </c>
      <c r="L512" s="323">
        <v>0</v>
      </c>
      <c r="M512" s="323"/>
      <c r="N512" s="323"/>
      <c r="O512" s="323"/>
      <c r="P512" s="323"/>
      <c r="Q512" s="323"/>
      <c r="R512" s="323"/>
      <c r="S512" s="323"/>
      <c r="T512" s="323"/>
      <c r="U512" s="323"/>
      <c r="V512" s="316">
        <f t="shared" si="52"/>
        <v>0</v>
      </c>
      <c r="W512" s="316">
        <v>64.25</v>
      </c>
      <c r="X512" s="316">
        <f t="shared" si="53"/>
        <v>0</v>
      </c>
      <c r="Y512" s="322">
        <f>X512/X511</f>
        <v>0</v>
      </c>
      <c r="Z512" s="572"/>
      <c r="AA512" s="567"/>
    </row>
    <row r="513" spans="1:27" s="311" customFormat="1" ht="15" customHeight="1" outlineLevel="1">
      <c r="A513" s="273">
        <v>509</v>
      </c>
      <c r="B513" s="273" t="s">
        <v>0</v>
      </c>
      <c r="C513" s="305" t="s">
        <v>773</v>
      </c>
      <c r="D513" s="306" t="s">
        <v>774</v>
      </c>
      <c r="E513" s="307" t="s">
        <v>773</v>
      </c>
      <c r="F513" s="553" t="str">
        <f t="shared" si="51"/>
        <v>PREVDisjuntor bipolar 4,5 kA, 10 A</v>
      </c>
      <c r="G513" s="611" t="s">
        <v>74</v>
      </c>
      <c r="H513" s="307" t="s">
        <v>228</v>
      </c>
      <c r="I513" s="321">
        <v>6.4000000000000001E-2</v>
      </c>
      <c r="J513" s="321">
        <v>0.08</v>
      </c>
      <c r="K513" s="321">
        <v>0.08</v>
      </c>
      <c r="L513" s="321">
        <v>0.08</v>
      </c>
      <c r="M513" s="321">
        <v>0.08</v>
      </c>
      <c r="N513" s="321">
        <v>0.08</v>
      </c>
      <c r="O513" s="321">
        <v>0.08</v>
      </c>
      <c r="P513" s="321">
        <v>0.08</v>
      </c>
      <c r="Q513" s="321">
        <v>0.09</v>
      </c>
      <c r="R513" s="321">
        <v>0.09</v>
      </c>
      <c r="S513" s="321">
        <v>0.09</v>
      </c>
      <c r="T513" s="321">
        <v>0.09</v>
      </c>
      <c r="U513" s="321">
        <v>1.7999999999999999E-2</v>
      </c>
      <c r="V513" s="308">
        <f t="shared" si="52"/>
        <v>1.0019999999999998</v>
      </c>
      <c r="W513" s="308">
        <v>64.25</v>
      </c>
      <c r="X513" s="308">
        <f t="shared" si="53"/>
        <v>64.378499999999988</v>
      </c>
      <c r="Y513" s="322" t="s">
        <v>74</v>
      </c>
      <c r="Z513" s="575"/>
      <c r="AA513" s="567"/>
    </row>
    <row r="514" spans="1:27" s="318" customFormat="1" ht="15" customHeight="1" outlineLevel="1">
      <c r="A514" s="282">
        <v>510</v>
      </c>
      <c r="B514" s="282" t="s">
        <v>1</v>
      </c>
      <c r="C514" s="312" t="s">
        <v>773</v>
      </c>
      <c r="D514" s="313" t="s">
        <v>774</v>
      </c>
      <c r="E514" s="314" t="s">
        <v>773</v>
      </c>
      <c r="F514" s="553" t="str">
        <f t="shared" si="51"/>
        <v>REALDisjuntor bipolar 4,5 kA, 10 A</v>
      </c>
      <c r="G514" s="609">
        <f>Y514</f>
        <v>0</v>
      </c>
      <c r="H514" s="315" t="s">
        <v>228</v>
      </c>
      <c r="I514" s="323">
        <v>0</v>
      </c>
      <c r="J514" s="323">
        <v>0</v>
      </c>
      <c r="K514" s="323">
        <v>0</v>
      </c>
      <c r="L514" s="323">
        <v>0</v>
      </c>
      <c r="M514" s="323"/>
      <c r="N514" s="323"/>
      <c r="O514" s="323"/>
      <c r="P514" s="323"/>
      <c r="Q514" s="323"/>
      <c r="R514" s="323"/>
      <c r="S514" s="323"/>
      <c r="T514" s="323"/>
      <c r="U514" s="323"/>
      <c r="V514" s="316">
        <f t="shared" si="52"/>
        <v>0</v>
      </c>
      <c r="W514" s="316">
        <v>64.25</v>
      </c>
      <c r="X514" s="316">
        <f t="shared" si="53"/>
        <v>0</v>
      </c>
      <c r="Y514" s="322">
        <f>X514/X513</f>
        <v>0</v>
      </c>
      <c r="Z514" s="572"/>
      <c r="AA514" s="567"/>
    </row>
    <row r="515" spans="1:27" s="311" customFormat="1" ht="15" customHeight="1" outlineLevel="1">
      <c r="A515" s="273">
        <v>511</v>
      </c>
      <c r="B515" s="273" t="s">
        <v>0</v>
      </c>
      <c r="C515" s="305" t="s">
        <v>775</v>
      </c>
      <c r="D515" s="306" t="s">
        <v>776</v>
      </c>
      <c r="E515" s="307" t="s">
        <v>775</v>
      </c>
      <c r="F515" s="553" t="str">
        <f t="shared" si="51"/>
        <v>PREVDisjuntor bipolar, 16 A s62 c10</v>
      </c>
      <c r="G515" s="611" t="s">
        <v>74</v>
      </c>
      <c r="H515" s="307" t="s">
        <v>228</v>
      </c>
      <c r="I515" s="321">
        <v>0.2</v>
      </c>
      <c r="J515" s="321">
        <v>0.25</v>
      </c>
      <c r="K515" s="321">
        <v>0.25</v>
      </c>
      <c r="L515" s="321">
        <v>0.25</v>
      </c>
      <c r="M515" s="321">
        <v>0.25</v>
      </c>
      <c r="N515" s="321">
        <v>0.25</v>
      </c>
      <c r="O515" s="321">
        <v>0.25</v>
      </c>
      <c r="P515" s="321">
        <v>0.25</v>
      </c>
      <c r="Q515" s="321">
        <v>0.25</v>
      </c>
      <c r="R515" s="321">
        <v>0.25</v>
      </c>
      <c r="S515" s="321">
        <v>0.25</v>
      </c>
      <c r="T515" s="321">
        <v>0.25</v>
      </c>
      <c r="U515" s="321">
        <v>0.05</v>
      </c>
      <c r="V515" s="308">
        <f t="shared" si="52"/>
        <v>3</v>
      </c>
      <c r="W515" s="308">
        <v>64.25</v>
      </c>
      <c r="X515" s="308">
        <f t="shared" si="53"/>
        <v>192.75</v>
      </c>
      <c r="Y515" s="322" t="s">
        <v>74</v>
      </c>
      <c r="Z515" s="575"/>
      <c r="AA515" s="567"/>
    </row>
    <row r="516" spans="1:27" s="318" customFormat="1" ht="15" customHeight="1" outlineLevel="1">
      <c r="A516" s="282">
        <v>512</v>
      </c>
      <c r="B516" s="282" t="s">
        <v>1</v>
      </c>
      <c r="C516" s="312" t="s">
        <v>775</v>
      </c>
      <c r="D516" s="313" t="s">
        <v>776</v>
      </c>
      <c r="E516" s="314" t="s">
        <v>775</v>
      </c>
      <c r="F516" s="553" t="str">
        <f t="shared" si="51"/>
        <v>REALDisjuntor bipolar, 16 A s62 c10</v>
      </c>
      <c r="G516" s="609">
        <f>Y516</f>
        <v>0</v>
      </c>
      <c r="H516" s="315" t="s">
        <v>228</v>
      </c>
      <c r="I516" s="323">
        <v>0</v>
      </c>
      <c r="J516" s="323">
        <v>0</v>
      </c>
      <c r="K516" s="323">
        <v>0</v>
      </c>
      <c r="L516" s="323">
        <v>0</v>
      </c>
      <c r="M516" s="323"/>
      <c r="N516" s="323"/>
      <c r="O516" s="323"/>
      <c r="P516" s="323"/>
      <c r="Q516" s="323"/>
      <c r="R516" s="323"/>
      <c r="S516" s="323"/>
      <c r="T516" s="323"/>
      <c r="U516" s="323"/>
      <c r="V516" s="316">
        <f t="shared" si="52"/>
        <v>0</v>
      </c>
      <c r="W516" s="316">
        <v>64.25</v>
      </c>
      <c r="X516" s="316">
        <f t="shared" si="53"/>
        <v>0</v>
      </c>
      <c r="Y516" s="322">
        <f>X516/X515</f>
        <v>0</v>
      </c>
      <c r="Z516" s="572"/>
      <c r="AA516" s="567"/>
    </row>
    <row r="517" spans="1:27" s="311" customFormat="1" ht="15" customHeight="1" outlineLevel="1">
      <c r="A517" s="273">
        <v>513</v>
      </c>
      <c r="B517" s="273" t="s">
        <v>0</v>
      </c>
      <c r="C517" s="305" t="s">
        <v>777</v>
      </c>
      <c r="D517" s="306" t="s">
        <v>778</v>
      </c>
      <c r="E517" s="307" t="s">
        <v>777</v>
      </c>
      <c r="F517" s="553" t="str">
        <f t="shared" si="51"/>
        <v>PREVDisjuntor de caixa moldada ca, monopolar,440 V, 10 kA (em 230 Vca) , comando manual, frame/corrente nominal=63/20 A.</v>
      </c>
      <c r="G517" s="611" t="s">
        <v>74</v>
      </c>
      <c r="H517" s="307" t="s">
        <v>228</v>
      </c>
      <c r="I517" s="321">
        <v>0.2</v>
      </c>
      <c r="J517" s="321">
        <v>0.25</v>
      </c>
      <c r="K517" s="321">
        <v>0.25</v>
      </c>
      <c r="L517" s="321">
        <v>0.25</v>
      </c>
      <c r="M517" s="321">
        <v>0.25</v>
      </c>
      <c r="N517" s="321">
        <v>0.25</v>
      </c>
      <c r="O517" s="321">
        <v>0.25</v>
      </c>
      <c r="P517" s="321">
        <v>0.25</v>
      </c>
      <c r="Q517" s="321">
        <v>0.25</v>
      </c>
      <c r="R517" s="321">
        <v>0.25</v>
      </c>
      <c r="S517" s="321">
        <v>0.25</v>
      </c>
      <c r="T517" s="321">
        <v>0.25</v>
      </c>
      <c r="U517" s="321">
        <v>0.05</v>
      </c>
      <c r="V517" s="308">
        <f t="shared" si="52"/>
        <v>3</v>
      </c>
      <c r="W517" s="308">
        <v>417.28</v>
      </c>
      <c r="X517" s="308">
        <f t="shared" si="53"/>
        <v>1251.8399999999999</v>
      </c>
      <c r="Y517" s="322" t="s">
        <v>74</v>
      </c>
      <c r="Z517" s="575"/>
      <c r="AA517" s="567"/>
    </row>
    <row r="518" spans="1:27" s="318" customFormat="1" ht="15" customHeight="1" outlineLevel="1">
      <c r="A518" s="282">
        <v>514</v>
      </c>
      <c r="B518" s="282" t="s">
        <v>1</v>
      </c>
      <c r="C518" s="312" t="s">
        <v>777</v>
      </c>
      <c r="D518" s="313" t="s">
        <v>778</v>
      </c>
      <c r="E518" s="314" t="s">
        <v>777</v>
      </c>
      <c r="F518" s="553" t="str">
        <f t="shared" si="51"/>
        <v>REALDisjuntor de caixa moldada ca, monopolar,440 V, 10 kA (em 230 Vca) , comando manual, frame/corrente nominal=63/20 A.</v>
      </c>
      <c r="G518" s="609">
        <f>Y518</f>
        <v>0</v>
      </c>
      <c r="H518" s="315" t="s">
        <v>228</v>
      </c>
      <c r="I518" s="323">
        <v>0</v>
      </c>
      <c r="J518" s="323">
        <v>0</v>
      </c>
      <c r="K518" s="323">
        <v>0</v>
      </c>
      <c r="L518" s="323">
        <v>0</v>
      </c>
      <c r="M518" s="323"/>
      <c r="N518" s="323"/>
      <c r="O518" s="323"/>
      <c r="P518" s="323"/>
      <c r="Q518" s="323"/>
      <c r="R518" s="323"/>
      <c r="S518" s="323"/>
      <c r="T518" s="323"/>
      <c r="U518" s="323"/>
      <c r="V518" s="316">
        <f t="shared" si="52"/>
        <v>0</v>
      </c>
      <c r="W518" s="316">
        <v>417.28</v>
      </c>
      <c r="X518" s="316">
        <f t="shared" si="53"/>
        <v>0</v>
      </c>
      <c r="Y518" s="322">
        <f>X518/X517</f>
        <v>0</v>
      </c>
      <c r="Z518" s="572"/>
      <c r="AA518" s="567"/>
    </row>
    <row r="519" spans="1:27" s="311" customFormat="1" ht="15" customHeight="1" outlineLevel="1">
      <c r="A519" s="273">
        <v>515</v>
      </c>
      <c r="B519" s="273" t="s">
        <v>0</v>
      </c>
      <c r="C519" s="305" t="s">
        <v>779</v>
      </c>
      <c r="D519" s="306" t="s">
        <v>780</v>
      </c>
      <c r="E519" s="307" t="s">
        <v>779</v>
      </c>
      <c r="F519" s="553" t="str">
        <f t="shared" si="51"/>
        <v>PREVDisjuntor de caixa moldada ca, tripolar , 440 V, 10 kA (em 230 Vca), comando manual, frame/corrente nominal=63/25 A.</v>
      </c>
      <c r="G519" s="611" t="s">
        <v>74</v>
      </c>
      <c r="H519" s="307" t="s">
        <v>228</v>
      </c>
      <c r="I519" s="321">
        <v>0.2</v>
      </c>
      <c r="J519" s="321">
        <v>0.25</v>
      </c>
      <c r="K519" s="321">
        <v>0.25</v>
      </c>
      <c r="L519" s="321">
        <v>0.25</v>
      </c>
      <c r="M519" s="321">
        <v>0.25</v>
      </c>
      <c r="N519" s="321">
        <v>0.25</v>
      </c>
      <c r="O519" s="321">
        <v>0.25</v>
      </c>
      <c r="P519" s="321">
        <v>0.25</v>
      </c>
      <c r="Q519" s="321">
        <v>0.25</v>
      </c>
      <c r="R519" s="321">
        <v>0.25</v>
      </c>
      <c r="S519" s="321">
        <v>0.25</v>
      </c>
      <c r="T519" s="321">
        <v>0.25</v>
      </c>
      <c r="U519" s="321">
        <v>0.05</v>
      </c>
      <c r="V519" s="308">
        <f t="shared" si="52"/>
        <v>3</v>
      </c>
      <c r="W519" s="308">
        <v>417.28</v>
      </c>
      <c r="X519" s="308">
        <f t="shared" si="53"/>
        <v>1251.8399999999999</v>
      </c>
      <c r="Y519" s="322" t="s">
        <v>74</v>
      </c>
      <c r="Z519" s="575"/>
      <c r="AA519" s="567"/>
    </row>
    <row r="520" spans="1:27" s="318" customFormat="1" ht="15" customHeight="1" outlineLevel="1">
      <c r="A520" s="282">
        <v>516</v>
      </c>
      <c r="B520" s="282" t="s">
        <v>1</v>
      </c>
      <c r="C520" s="312" t="s">
        <v>779</v>
      </c>
      <c r="D520" s="313" t="s">
        <v>780</v>
      </c>
      <c r="E520" s="314" t="s">
        <v>779</v>
      </c>
      <c r="F520" s="553" t="str">
        <f t="shared" si="51"/>
        <v>REALDisjuntor de caixa moldada ca, tripolar , 440 V, 10 kA (em 230 Vca), comando manual, frame/corrente nominal=63/25 A.</v>
      </c>
      <c r="G520" s="609">
        <f>Y520</f>
        <v>0</v>
      </c>
      <c r="H520" s="315" t="s">
        <v>228</v>
      </c>
      <c r="I520" s="323">
        <v>0</v>
      </c>
      <c r="J520" s="323">
        <v>0</v>
      </c>
      <c r="K520" s="323">
        <v>0</v>
      </c>
      <c r="L520" s="323">
        <v>0</v>
      </c>
      <c r="M520" s="323"/>
      <c r="N520" s="323"/>
      <c r="O520" s="323"/>
      <c r="P520" s="323"/>
      <c r="Q520" s="323"/>
      <c r="R520" s="323"/>
      <c r="S520" s="323"/>
      <c r="T520" s="323"/>
      <c r="U520" s="323"/>
      <c r="V520" s="316">
        <f t="shared" si="52"/>
        <v>0</v>
      </c>
      <c r="W520" s="316">
        <v>417.28</v>
      </c>
      <c r="X520" s="316">
        <f t="shared" si="53"/>
        <v>0</v>
      </c>
      <c r="Y520" s="322">
        <f>X520/X519</f>
        <v>0</v>
      </c>
      <c r="Z520" s="572"/>
      <c r="AA520" s="567"/>
    </row>
    <row r="521" spans="1:27" s="311" customFormat="1" ht="15" customHeight="1" outlineLevel="1">
      <c r="A521" s="273">
        <v>517</v>
      </c>
      <c r="B521" s="273" t="s">
        <v>0</v>
      </c>
      <c r="C521" s="305" t="s">
        <v>781</v>
      </c>
      <c r="D521" s="306" t="s">
        <v>782</v>
      </c>
      <c r="E521" s="307" t="s">
        <v>781</v>
      </c>
      <c r="F521" s="553" t="str">
        <f t="shared" si="51"/>
        <v>PREVDisjuntor de caixa moldada ca, tripolar , 440 V, 10 kA (em 400 Vca), comando manual, frame/corrente nominal=63/50 A.</v>
      </c>
      <c r="G521" s="611" t="s">
        <v>74</v>
      </c>
      <c r="H521" s="307" t="s">
        <v>228</v>
      </c>
      <c r="I521" s="321">
        <v>0.2</v>
      </c>
      <c r="J521" s="321">
        <v>0.25</v>
      </c>
      <c r="K521" s="321">
        <v>0.25</v>
      </c>
      <c r="L521" s="321">
        <v>0.25</v>
      </c>
      <c r="M521" s="321">
        <v>0.25</v>
      </c>
      <c r="N521" s="321">
        <v>0.25</v>
      </c>
      <c r="O521" s="321">
        <v>0.25</v>
      </c>
      <c r="P521" s="321">
        <v>0.25</v>
      </c>
      <c r="Q521" s="321">
        <v>0.25</v>
      </c>
      <c r="R521" s="321">
        <v>0.25</v>
      </c>
      <c r="S521" s="321">
        <v>0.25</v>
      </c>
      <c r="T521" s="321">
        <v>0.25</v>
      </c>
      <c r="U521" s="321">
        <v>0.05</v>
      </c>
      <c r="V521" s="308">
        <f t="shared" si="52"/>
        <v>3</v>
      </c>
      <c r="W521" s="308">
        <v>417.28</v>
      </c>
      <c r="X521" s="308">
        <f t="shared" si="53"/>
        <v>1251.8399999999999</v>
      </c>
      <c r="Y521" s="322" t="s">
        <v>74</v>
      </c>
      <c r="Z521" s="575"/>
      <c r="AA521" s="567"/>
    </row>
    <row r="522" spans="1:27" s="318" customFormat="1" ht="15" customHeight="1" outlineLevel="1">
      <c r="A522" s="282">
        <v>518</v>
      </c>
      <c r="B522" s="282" t="s">
        <v>1</v>
      </c>
      <c r="C522" s="312" t="s">
        <v>781</v>
      </c>
      <c r="D522" s="313" t="s">
        <v>782</v>
      </c>
      <c r="E522" s="314" t="s">
        <v>781</v>
      </c>
      <c r="F522" s="553" t="str">
        <f t="shared" si="51"/>
        <v>REALDisjuntor de caixa moldada ca, tripolar , 440 V, 10 kA (em 400 Vca), comando manual, frame/corrente nominal=63/50 A.</v>
      </c>
      <c r="G522" s="609">
        <f>Y522</f>
        <v>0</v>
      </c>
      <c r="H522" s="315" t="s">
        <v>228</v>
      </c>
      <c r="I522" s="323">
        <v>0</v>
      </c>
      <c r="J522" s="323">
        <v>0</v>
      </c>
      <c r="K522" s="323">
        <v>0</v>
      </c>
      <c r="L522" s="323">
        <v>0</v>
      </c>
      <c r="M522" s="323"/>
      <c r="N522" s="323"/>
      <c r="O522" s="323"/>
      <c r="P522" s="323"/>
      <c r="Q522" s="323"/>
      <c r="R522" s="323"/>
      <c r="S522" s="323"/>
      <c r="T522" s="323"/>
      <c r="U522" s="323"/>
      <c r="V522" s="316">
        <f t="shared" si="52"/>
        <v>0</v>
      </c>
      <c r="W522" s="316">
        <v>417.28</v>
      </c>
      <c r="X522" s="316">
        <f t="shared" si="53"/>
        <v>0</v>
      </c>
      <c r="Y522" s="322">
        <f>X522/X521</f>
        <v>0</v>
      </c>
      <c r="Z522" s="572"/>
      <c r="AA522" s="567"/>
    </row>
    <row r="523" spans="1:27" s="311" customFormat="1" ht="15" customHeight="1" outlineLevel="1">
      <c r="A523" s="273">
        <v>519</v>
      </c>
      <c r="B523" s="273" t="s">
        <v>0</v>
      </c>
      <c r="C523" s="305" t="s">
        <v>783</v>
      </c>
      <c r="D523" s="306" t="s">
        <v>784</v>
      </c>
      <c r="E523" s="307" t="s">
        <v>783</v>
      </c>
      <c r="F523" s="553" t="str">
        <f t="shared" si="51"/>
        <v>PREVDisjuntor de caixa moldada ca, tripolar , 690 V, 36 kA (em 415 Vca), comando manual, frame/corrente nominal=63/25 A.</v>
      </c>
      <c r="G523" s="611" t="s">
        <v>74</v>
      </c>
      <c r="H523" s="307" t="s">
        <v>228</v>
      </c>
      <c r="I523" s="321">
        <v>0.2</v>
      </c>
      <c r="J523" s="321">
        <v>0.25</v>
      </c>
      <c r="K523" s="321">
        <v>0.25</v>
      </c>
      <c r="L523" s="321">
        <v>0.25</v>
      </c>
      <c r="M523" s="321">
        <v>0.25</v>
      </c>
      <c r="N523" s="321">
        <v>0.25</v>
      </c>
      <c r="O523" s="321">
        <v>0.25</v>
      </c>
      <c r="P523" s="321">
        <v>0.25</v>
      </c>
      <c r="Q523" s="321">
        <v>0.25</v>
      </c>
      <c r="R523" s="321">
        <v>0.25</v>
      </c>
      <c r="S523" s="321">
        <v>0.25</v>
      </c>
      <c r="T523" s="321">
        <v>0.25</v>
      </c>
      <c r="U523" s="321">
        <v>0.05</v>
      </c>
      <c r="V523" s="308">
        <f t="shared" si="52"/>
        <v>3</v>
      </c>
      <c r="W523" s="308">
        <v>889.35</v>
      </c>
      <c r="X523" s="308">
        <f t="shared" si="53"/>
        <v>2668.05</v>
      </c>
      <c r="Y523" s="322" t="s">
        <v>74</v>
      </c>
      <c r="Z523" s="575"/>
      <c r="AA523" s="567"/>
    </row>
    <row r="524" spans="1:27" s="318" customFormat="1" ht="15" customHeight="1" outlineLevel="1">
      <c r="A524" s="282">
        <v>520</v>
      </c>
      <c r="B524" s="282" t="s">
        <v>1</v>
      </c>
      <c r="C524" s="312" t="s">
        <v>783</v>
      </c>
      <c r="D524" s="313" t="s">
        <v>784</v>
      </c>
      <c r="E524" s="314" t="s">
        <v>783</v>
      </c>
      <c r="F524" s="553" t="str">
        <f t="shared" si="51"/>
        <v>REALDisjuntor de caixa moldada ca, tripolar , 690 V, 36 kA (em 415 Vca), comando manual, frame/corrente nominal=63/25 A.</v>
      </c>
      <c r="G524" s="609">
        <f>Y524</f>
        <v>0</v>
      </c>
      <c r="H524" s="315" t="s">
        <v>228</v>
      </c>
      <c r="I524" s="323">
        <v>0</v>
      </c>
      <c r="J524" s="323">
        <v>0</v>
      </c>
      <c r="K524" s="323">
        <v>0</v>
      </c>
      <c r="L524" s="323">
        <v>0</v>
      </c>
      <c r="M524" s="323"/>
      <c r="N524" s="323"/>
      <c r="O524" s="323"/>
      <c r="P524" s="323"/>
      <c r="Q524" s="323"/>
      <c r="R524" s="323"/>
      <c r="S524" s="323"/>
      <c r="T524" s="323"/>
      <c r="U524" s="323"/>
      <c r="V524" s="316">
        <f t="shared" si="52"/>
        <v>0</v>
      </c>
      <c r="W524" s="316">
        <v>889.35</v>
      </c>
      <c r="X524" s="316">
        <f t="shared" si="53"/>
        <v>0</v>
      </c>
      <c r="Y524" s="322">
        <f>X524/X523</f>
        <v>0</v>
      </c>
      <c r="Z524" s="572"/>
      <c r="AA524" s="567"/>
    </row>
    <row r="525" spans="1:27" s="311" customFormat="1" ht="15" customHeight="1" outlineLevel="1">
      <c r="A525" s="273">
        <v>521</v>
      </c>
      <c r="B525" s="273" t="s">
        <v>0</v>
      </c>
      <c r="C525" s="305" t="s">
        <v>785</v>
      </c>
      <c r="D525" s="306" t="s">
        <v>786</v>
      </c>
      <c r="E525" s="307" t="s">
        <v>785</v>
      </c>
      <c r="F525" s="553" t="str">
        <f t="shared" si="51"/>
        <v>PREVDisjuntor de caixa moldada ca, tripolar, 690 V, 36 kA (em 380/415 Vca), com comando motorizado 125 Vcc, frame/corrente nominal=320/160 A.</v>
      </c>
      <c r="G525" s="611" t="s">
        <v>74</v>
      </c>
      <c r="H525" s="307" t="s">
        <v>228</v>
      </c>
      <c r="I525" s="321">
        <v>0.2</v>
      </c>
      <c r="J525" s="321">
        <v>0.25</v>
      </c>
      <c r="K525" s="321">
        <v>0.25</v>
      </c>
      <c r="L525" s="321">
        <v>0.25</v>
      </c>
      <c r="M525" s="321">
        <v>0.25</v>
      </c>
      <c r="N525" s="321">
        <v>0.25</v>
      </c>
      <c r="O525" s="321">
        <v>0.25</v>
      </c>
      <c r="P525" s="321">
        <v>0.25</v>
      </c>
      <c r="Q525" s="321">
        <v>0.25</v>
      </c>
      <c r="R525" s="321">
        <v>0.25</v>
      </c>
      <c r="S525" s="321">
        <v>0.25</v>
      </c>
      <c r="T525" s="321">
        <v>0.25</v>
      </c>
      <c r="U525" s="321">
        <v>0.05</v>
      </c>
      <c r="V525" s="308">
        <f t="shared" si="52"/>
        <v>3</v>
      </c>
      <c r="W525" s="308">
        <v>5778.83</v>
      </c>
      <c r="X525" s="308">
        <f t="shared" si="53"/>
        <v>17336.489999999998</v>
      </c>
      <c r="Y525" s="322" t="s">
        <v>74</v>
      </c>
      <c r="Z525" s="575"/>
      <c r="AA525" s="567"/>
    </row>
    <row r="526" spans="1:27" s="318" customFormat="1" ht="15" customHeight="1" outlineLevel="1">
      <c r="A526" s="282">
        <v>522</v>
      </c>
      <c r="B526" s="282" t="s">
        <v>1</v>
      </c>
      <c r="C526" s="312" t="s">
        <v>785</v>
      </c>
      <c r="D526" s="313" t="s">
        <v>786</v>
      </c>
      <c r="E526" s="314" t="s">
        <v>785</v>
      </c>
      <c r="F526" s="553" t="str">
        <f t="shared" si="51"/>
        <v>REALDisjuntor de caixa moldada ca, tripolar, 690 V, 36 kA (em 380/415 Vca), com comando motorizado 125 Vcc, frame/corrente nominal=320/160 A.</v>
      </c>
      <c r="G526" s="609">
        <f>Y526</f>
        <v>0</v>
      </c>
      <c r="H526" s="315" t="s">
        <v>228</v>
      </c>
      <c r="I526" s="323">
        <v>0</v>
      </c>
      <c r="J526" s="323">
        <v>0</v>
      </c>
      <c r="K526" s="323">
        <v>0</v>
      </c>
      <c r="L526" s="323">
        <v>0</v>
      </c>
      <c r="M526" s="323"/>
      <c r="N526" s="323"/>
      <c r="O526" s="323"/>
      <c r="P526" s="323"/>
      <c r="Q526" s="323"/>
      <c r="R526" s="323"/>
      <c r="S526" s="323"/>
      <c r="T526" s="323"/>
      <c r="U526" s="323"/>
      <c r="V526" s="316">
        <f t="shared" si="52"/>
        <v>0</v>
      </c>
      <c r="W526" s="316">
        <v>5778.83</v>
      </c>
      <c r="X526" s="316">
        <f t="shared" si="53"/>
        <v>0</v>
      </c>
      <c r="Y526" s="322">
        <f>X526/X525</f>
        <v>0</v>
      </c>
      <c r="Z526" s="572"/>
      <c r="AA526" s="567"/>
    </row>
    <row r="527" spans="1:27" s="311" customFormat="1" ht="15" customHeight="1" outlineLevel="1">
      <c r="A527" s="273">
        <v>523</v>
      </c>
      <c r="B527" s="273" t="s">
        <v>0</v>
      </c>
      <c r="C527" s="305" t="s">
        <v>787</v>
      </c>
      <c r="D527" s="306" t="s">
        <v>788</v>
      </c>
      <c r="E527" s="307" t="s">
        <v>787</v>
      </c>
      <c r="F527" s="553" t="str">
        <f t="shared" si="51"/>
        <v>PREVDisjuntor de caixa moldada ca, tripolar, 690 V, 36 kA (em 380/415 Vca), com comando motorizado 125 Vcc, frame/corrente nominal=630/400 A.</v>
      </c>
      <c r="G527" s="611" t="s">
        <v>74</v>
      </c>
      <c r="H527" s="307" t="s">
        <v>228</v>
      </c>
      <c r="I527" s="321">
        <v>0.2</v>
      </c>
      <c r="J527" s="321">
        <v>0.25</v>
      </c>
      <c r="K527" s="321">
        <v>0.25</v>
      </c>
      <c r="L527" s="321">
        <v>0.25</v>
      </c>
      <c r="M527" s="321">
        <v>0.25</v>
      </c>
      <c r="N527" s="321">
        <v>0.25</v>
      </c>
      <c r="O527" s="321">
        <v>0.25</v>
      </c>
      <c r="P527" s="321">
        <v>0.25</v>
      </c>
      <c r="Q527" s="321">
        <v>0.25</v>
      </c>
      <c r="R527" s="321">
        <v>0.25</v>
      </c>
      <c r="S527" s="321">
        <v>0.25</v>
      </c>
      <c r="T527" s="321">
        <v>0.25</v>
      </c>
      <c r="U527" s="321">
        <v>0.05</v>
      </c>
      <c r="V527" s="308">
        <f t="shared" si="52"/>
        <v>3</v>
      </c>
      <c r="W527" s="308">
        <v>8397.7800000000007</v>
      </c>
      <c r="X527" s="308">
        <f t="shared" si="53"/>
        <v>25193.340000000004</v>
      </c>
      <c r="Y527" s="322" t="s">
        <v>74</v>
      </c>
      <c r="Z527" s="575"/>
      <c r="AA527" s="567"/>
    </row>
    <row r="528" spans="1:27" s="318" customFormat="1" ht="15" customHeight="1" outlineLevel="1">
      <c r="A528" s="282">
        <v>524</v>
      </c>
      <c r="B528" s="282" t="s">
        <v>1</v>
      </c>
      <c r="C528" s="312" t="s">
        <v>787</v>
      </c>
      <c r="D528" s="313" t="s">
        <v>788</v>
      </c>
      <c r="E528" s="314" t="s">
        <v>787</v>
      </c>
      <c r="F528" s="553" t="str">
        <f t="shared" si="51"/>
        <v>REALDisjuntor de caixa moldada ca, tripolar, 690 V, 36 kA (em 380/415 Vca), com comando motorizado 125 Vcc, frame/corrente nominal=630/400 A.</v>
      </c>
      <c r="G528" s="609">
        <f>Y528</f>
        <v>0</v>
      </c>
      <c r="H528" s="315" t="s">
        <v>228</v>
      </c>
      <c r="I528" s="323">
        <v>0</v>
      </c>
      <c r="J528" s="323">
        <v>0</v>
      </c>
      <c r="K528" s="323">
        <v>0</v>
      </c>
      <c r="L528" s="323">
        <v>0</v>
      </c>
      <c r="M528" s="323"/>
      <c r="N528" s="323"/>
      <c r="O528" s="323"/>
      <c r="P528" s="323"/>
      <c r="Q528" s="323"/>
      <c r="R528" s="323"/>
      <c r="S528" s="323"/>
      <c r="T528" s="323"/>
      <c r="U528" s="323"/>
      <c r="V528" s="316">
        <f t="shared" si="52"/>
        <v>0</v>
      </c>
      <c r="W528" s="316">
        <v>8397.7800000000007</v>
      </c>
      <c r="X528" s="316">
        <f t="shared" si="53"/>
        <v>0</v>
      </c>
      <c r="Y528" s="322">
        <f>X528/X527</f>
        <v>0</v>
      </c>
      <c r="Z528" s="572"/>
      <c r="AA528" s="567"/>
    </row>
    <row r="529" spans="1:27" s="311" customFormat="1" ht="15" customHeight="1" outlineLevel="1">
      <c r="A529" s="273">
        <v>525</v>
      </c>
      <c r="B529" s="273" t="s">
        <v>0</v>
      </c>
      <c r="C529" s="305" t="s">
        <v>789</v>
      </c>
      <c r="D529" s="306" t="s">
        <v>790</v>
      </c>
      <c r="E529" s="307" t="s">
        <v>789</v>
      </c>
      <c r="F529" s="553" t="str">
        <f t="shared" si="51"/>
        <v>PREVDisjuntor de caixa moldada ca, tripolar,440 V, 10 kA (em 400 Vca) , comando manual, frame/corrente nominal=63/2 A.</v>
      </c>
      <c r="G529" s="611" t="s">
        <v>74</v>
      </c>
      <c r="H529" s="307" t="s">
        <v>228</v>
      </c>
      <c r="I529" s="321">
        <v>0.2</v>
      </c>
      <c r="J529" s="321">
        <v>0.25</v>
      </c>
      <c r="K529" s="321">
        <v>0.25</v>
      </c>
      <c r="L529" s="321">
        <v>0.25</v>
      </c>
      <c r="M529" s="321">
        <v>0.25</v>
      </c>
      <c r="N529" s="321">
        <v>0.25</v>
      </c>
      <c r="O529" s="321">
        <v>0.25</v>
      </c>
      <c r="P529" s="321">
        <v>0.25</v>
      </c>
      <c r="Q529" s="321">
        <v>0.25</v>
      </c>
      <c r="R529" s="321">
        <v>0.25</v>
      </c>
      <c r="S529" s="321">
        <v>0.25</v>
      </c>
      <c r="T529" s="321">
        <v>0.25</v>
      </c>
      <c r="U529" s="321">
        <v>0.05</v>
      </c>
      <c r="V529" s="308">
        <f t="shared" si="52"/>
        <v>3</v>
      </c>
      <c r="W529" s="308">
        <v>799.35</v>
      </c>
      <c r="X529" s="308">
        <f t="shared" si="53"/>
        <v>2398.0500000000002</v>
      </c>
      <c r="Y529" s="322" t="s">
        <v>74</v>
      </c>
      <c r="Z529" s="575"/>
      <c r="AA529" s="567"/>
    </row>
    <row r="530" spans="1:27" s="318" customFormat="1" ht="15" customHeight="1" outlineLevel="1">
      <c r="A530" s="282">
        <v>526</v>
      </c>
      <c r="B530" s="282" t="s">
        <v>1</v>
      </c>
      <c r="C530" s="312" t="s">
        <v>789</v>
      </c>
      <c r="D530" s="313" t="s">
        <v>790</v>
      </c>
      <c r="E530" s="314" t="s">
        <v>789</v>
      </c>
      <c r="F530" s="553" t="str">
        <f t="shared" si="51"/>
        <v>REALDisjuntor de caixa moldada ca, tripolar,440 V, 10 kA (em 400 Vca) , comando manual, frame/corrente nominal=63/2 A.</v>
      </c>
      <c r="G530" s="609">
        <f>Y530</f>
        <v>0</v>
      </c>
      <c r="H530" s="315" t="s">
        <v>228</v>
      </c>
      <c r="I530" s="323">
        <v>0</v>
      </c>
      <c r="J530" s="323">
        <v>0</v>
      </c>
      <c r="K530" s="323">
        <v>0</v>
      </c>
      <c r="L530" s="323">
        <v>0</v>
      </c>
      <c r="M530" s="323"/>
      <c r="N530" s="323"/>
      <c r="O530" s="323"/>
      <c r="P530" s="323"/>
      <c r="Q530" s="323"/>
      <c r="R530" s="323"/>
      <c r="S530" s="323"/>
      <c r="T530" s="323"/>
      <c r="U530" s="323"/>
      <c r="V530" s="316">
        <f t="shared" si="52"/>
        <v>0</v>
      </c>
      <c r="W530" s="316">
        <v>799.35</v>
      </c>
      <c r="X530" s="316">
        <f t="shared" si="53"/>
        <v>0</v>
      </c>
      <c r="Y530" s="322">
        <f>X530/X529</f>
        <v>0</v>
      </c>
      <c r="Z530" s="572"/>
      <c r="AA530" s="567"/>
    </row>
    <row r="531" spans="1:27" s="311" customFormat="1" ht="15" customHeight="1" outlineLevel="1">
      <c r="A531" s="273">
        <v>527</v>
      </c>
      <c r="B531" s="273" t="s">
        <v>0</v>
      </c>
      <c r="C531" s="305" t="s">
        <v>791</v>
      </c>
      <c r="D531" s="306" t="s">
        <v>792</v>
      </c>
      <c r="E531" s="307" t="s">
        <v>791</v>
      </c>
      <c r="F531" s="553" t="str">
        <f t="shared" si="51"/>
        <v>PREVDisjuntor de caixa moldada para corrente contínua, bipolar, comando manual 125 Vcc, 2,0 A, 440 Vca, 10 kA(em 125 Vcc)</v>
      </c>
      <c r="G531" s="611" t="s">
        <v>74</v>
      </c>
      <c r="H531" s="307" t="s">
        <v>228</v>
      </c>
      <c r="I531" s="321">
        <v>0.2</v>
      </c>
      <c r="J531" s="321">
        <v>0.25</v>
      </c>
      <c r="K531" s="321">
        <v>0.25</v>
      </c>
      <c r="L531" s="321">
        <v>0.25</v>
      </c>
      <c r="M531" s="321">
        <v>0.25</v>
      </c>
      <c r="N531" s="321">
        <v>0.25</v>
      </c>
      <c r="O531" s="321">
        <v>0.25</v>
      </c>
      <c r="P531" s="321">
        <v>0.25</v>
      </c>
      <c r="Q531" s="321">
        <v>0.25</v>
      </c>
      <c r="R531" s="321">
        <v>0.25</v>
      </c>
      <c r="S531" s="321">
        <v>0.25</v>
      </c>
      <c r="T531" s="321">
        <v>0.25</v>
      </c>
      <c r="U531" s="321">
        <v>0.05</v>
      </c>
      <c r="V531" s="308">
        <f t="shared" si="52"/>
        <v>3</v>
      </c>
      <c r="W531" s="308">
        <v>361.91</v>
      </c>
      <c r="X531" s="308">
        <f t="shared" si="53"/>
        <v>1085.73</v>
      </c>
      <c r="Y531" s="322" t="s">
        <v>74</v>
      </c>
      <c r="Z531" s="575"/>
      <c r="AA531" s="567"/>
    </row>
    <row r="532" spans="1:27" s="318" customFormat="1" ht="15" customHeight="1" outlineLevel="1">
      <c r="A532" s="282">
        <v>528</v>
      </c>
      <c r="B532" s="282" t="s">
        <v>1</v>
      </c>
      <c r="C532" s="312" t="s">
        <v>791</v>
      </c>
      <c r="D532" s="313" t="s">
        <v>792</v>
      </c>
      <c r="E532" s="314" t="s">
        <v>791</v>
      </c>
      <c r="F532" s="553" t="str">
        <f t="shared" si="51"/>
        <v>REALDisjuntor de caixa moldada para corrente contínua, bipolar, comando manual 125 Vcc, 2,0 A, 440 Vca, 10 kA(em 125 Vcc)</v>
      </c>
      <c r="G532" s="609">
        <f>Y532</f>
        <v>0</v>
      </c>
      <c r="H532" s="315" t="s">
        <v>228</v>
      </c>
      <c r="I532" s="323">
        <v>0</v>
      </c>
      <c r="J532" s="323">
        <v>0</v>
      </c>
      <c r="K532" s="323">
        <v>0</v>
      </c>
      <c r="L532" s="323">
        <v>0</v>
      </c>
      <c r="M532" s="323"/>
      <c r="N532" s="323"/>
      <c r="O532" s="323"/>
      <c r="P532" s="323"/>
      <c r="Q532" s="323"/>
      <c r="R532" s="323"/>
      <c r="S532" s="323"/>
      <c r="T532" s="323"/>
      <c r="U532" s="323"/>
      <c r="V532" s="316">
        <f t="shared" si="52"/>
        <v>0</v>
      </c>
      <c r="W532" s="316">
        <v>361.91</v>
      </c>
      <c r="X532" s="316">
        <f t="shared" si="53"/>
        <v>0</v>
      </c>
      <c r="Y532" s="322">
        <f>X532/X531</f>
        <v>0</v>
      </c>
      <c r="Z532" s="572"/>
      <c r="AA532" s="567"/>
    </row>
    <row r="533" spans="1:27" s="311" customFormat="1" ht="15" customHeight="1" outlineLevel="1">
      <c r="A533" s="273">
        <v>529</v>
      </c>
      <c r="B533" s="273" t="s">
        <v>0</v>
      </c>
      <c r="C533" s="305" t="s">
        <v>793</v>
      </c>
      <c r="D533" s="306" t="s">
        <v>794</v>
      </c>
      <c r="E533" s="307" t="s">
        <v>793</v>
      </c>
      <c r="F533" s="553" t="str">
        <f t="shared" si="51"/>
        <v>PREVDisjuntor de caixa moldada para corrente contínua, bipolar, comando manual 125 Vcc, 25 A, 440 Vca, 10 kA (em 125 Vcc)</v>
      </c>
      <c r="G533" s="611" t="s">
        <v>74</v>
      </c>
      <c r="H533" s="307" t="s">
        <v>228</v>
      </c>
      <c r="I533" s="321">
        <v>0.2</v>
      </c>
      <c r="J533" s="321">
        <v>0.25</v>
      </c>
      <c r="K533" s="321">
        <v>0.25</v>
      </c>
      <c r="L533" s="321">
        <v>0.25</v>
      </c>
      <c r="M533" s="321">
        <v>0.25</v>
      </c>
      <c r="N533" s="321">
        <v>0.25</v>
      </c>
      <c r="O533" s="321">
        <v>0.25</v>
      </c>
      <c r="P533" s="321">
        <v>0.25</v>
      </c>
      <c r="Q533" s="321">
        <v>0.25</v>
      </c>
      <c r="R533" s="321">
        <v>0.25</v>
      </c>
      <c r="S533" s="321">
        <v>0.25</v>
      </c>
      <c r="T533" s="321">
        <v>0.25</v>
      </c>
      <c r="U533" s="321">
        <v>0.05</v>
      </c>
      <c r="V533" s="308">
        <f t="shared" si="52"/>
        <v>3</v>
      </c>
      <c r="W533" s="308">
        <v>439.9</v>
      </c>
      <c r="X533" s="308">
        <f t="shared" si="53"/>
        <v>1319.6999999999998</v>
      </c>
      <c r="Y533" s="322" t="s">
        <v>74</v>
      </c>
      <c r="Z533" s="575"/>
      <c r="AA533" s="567"/>
    </row>
    <row r="534" spans="1:27" s="318" customFormat="1" ht="15" customHeight="1" outlineLevel="1">
      <c r="A534" s="282">
        <v>530</v>
      </c>
      <c r="B534" s="282" t="s">
        <v>1</v>
      </c>
      <c r="C534" s="312" t="s">
        <v>793</v>
      </c>
      <c r="D534" s="313" t="s">
        <v>794</v>
      </c>
      <c r="E534" s="314" t="s">
        <v>793</v>
      </c>
      <c r="F534" s="553" t="str">
        <f t="shared" si="51"/>
        <v>REALDisjuntor de caixa moldada para corrente contínua, bipolar, comando manual 125 Vcc, 25 A, 440 Vca, 10 kA (em 125 Vcc)</v>
      </c>
      <c r="G534" s="609">
        <f>Y534</f>
        <v>0</v>
      </c>
      <c r="H534" s="315" t="s">
        <v>228</v>
      </c>
      <c r="I534" s="323">
        <v>0</v>
      </c>
      <c r="J534" s="323">
        <v>0</v>
      </c>
      <c r="K534" s="323">
        <v>0</v>
      </c>
      <c r="L534" s="323">
        <v>0</v>
      </c>
      <c r="M534" s="323"/>
      <c r="N534" s="323"/>
      <c r="O534" s="323"/>
      <c r="P534" s="323"/>
      <c r="Q534" s="323"/>
      <c r="R534" s="323"/>
      <c r="S534" s="323"/>
      <c r="T534" s="323"/>
      <c r="U534" s="323"/>
      <c r="V534" s="316">
        <f t="shared" si="52"/>
        <v>0</v>
      </c>
      <c r="W534" s="316">
        <v>439.9</v>
      </c>
      <c r="X534" s="316">
        <f t="shared" si="53"/>
        <v>0</v>
      </c>
      <c r="Y534" s="322">
        <f>X534/X533</f>
        <v>0</v>
      </c>
      <c r="Z534" s="572"/>
      <c r="AA534" s="567"/>
    </row>
    <row r="535" spans="1:27" s="311" customFormat="1" ht="15" customHeight="1" outlineLevel="1">
      <c r="A535" s="273">
        <v>531</v>
      </c>
      <c r="B535" s="273" t="s">
        <v>0</v>
      </c>
      <c r="C535" s="305" t="s">
        <v>795</v>
      </c>
      <c r="D535" s="306" t="s">
        <v>796</v>
      </c>
      <c r="E535" s="307" t="s">
        <v>795</v>
      </c>
      <c r="F535" s="553" t="str">
        <f t="shared" si="51"/>
        <v>PREVDisjuntor de caixa moldada para corrente contínua, bipolar, comando manual 125_x000D_
Vcc,20 A, 440 Vca, 10 kA (em 125 Vcc)</v>
      </c>
      <c r="G535" s="611" t="s">
        <v>74</v>
      </c>
      <c r="H535" s="307" t="s">
        <v>228</v>
      </c>
      <c r="I535" s="321">
        <v>0.7360000000000001</v>
      </c>
      <c r="J535" s="321">
        <v>0.92</v>
      </c>
      <c r="K535" s="321">
        <v>0.92</v>
      </c>
      <c r="L535" s="321">
        <v>0.92</v>
      </c>
      <c r="M535" s="321">
        <v>0.92</v>
      </c>
      <c r="N535" s="321">
        <v>0.92</v>
      </c>
      <c r="O535" s="321">
        <v>0.92</v>
      </c>
      <c r="P535" s="321">
        <v>0.92</v>
      </c>
      <c r="Q535" s="321">
        <v>0.91</v>
      </c>
      <c r="R535" s="321">
        <v>0.91</v>
      </c>
      <c r="S535" s="321">
        <v>0.91</v>
      </c>
      <c r="T535" s="321">
        <v>0.91</v>
      </c>
      <c r="U535" s="321">
        <v>0.18200000000000002</v>
      </c>
      <c r="V535" s="308">
        <f t="shared" si="52"/>
        <v>10.998000000000001</v>
      </c>
      <c r="W535" s="308">
        <v>456.91</v>
      </c>
      <c r="X535" s="308">
        <f t="shared" si="53"/>
        <v>5025.0961800000005</v>
      </c>
      <c r="Y535" s="322" t="s">
        <v>74</v>
      </c>
      <c r="Z535" s="575"/>
      <c r="AA535" s="567"/>
    </row>
    <row r="536" spans="1:27" s="318" customFormat="1" ht="15" customHeight="1" outlineLevel="1">
      <c r="A536" s="282">
        <v>532</v>
      </c>
      <c r="B536" s="282" t="s">
        <v>1</v>
      </c>
      <c r="C536" s="312" t="s">
        <v>795</v>
      </c>
      <c r="D536" s="313" t="s">
        <v>796</v>
      </c>
      <c r="E536" s="314" t="s">
        <v>795</v>
      </c>
      <c r="F536" s="553" t="str">
        <f t="shared" si="51"/>
        <v>REALDisjuntor de caixa moldada para corrente contínua, bipolar, comando manual 125_x000D_
Vcc,20 A, 440 Vca, 10 kA (em 125 Vcc)</v>
      </c>
      <c r="G536" s="609">
        <f>Y536</f>
        <v>0</v>
      </c>
      <c r="H536" s="315" t="s">
        <v>228</v>
      </c>
      <c r="I536" s="323">
        <v>0</v>
      </c>
      <c r="J536" s="323">
        <v>0</v>
      </c>
      <c r="K536" s="323">
        <v>0</v>
      </c>
      <c r="L536" s="323">
        <v>0</v>
      </c>
      <c r="M536" s="323"/>
      <c r="N536" s="323"/>
      <c r="O536" s="323"/>
      <c r="P536" s="323"/>
      <c r="Q536" s="323"/>
      <c r="R536" s="323"/>
      <c r="S536" s="323"/>
      <c r="T536" s="323"/>
      <c r="U536" s="323"/>
      <c r="V536" s="316">
        <f t="shared" si="52"/>
        <v>0</v>
      </c>
      <c r="W536" s="316">
        <v>456.91</v>
      </c>
      <c r="X536" s="316">
        <f t="shared" si="53"/>
        <v>0</v>
      </c>
      <c r="Y536" s="322">
        <f>X536/X535</f>
        <v>0</v>
      </c>
      <c r="Z536" s="572"/>
      <c r="AA536" s="567"/>
    </row>
    <row r="537" spans="1:27" s="311" customFormat="1" ht="15" customHeight="1" outlineLevel="1">
      <c r="A537" s="273">
        <v>533</v>
      </c>
      <c r="B537" s="273" t="s">
        <v>0</v>
      </c>
      <c r="C537" s="305" t="s">
        <v>797</v>
      </c>
      <c r="D537" s="306" t="s">
        <v>798</v>
      </c>
      <c r="E537" s="307" t="s">
        <v>797</v>
      </c>
      <c r="F537" s="553" t="str">
        <f t="shared" si="51"/>
        <v>PREVDisjuntor de caixa moldada para corrente contínua, tripolar, 125 Vcc, 690 Vca, 36 kA (em 250 Vcc), frame/corrente=160 A/160 A</v>
      </c>
      <c r="G537" s="611" t="s">
        <v>74</v>
      </c>
      <c r="H537" s="307" t="s">
        <v>228</v>
      </c>
      <c r="I537" s="321">
        <v>0.2</v>
      </c>
      <c r="J537" s="321">
        <v>0.25</v>
      </c>
      <c r="K537" s="321">
        <v>0.25</v>
      </c>
      <c r="L537" s="321">
        <v>0.25</v>
      </c>
      <c r="M537" s="321">
        <v>0.25</v>
      </c>
      <c r="N537" s="321">
        <v>0.25</v>
      </c>
      <c r="O537" s="321">
        <v>0.25</v>
      </c>
      <c r="P537" s="321">
        <v>0.25</v>
      </c>
      <c r="Q537" s="321">
        <v>0.25</v>
      </c>
      <c r="R537" s="321">
        <v>0.25</v>
      </c>
      <c r="S537" s="321">
        <v>0.25</v>
      </c>
      <c r="T537" s="321">
        <v>0.25</v>
      </c>
      <c r="U537" s="321">
        <v>0.05</v>
      </c>
      <c r="V537" s="308">
        <f t="shared" si="52"/>
        <v>3</v>
      </c>
      <c r="W537" s="308">
        <v>3156.48</v>
      </c>
      <c r="X537" s="308">
        <f t="shared" si="53"/>
        <v>9469.44</v>
      </c>
      <c r="Y537" s="322" t="s">
        <v>74</v>
      </c>
      <c r="Z537" s="575"/>
      <c r="AA537" s="567"/>
    </row>
    <row r="538" spans="1:27" s="318" customFormat="1" ht="15" customHeight="1" outlineLevel="1">
      <c r="A538" s="282">
        <v>534</v>
      </c>
      <c r="B538" s="282" t="s">
        <v>1</v>
      </c>
      <c r="C538" s="312" t="s">
        <v>797</v>
      </c>
      <c r="D538" s="313" t="s">
        <v>798</v>
      </c>
      <c r="E538" s="314" t="s">
        <v>797</v>
      </c>
      <c r="F538" s="553" t="str">
        <f t="shared" si="51"/>
        <v>REALDisjuntor de caixa moldada para corrente contínua, tripolar, 125 Vcc, 690 Vca, 36 kA (em 250 Vcc), frame/corrente=160 A/160 A</v>
      </c>
      <c r="G538" s="609">
        <f>Y538</f>
        <v>0</v>
      </c>
      <c r="H538" s="315" t="s">
        <v>228</v>
      </c>
      <c r="I538" s="323">
        <v>0</v>
      </c>
      <c r="J538" s="323">
        <v>0</v>
      </c>
      <c r="K538" s="323">
        <v>0</v>
      </c>
      <c r="L538" s="323">
        <v>0</v>
      </c>
      <c r="M538" s="323"/>
      <c r="N538" s="323"/>
      <c r="O538" s="323"/>
      <c r="P538" s="323"/>
      <c r="Q538" s="323"/>
      <c r="R538" s="323"/>
      <c r="S538" s="323"/>
      <c r="T538" s="323"/>
      <c r="U538" s="323"/>
      <c r="V538" s="316">
        <f t="shared" si="52"/>
        <v>0</v>
      </c>
      <c r="W538" s="316">
        <v>3156.48</v>
      </c>
      <c r="X538" s="316">
        <f t="shared" si="53"/>
        <v>0</v>
      </c>
      <c r="Y538" s="322">
        <f>X538/X537</f>
        <v>0</v>
      </c>
      <c r="Z538" s="572"/>
      <c r="AA538" s="567"/>
    </row>
    <row r="539" spans="1:27" s="311" customFormat="1" ht="15" customHeight="1" outlineLevel="1">
      <c r="A539" s="273">
        <v>535</v>
      </c>
      <c r="B539" s="273" t="s">
        <v>0</v>
      </c>
      <c r="C539" s="305" t="s">
        <v>799</v>
      </c>
      <c r="D539" s="306" t="s">
        <v>800</v>
      </c>
      <c r="E539" s="307" t="s">
        <v>799</v>
      </c>
      <c r="F539" s="553" t="str">
        <f t="shared" si="51"/>
        <v>PREVDisjuntor de caixa moldada para corrente contínua, tripolar, comando motorizado, 125 Vcc, 690 Vca, 36 kA (em 250 Vcc), frame/corrente = 160 a/160 A</v>
      </c>
      <c r="G539" s="611" t="s">
        <v>74</v>
      </c>
      <c r="H539" s="307" t="s">
        <v>228</v>
      </c>
      <c r="I539" s="321">
        <v>0.2</v>
      </c>
      <c r="J539" s="321">
        <v>0.25</v>
      </c>
      <c r="K539" s="321">
        <v>0.25</v>
      </c>
      <c r="L539" s="321">
        <v>0.25</v>
      </c>
      <c r="M539" s="321">
        <v>0.25</v>
      </c>
      <c r="N539" s="321">
        <v>0.25</v>
      </c>
      <c r="O539" s="321">
        <v>0.25</v>
      </c>
      <c r="P539" s="321">
        <v>0.25</v>
      </c>
      <c r="Q539" s="321">
        <v>0.25</v>
      </c>
      <c r="R539" s="321">
        <v>0.25</v>
      </c>
      <c r="S539" s="321">
        <v>0.25</v>
      </c>
      <c r="T539" s="321">
        <v>0.25</v>
      </c>
      <c r="U539" s="321">
        <v>0.05</v>
      </c>
      <c r="V539" s="308">
        <f t="shared" si="52"/>
        <v>3</v>
      </c>
      <c r="W539" s="308">
        <v>4119.6099999999997</v>
      </c>
      <c r="X539" s="308">
        <f t="shared" si="53"/>
        <v>12358.829999999998</v>
      </c>
      <c r="Y539" s="322" t="s">
        <v>74</v>
      </c>
      <c r="Z539" s="575"/>
      <c r="AA539" s="567"/>
    </row>
    <row r="540" spans="1:27" s="318" customFormat="1" ht="15" customHeight="1" outlineLevel="1">
      <c r="A540" s="282">
        <v>536</v>
      </c>
      <c r="B540" s="282" t="s">
        <v>1</v>
      </c>
      <c r="C540" s="312" t="s">
        <v>799</v>
      </c>
      <c r="D540" s="313" t="s">
        <v>800</v>
      </c>
      <c r="E540" s="314" t="s">
        <v>799</v>
      </c>
      <c r="F540" s="553" t="str">
        <f t="shared" si="51"/>
        <v>REALDisjuntor de caixa moldada para corrente contínua, tripolar, comando motorizado, 125 Vcc, 690 Vca, 36 kA (em 250 Vcc), frame/corrente = 160 a/160 A</v>
      </c>
      <c r="G540" s="609">
        <f>Y540</f>
        <v>0</v>
      </c>
      <c r="H540" s="315" t="s">
        <v>228</v>
      </c>
      <c r="I540" s="323">
        <v>0</v>
      </c>
      <c r="J540" s="323">
        <v>0</v>
      </c>
      <c r="K540" s="323">
        <v>0</v>
      </c>
      <c r="L540" s="323">
        <v>0</v>
      </c>
      <c r="M540" s="323"/>
      <c r="N540" s="323"/>
      <c r="O540" s="323"/>
      <c r="P540" s="323"/>
      <c r="Q540" s="323"/>
      <c r="R540" s="323"/>
      <c r="S540" s="323"/>
      <c r="T540" s="323"/>
      <c r="U540" s="323"/>
      <c r="V540" s="316">
        <f t="shared" si="52"/>
        <v>0</v>
      </c>
      <c r="W540" s="316">
        <v>4119.6099999999997</v>
      </c>
      <c r="X540" s="316">
        <f t="shared" si="53"/>
        <v>0</v>
      </c>
      <c r="Y540" s="322">
        <f>X540/X539</f>
        <v>0</v>
      </c>
      <c r="Z540" s="572"/>
      <c r="AA540" s="567"/>
    </row>
    <row r="541" spans="1:27" s="311" customFormat="1" ht="15" customHeight="1" outlineLevel="1">
      <c r="A541" s="273">
        <v>537</v>
      </c>
      <c r="B541" s="273" t="s">
        <v>0</v>
      </c>
      <c r="C541" s="305" t="s">
        <v>801</v>
      </c>
      <c r="D541" s="306" t="s">
        <v>802</v>
      </c>
      <c r="E541" s="307" t="s">
        <v>801</v>
      </c>
      <c r="F541" s="553" t="str">
        <f t="shared" si="51"/>
        <v>PREVDisjuntor monopolar termomagnético 2A, curva c, 18ka (230/400V) ‐_x000D_
(código:5sx2102‐7)</v>
      </c>
      <c r="G541" s="611" t="s">
        <v>74</v>
      </c>
      <c r="H541" s="307" t="s">
        <v>228</v>
      </c>
      <c r="I541" s="321">
        <v>0.33600000000000002</v>
      </c>
      <c r="J541" s="321">
        <v>0.42</v>
      </c>
      <c r="K541" s="321">
        <v>0.42</v>
      </c>
      <c r="L541" s="321">
        <v>0.42</v>
      </c>
      <c r="M541" s="321">
        <v>0.42</v>
      </c>
      <c r="N541" s="321">
        <v>0.42</v>
      </c>
      <c r="O541" s="321">
        <v>0.42</v>
      </c>
      <c r="P541" s="321">
        <v>0.42</v>
      </c>
      <c r="Q541" s="321">
        <v>0.41</v>
      </c>
      <c r="R541" s="321">
        <v>0.41</v>
      </c>
      <c r="S541" s="321">
        <v>0.41</v>
      </c>
      <c r="T541" s="321">
        <v>0.41</v>
      </c>
      <c r="U541" s="321">
        <v>8.2000000000000003E-2</v>
      </c>
      <c r="V541" s="308">
        <f t="shared" si="52"/>
        <v>4.9980000000000002</v>
      </c>
      <c r="W541" s="308">
        <v>76.239999999999995</v>
      </c>
      <c r="X541" s="308">
        <f t="shared" si="53"/>
        <v>381.04751999999996</v>
      </c>
      <c r="Y541" s="322" t="s">
        <v>74</v>
      </c>
      <c r="Z541" s="575"/>
      <c r="AA541" s="567"/>
    </row>
    <row r="542" spans="1:27" s="318" customFormat="1" ht="15" customHeight="1" outlineLevel="1">
      <c r="A542" s="282">
        <v>538</v>
      </c>
      <c r="B542" s="282" t="s">
        <v>1</v>
      </c>
      <c r="C542" s="312" t="s">
        <v>801</v>
      </c>
      <c r="D542" s="313" t="s">
        <v>802</v>
      </c>
      <c r="E542" s="314" t="s">
        <v>801</v>
      </c>
      <c r="F542" s="553" t="str">
        <f t="shared" si="51"/>
        <v>REALDisjuntor monopolar termomagnético 2A, curva c, 18ka (230/400V) ‐_x000D_
(código:5sx2102‐7)</v>
      </c>
      <c r="G542" s="609">
        <f>Y542</f>
        <v>0</v>
      </c>
      <c r="H542" s="315" t="s">
        <v>228</v>
      </c>
      <c r="I542" s="323">
        <v>0</v>
      </c>
      <c r="J542" s="323">
        <v>0</v>
      </c>
      <c r="K542" s="323">
        <v>0</v>
      </c>
      <c r="L542" s="323">
        <v>0</v>
      </c>
      <c r="M542" s="323"/>
      <c r="N542" s="323"/>
      <c r="O542" s="323"/>
      <c r="P542" s="323"/>
      <c r="Q542" s="323"/>
      <c r="R542" s="323"/>
      <c r="S542" s="323"/>
      <c r="T542" s="323"/>
      <c r="U542" s="323"/>
      <c r="V542" s="316">
        <f t="shared" si="52"/>
        <v>0</v>
      </c>
      <c r="W542" s="316">
        <v>76.239999999999995</v>
      </c>
      <c r="X542" s="316">
        <f t="shared" si="53"/>
        <v>0</v>
      </c>
      <c r="Y542" s="322">
        <f>X542/X541</f>
        <v>0</v>
      </c>
      <c r="Z542" s="572"/>
      <c r="AA542" s="567"/>
    </row>
    <row r="543" spans="1:27" s="311" customFormat="1" ht="15" customHeight="1" outlineLevel="1">
      <c r="A543" s="273">
        <v>539</v>
      </c>
      <c r="B543" s="273" t="s">
        <v>0</v>
      </c>
      <c r="C543" s="305" t="s">
        <v>803</v>
      </c>
      <c r="D543" s="306" t="s">
        <v>804</v>
      </c>
      <c r="E543" s="307" t="s">
        <v>803</v>
      </c>
      <c r="F543" s="553" t="str">
        <f t="shared" si="51"/>
        <v>PREVDisjuntor monopolar, 10 a, s61 c10</v>
      </c>
      <c r="G543" s="611" t="s">
        <v>74</v>
      </c>
      <c r="H543" s="307" t="s">
        <v>228</v>
      </c>
      <c r="I543" s="321">
        <v>0.33600000000000002</v>
      </c>
      <c r="J543" s="321">
        <v>0.42</v>
      </c>
      <c r="K543" s="321">
        <v>0.42</v>
      </c>
      <c r="L543" s="321">
        <v>0.42</v>
      </c>
      <c r="M543" s="321">
        <v>0.42</v>
      </c>
      <c r="N543" s="321">
        <v>0.42</v>
      </c>
      <c r="O543" s="321">
        <v>0.42</v>
      </c>
      <c r="P543" s="321">
        <v>0.42</v>
      </c>
      <c r="Q543" s="321">
        <v>0.41</v>
      </c>
      <c r="R543" s="321">
        <v>0.41</v>
      </c>
      <c r="S543" s="321">
        <v>0.41</v>
      </c>
      <c r="T543" s="321">
        <v>0.41</v>
      </c>
      <c r="U543" s="321">
        <v>8.2000000000000003E-2</v>
      </c>
      <c r="V543" s="308">
        <f t="shared" si="52"/>
        <v>4.9980000000000002</v>
      </c>
      <c r="W543" s="308">
        <v>11.21</v>
      </c>
      <c r="X543" s="308">
        <f t="shared" si="53"/>
        <v>56.027580000000007</v>
      </c>
      <c r="Y543" s="322" t="s">
        <v>74</v>
      </c>
      <c r="Z543" s="575"/>
      <c r="AA543" s="567"/>
    </row>
    <row r="544" spans="1:27" s="318" customFormat="1" ht="15" customHeight="1" outlineLevel="1">
      <c r="A544" s="282">
        <v>540</v>
      </c>
      <c r="B544" s="282" t="s">
        <v>1</v>
      </c>
      <c r="C544" s="312" t="s">
        <v>803</v>
      </c>
      <c r="D544" s="313" t="s">
        <v>804</v>
      </c>
      <c r="E544" s="314" t="s">
        <v>803</v>
      </c>
      <c r="F544" s="553" t="str">
        <f t="shared" si="51"/>
        <v>REALDisjuntor monopolar, 10 a, s61 c10</v>
      </c>
      <c r="G544" s="609">
        <f>Y544</f>
        <v>0.40016006402561022</v>
      </c>
      <c r="H544" s="315" t="s">
        <v>228</v>
      </c>
      <c r="I544" s="323">
        <v>0</v>
      </c>
      <c r="J544" s="323">
        <v>0</v>
      </c>
      <c r="K544" s="323">
        <v>0</v>
      </c>
      <c r="L544" s="323">
        <v>2</v>
      </c>
      <c r="M544" s="323"/>
      <c r="N544" s="323"/>
      <c r="O544" s="323"/>
      <c r="P544" s="323"/>
      <c r="Q544" s="323"/>
      <c r="R544" s="323"/>
      <c r="S544" s="323"/>
      <c r="T544" s="323"/>
      <c r="U544" s="323"/>
      <c r="V544" s="316">
        <f t="shared" si="52"/>
        <v>2</v>
      </c>
      <c r="W544" s="316">
        <v>11.21</v>
      </c>
      <c r="X544" s="316">
        <f t="shared" si="53"/>
        <v>22.42</v>
      </c>
      <c r="Y544" s="322">
        <f>X544/X543</f>
        <v>0.40016006402561022</v>
      </c>
      <c r="Z544" s="572"/>
      <c r="AA544" s="567"/>
    </row>
    <row r="545" spans="1:27" s="311" customFormat="1" ht="15" customHeight="1" outlineLevel="1">
      <c r="A545" s="273">
        <v>541</v>
      </c>
      <c r="B545" s="273" t="s">
        <v>0</v>
      </c>
      <c r="C545" s="305" t="s">
        <v>805</v>
      </c>
      <c r="D545" s="306" t="s">
        <v>806</v>
      </c>
      <c r="E545" s="307" t="s">
        <v>805</v>
      </c>
      <c r="F545" s="553" t="str">
        <f t="shared" si="51"/>
        <v>PREVDisjuntor monopolar, 16 a, s61 c16</v>
      </c>
      <c r="G545" s="611" t="s">
        <v>74</v>
      </c>
      <c r="H545" s="307" t="s">
        <v>228</v>
      </c>
      <c r="I545" s="321">
        <v>0.33600000000000002</v>
      </c>
      <c r="J545" s="321">
        <v>0.42</v>
      </c>
      <c r="K545" s="321">
        <v>0.42</v>
      </c>
      <c r="L545" s="321">
        <v>0.42</v>
      </c>
      <c r="M545" s="321">
        <v>0.42</v>
      </c>
      <c r="N545" s="321">
        <v>0.42</v>
      </c>
      <c r="O545" s="321">
        <v>0.42</v>
      </c>
      <c r="P545" s="321">
        <v>0.42</v>
      </c>
      <c r="Q545" s="321">
        <v>0.41</v>
      </c>
      <c r="R545" s="321">
        <v>0.41</v>
      </c>
      <c r="S545" s="321">
        <v>0.41</v>
      </c>
      <c r="T545" s="321">
        <v>0.41</v>
      </c>
      <c r="U545" s="321">
        <v>8.2000000000000003E-2</v>
      </c>
      <c r="V545" s="308">
        <f t="shared" si="52"/>
        <v>4.9980000000000002</v>
      </c>
      <c r="W545" s="308">
        <v>11.21</v>
      </c>
      <c r="X545" s="308">
        <f t="shared" si="53"/>
        <v>56.027580000000007</v>
      </c>
      <c r="Y545" s="322" t="s">
        <v>74</v>
      </c>
      <c r="Z545" s="575"/>
      <c r="AA545" s="567"/>
    </row>
    <row r="546" spans="1:27" s="318" customFormat="1" ht="15" customHeight="1" outlineLevel="1">
      <c r="A546" s="282">
        <v>542</v>
      </c>
      <c r="B546" s="282" t="s">
        <v>1</v>
      </c>
      <c r="C546" s="312" t="s">
        <v>805</v>
      </c>
      <c r="D546" s="313" t="s">
        <v>806</v>
      </c>
      <c r="E546" s="314" t="s">
        <v>805</v>
      </c>
      <c r="F546" s="553" t="str">
        <f t="shared" si="51"/>
        <v>REALDisjuntor monopolar, 16 a, s61 c16</v>
      </c>
      <c r="G546" s="609">
        <f>Y546</f>
        <v>0</v>
      </c>
      <c r="H546" s="315" t="s">
        <v>228</v>
      </c>
      <c r="I546" s="323">
        <v>0</v>
      </c>
      <c r="J546" s="323">
        <v>0</v>
      </c>
      <c r="K546" s="323">
        <v>0</v>
      </c>
      <c r="L546" s="323">
        <v>0</v>
      </c>
      <c r="M546" s="323"/>
      <c r="N546" s="323"/>
      <c r="O546" s="323"/>
      <c r="P546" s="323"/>
      <c r="Q546" s="323"/>
      <c r="R546" s="323"/>
      <c r="S546" s="323"/>
      <c r="T546" s="323"/>
      <c r="U546" s="323"/>
      <c r="V546" s="316">
        <f t="shared" si="52"/>
        <v>0</v>
      </c>
      <c r="W546" s="316">
        <v>11.21</v>
      </c>
      <c r="X546" s="316">
        <f t="shared" si="53"/>
        <v>0</v>
      </c>
      <c r="Y546" s="322">
        <f>X546/X545</f>
        <v>0</v>
      </c>
      <c r="Z546" s="572"/>
      <c r="AA546" s="567"/>
    </row>
    <row r="547" spans="1:27" s="311" customFormat="1" ht="15" customHeight="1" outlineLevel="1">
      <c r="A547" s="273">
        <v>543</v>
      </c>
      <c r="B547" s="273" t="s">
        <v>0</v>
      </c>
      <c r="C547" s="305" t="s">
        <v>807</v>
      </c>
      <c r="D547" s="306" t="s">
        <v>808</v>
      </c>
      <c r="E547" s="307" t="s">
        <v>807</v>
      </c>
      <c r="F547" s="553" t="str">
        <f t="shared" si="51"/>
        <v>PREVDisjuntor termomagnético , bipolar , corrente 10A, 440 V, 10 kA (em 125 Vcc), comando manual</v>
      </c>
      <c r="G547" s="611" t="s">
        <v>74</v>
      </c>
      <c r="H547" s="307" t="s">
        <v>228</v>
      </c>
      <c r="I547" s="321">
        <v>0.2</v>
      </c>
      <c r="J547" s="321">
        <v>0.25</v>
      </c>
      <c r="K547" s="321">
        <v>0.25</v>
      </c>
      <c r="L547" s="321">
        <v>0.25</v>
      </c>
      <c r="M547" s="321">
        <v>0.25</v>
      </c>
      <c r="N547" s="321">
        <v>0.25</v>
      </c>
      <c r="O547" s="321">
        <v>0.25</v>
      </c>
      <c r="P547" s="321">
        <v>0.25</v>
      </c>
      <c r="Q547" s="321">
        <v>0.25</v>
      </c>
      <c r="R547" s="321">
        <v>0.25</v>
      </c>
      <c r="S547" s="321">
        <v>0.25</v>
      </c>
      <c r="T547" s="321">
        <v>0.25</v>
      </c>
      <c r="U547" s="321">
        <v>0.05</v>
      </c>
      <c r="V547" s="308">
        <f t="shared" si="52"/>
        <v>3</v>
      </c>
      <c r="W547" s="308">
        <v>175.77</v>
      </c>
      <c r="X547" s="308">
        <f t="shared" si="53"/>
        <v>527.31000000000006</v>
      </c>
      <c r="Y547" s="322" t="s">
        <v>74</v>
      </c>
      <c r="Z547" s="575"/>
      <c r="AA547" s="567"/>
    </row>
    <row r="548" spans="1:27" s="318" customFormat="1" ht="15" customHeight="1" outlineLevel="1">
      <c r="A548" s="282">
        <v>544</v>
      </c>
      <c r="B548" s="282" t="s">
        <v>1</v>
      </c>
      <c r="C548" s="312" t="s">
        <v>807</v>
      </c>
      <c r="D548" s="313" t="s">
        <v>808</v>
      </c>
      <c r="E548" s="314" t="s">
        <v>807</v>
      </c>
      <c r="F548" s="553" t="str">
        <f t="shared" si="51"/>
        <v>REALDisjuntor termomagnético , bipolar , corrente 10A, 440 V, 10 kA (em 125 Vcc), comando manual</v>
      </c>
      <c r="G548" s="609">
        <f>Y548</f>
        <v>0</v>
      </c>
      <c r="H548" s="315" t="s">
        <v>228</v>
      </c>
      <c r="I548" s="323">
        <v>0</v>
      </c>
      <c r="J548" s="323">
        <v>0</v>
      </c>
      <c r="K548" s="323">
        <v>0</v>
      </c>
      <c r="L548" s="323">
        <v>0</v>
      </c>
      <c r="M548" s="323"/>
      <c r="N548" s="323"/>
      <c r="O548" s="323"/>
      <c r="P548" s="323"/>
      <c r="Q548" s="323"/>
      <c r="R548" s="323"/>
      <c r="S548" s="323"/>
      <c r="T548" s="323"/>
      <c r="U548" s="323"/>
      <c r="V548" s="316">
        <f t="shared" si="52"/>
        <v>0</v>
      </c>
      <c r="W548" s="316">
        <v>175.77</v>
      </c>
      <c r="X548" s="316">
        <f t="shared" si="53"/>
        <v>0</v>
      </c>
      <c r="Y548" s="322">
        <f>X548/X547</f>
        <v>0</v>
      </c>
      <c r="Z548" s="572"/>
      <c r="AA548" s="567"/>
    </row>
    <row r="549" spans="1:27" s="311" customFormat="1" ht="15" customHeight="1" outlineLevel="1">
      <c r="A549" s="273">
        <v>545</v>
      </c>
      <c r="B549" s="273" t="s">
        <v>0</v>
      </c>
      <c r="C549" s="305" t="s">
        <v>809</v>
      </c>
      <c r="D549" s="663" t="s">
        <v>810</v>
      </c>
      <c r="E549" s="307" t="s">
        <v>809</v>
      </c>
      <c r="F549" s="553" t="str">
        <f t="shared" si="51"/>
        <v>PREVDisjuntor termomagnético , monopolar , corrente 10A, 440 V, 20 kA (em 230 Vca), comando manual</v>
      </c>
      <c r="G549" s="611" t="s">
        <v>74</v>
      </c>
      <c r="H549" s="307" t="s">
        <v>228</v>
      </c>
      <c r="I549" s="321">
        <v>0.2</v>
      </c>
      <c r="J549" s="321">
        <v>0.25</v>
      </c>
      <c r="K549" s="321">
        <v>0.25</v>
      </c>
      <c r="L549" s="321">
        <v>0.25</v>
      </c>
      <c r="M549" s="321">
        <v>0.25</v>
      </c>
      <c r="N549" s="321">
        <v>0.25</v>
      </c>
      <c r="O549" s="321">
        <v>0.25</v>
      </c>
      <c r="P549" s="321">
        <v>0.25</v>
      </c>
      <c r="Q549" s="321">
        <v>0.25</v>
      </c>
      <c r="R549" s="321">
        <v>0.25</v>
      </c>
      <c r="S549" s="321">
        <v>0.25</v>
      </c>
      <c r="T549" s="321">
        <v>0.25</v>
      </c>
      <c r="U549" s="321">
        <v>0.05</v>
      </c>
      <c r="V549" s="308">
        <f t="shared" si="52"/>
        <v>3</v>
      </c>
      <c r="W549" s="308">
        <v>62.94</v>
      </c>
      <c r="X549" s="308">
        <f t="shared" si="53"/>
        <v>188.82</v>
      </c>
      <c r="Y549" s="322" t="s">
        <v>74</v>
      </c>
      <c r="Z549" s="575"/>
      <c r="AA549" s="567"/>
    </row>
    <row r="550" spans="1:27" s="318" customFormat="1" ht="15" customHeight="1" outlineLevel="1">
      <c r="A550" s="282">
        <v>546</v>
      </c>
      <c r="B550" s="282" t="s">
        <v>1</v>
      </c>
      <c r="C550" s="312" t="s">
        <v>809</v>
      </c>
      <c r="D550" s="313" t="s">
        <v>810</v>
      </c>
      <c r="E550" s="314" t="s">
        <v>809</v>
      </c>
      <c r="F550" s="553" t="str">
        <f t="shared" si="51"/>
        <v>REALDisjuntor termomagnético , monopolar , corrente 10A, 440 V, 20 kA (em 230 Vca), comando manual</v>
      </c>
      <c r="G550" s="609">
        <f>Y550</f>
        <v>0</v>
      </c>
      <c r="H550" s="315" t="s">
        <v>228</v>
      </c>
      <c r="I550" s="323">
        <v>0</v>
      </c>
      <c r="J550" s="323">
        <v>0</v>
      </c>
      <c r="K550" s="323">
        <v>0</v>
      </c>
      <c r="L550" s="323">
        <v>0</v>
      </c>
      <c r="M550" s="323"/>
      <c r="N550" s="323"/>
      <c r="O550" s="323"/>
      <c r="P550" s="323"/>
      <c r="Q550" s="323"/>
      <c r="R550" s="323"/>
      <c r="S550" s="323"/>
      <c r="T550" s="323"/>
      <c r="U550" s="323"/>
      <c r="V550" s="316">
        <f t="shared" si="52"/>
        <v>0</v>
      </c>
      <c r="W550" s="316">
        <v>62.94</v>
      </c>
      <c r="X550" s="316">
        <f t="shared" si="53"/>
        <v>0</v>
      </c>
      <c r="Y550" s="322">
        <f>X550/X549</f>
        <v>0</v>
      </c>
      <c r="Z550" s="572"/>
      <c r="AA550" s="567"/>
    </row>
    <row r="551" spans="1:27" s="311" customFormat="1" ht="15" customHeight="1" outlineLevel="1">
      <c r="A551" s="273">
        <v>547</v>
      </c>
      <c r="B551" s="273" t="s">
        <v>0</v>
      </c>
      <c r="C551" s="305" t="s">
        <v>811</v>
      </c>
      <c r="D551" s="306" t="s">
        <v>812</v>
      </c>
      <c r="E551" s="307" t="s">
        <v>811</v>
      </c>
      <c r="F551" s="553" t="str">
        <f t="shared" si="51"/>
        <v>PREVDisjuntor termomagnético tipo: 5sx2 206‐7‐0,5A‐440V+5sx9 100+5sx9 200</v>
      </c>
      <c r="G551" s="611" t="s">
        <v>74</v>
      </c>
      <c r="H551" s="307" t="s">
        <v>228</v>
      </c>
      <c r="I551" s="321">
        <v>0.2</v>
      </c>
      <c r="J551" s="321">
        <v>0.25</v>
      </c>
      <c r="K551" s="321">
        <v>0.25</v>
      </c>
      <c r="L551" s="321">
        <v>0.25</v>
      </c>
      <c r="M551" s="321">
        <v>0.25</v>
      </c>
      <c r="N551" s="321">
        <v>0.25</v>
      </c>
      <c r="O551" s="321">
        <v>0.25</v>
      </c>
      <c r="P551" s="321">
        <v>0.25</v>
      </c>
      <c r="Q551" s="321">
        <v>0.25</v>
      </c>
      <c r="R551" s="321">
        <v>0.25</v>
      </c>
      <c r="S551" s="321">
        <v>0.25</v>
      </c>
      <c r="T551" s="321">
        <v>0.25</v>
      </c>
      <c r="U551" s="321">
        <v>0.05</v>
      </c>
      <c r="V551" s="308">
        <f t="shared" si="52"/>
        <v>3</v>
      </c>
      <c r="W551" s="308">
        <v>171.78</v>
      </c>
      <c r="X551" s="308">
        <f t="shared" si="53"/>
        <v>515.34</v>
      </c>
      <c r="Y551" s="322" t="s">
        <v>74</v>
      </c>
      <c r="Z551" s="575"/>
      <c r="AA551" s="567"/>
    </row>
    <row r="552" spans="1:27" s="318" customFormat="1" ht="15" customHeight="1" outlineLevel="1">
      <c r="A552" s="282">
        <v>548</v>
      </c>
      <c r="B552" s="282" t="s">
        <v>1</v>
      </c>
      <c r="C552" s="312" t="s">
        <v>811</v>
      </c>
      <c r="D552" s="313" t="s">
        <v>812</v>
      </c>
      <c r="E552" s="314" t="s">
        <v>811</v>
      </c>
      <c r="F552" s="553" t="str">
        <f t="shared" si="51"/>
        <v>REALDisjuntor termomagnético tipo: 5sx2 206‐7‐0,5A‐440V+5sx9 100+5sx9 200</v>
      </c>
      <c r="G552" s="609">
        <f>Y552</f>
        <v>0</v>
      </c>
      <c r="H552" s="315" t="s">
        <v>228</v>
      </c>
      <c r="I552" s="323">
        <v>0</v>
      </c>
      <c r="J552" s="323">
        <v>0</v>
      </c>
      <c r="K552" s="323">
        <v>0</v>
      </c>
      <c r="L552" s="323">
        <v>0</v>
      </c>
      <c r="M552" s="323"/>
      <c r="N552" s="323"/>
      <c r="O552" s="323"/>
      <c r="P552" s="323"/>
      <c r="Q552" s="323"/>
      <c r="R552" s="323"/>
      <c r="S552" s="323"/>
      <c r="T552" s="323"/>
      <c r="U552" s="323"/>
      <c r="V552" s="316">
        <f t="shared" si="52"/>
        <v>0</v>
      </c>
      <c r="W552" s="316">
        <v>171.78</v>
      </c>
      <c r="X552" s="316">
        <f t="shared" si="53"/>
        <v>0</v>
      </c>
      <c r="Y552" s="322">
        <f>X552/X551</f>
        <v>0</v>
      </c>
      <c r="Z552" s="572"/>
      <c r="AA552" s="567"/>
    </row>
    <row r="553" spans="1:27" s="311" customFormat="1" ht="15" customHeight="1" outlineLevel="1">
      <c r="A553" s="273">
        <v>549</v>
      </c>
      <c r="B553" s="273" t="s">
        <v>0</v>
      </c>
      <c r="C553" s="305" t="s">
        <v>813</v>
      </c>
      <c r="D553" s="306" t="s">
        <v>814</v>
      </c>
      <c r="E553" s="307" t="s">
        <v>813</v>
      </c>
      <c r="F553" s="553" t="str">
        <f t="shared" si="51"/>
        <v>PREVDisjuntor termomagnético tipo: 5sx2 206‐7‐1A‐440V+5sx9 100+5sx9 200</v>
      </c>
      <c r="G553" s="611" t="s">
        <v>74</v>
      </c>
      <c r="H553" s="307" t="s">
        <v>228</v>
      </c>
      <c r="I553" s="321">
        <v>0.2</v>
      </c>
      <c r="J553" s="321">
        <v>0.25</v>
      </c>
      <c r="K553" s="321">
        <v>0.25</v>
      </c>
      <c r="L553" s="321">
        <v>0.25</v>
      </c>
      <c r="M553" s="321">
        <v>0.25</v>
      </c>
      <c r="N553" s="321">
        <v>0.25</v>
      </c>
      <c r="O553" s="321">
        <v>0.25</v>
      </c>
      <c r="P553" s="321">
        <v>0.25</v>
      </c>
      <c r="Q553" s="321">
        <v>0.25</v>
      </c>
      <c r="R553" s="321">
        <v>0.25</v>
      </c>
      <c r="S553" s="321">
        <v>0.25</v>
      </c>
      <c r="T553" s="321">
        <v>0.25</v>
      </c>
      <c r="U553" s="321">
        <v>0.05</v>
      </c>
      <c r="V553" s="308">
        <f t="shared" si="52"/>
        <v>3</v>
      </c>
      <c r="W553" s="308">
        <v>171.78</v>
      </c>
      <c r="X553" s="308">
        <f t="shared" si="53"/>
        <v>515.34</v>
      </c>
      <c r="Y553" s="322" t="s">
        <v>74</v>
      </c>
      <c r="Z553" s="575"/>
      <c r="AA553" s="567"/>
    </row>
    <row r="554" spans="1:27" s="318" customFormat="1" ht="15" customHeight="1" outlineLevel="1">
      <c r="A554" s="282">
        <v>550</v>
      </c>
      <c r="B554" s="282" t="s">
        <v>1</v>
      </c>
      <c r="C554" s="312" t="s">
        <v>813</v>
      </c>
      <c r="D554" s="313" t="s">
        <v>814</v>
      </c>
      <c r="E554" s="314" t="s">
        <v>813</v>
      </c>
      <c r="F554" s="553" t="str">
        <f t="shared" si="51"/>
        <v>REALDisjuntor termomagnético tipo: 5sx2 206‐7‐1A‐440V+5sx9 100+5sx9 200</v>
      </c>
      <c r="G554" s="609">
        <f>Y554</f>
        <v>0</v>
      </c>
      <c r="H554" s="315" t="s">
        <v>228</v>
      </c>
      <c r="I554" s="323">
        <v>0</v>
      </c>
      <c r="J554" s="323">
        <v>0</v>
      </c>
      <c r="K554" s="323">
        <v>0</v>
      </c>
      <c r="L554" s="323">
        <v>0</v>
      </c>
      <c r="M554" s="323"/>
      <c r="N554" s="323"/>
      <c r="O554" s="323"/>
      <c r="P554" s="323"/>
      <c r="Q554" s="323"/>
      <c r="R554" s="323"/>
      <c r="S554" s="323"/>
      <c r="T554" s="323"/>
      <c r="U554" s="323"/>
      <c r="V554" s="316">
        <f t="shared" si="52"/>
        <v>0</v>
      </c>
      <c r="W554" s="316">
        <v>171.78</v>
      </c>
      <c r="X554" s="316">
        <f t="shared" si="53"/>
        <v>0</v>
      </c>
      <c r="Y554" s="322">
        <f>X554/X553</f>
        <v>0</v>
      </c>
      <c r="Z554" s="572"/>
      <c r="AA554" s="567"/>
    </row>
    <row r="555" spans="1:27" s="311" customFormat="1" ht="15" customHeight="1" outlineLevel="1">
      <c r="A555" s="273">
        <v>551</v>
      </c>
      <c r="B555" s="273" t="s">
        <v>0</v>
      </c>
      <c r="C555" s="305" t="s">
        <v>815</v>
      </c>
      <c r="D555" s="306" t="s">
        <v>816</v>
      </c>
      <c r="E555" s="307" t="s">
        <v>815</v>
      </c>
      <c r="F555" s="553" t="str">
        <f t="shared" si="51"/>
        <v>PREVDisjuntor termomagnético tipo: 5sx2 206‐7‐6A‐440V+5sx9 100+5sx9 200</v>
      </c>
      <c r="G555" s="611" t="s">
        <v>74</v>
      </c>
      <c r="H555" s="307" t="s">
        <v>228</v>
      </c>
      <c r="I555" s="321">
        <v>0.2</v>
      </c>
      <c r="J555" s="321">
        <v>0.25</v>
      </c>
      <c r="K555" s="321">
        <v>0.25</v>
      </c>
      <c r="L555" s="321">
        <v>0.25</v>
      </c>
      <c r="M555" s="321">
        <v>0.25</v>
      </c>
      <c r="N555" s="321">
        <v>0.25</v>
      </c>
      <c r="O555" s="321">
        <v>0.25</v>
      </c>
      <c r="P555" s="321">
        <v>0.25</v>
      </c>
      <c r="Q555" s="321">
        <v>0.25</v>
      </c>
      <c r="R555" s="321">
        <v>0.25</v>
      </c>
      <c r="S555" s="321">
        <v>0.25</v>
      </c>
      <c r="T555" s="321">
        <v>0.25</v>
      </c>
      <c r="U555" s="321">
        <v>0.05</v>
      </c>
      <c r="V555" s="308">
        <f t="shared" si="52"/>
        <v>3</v>
      </c>
      <c r="W555" s="308">
        <v>171.78</v>
      </c>
      <c r="X555" s="308">
        <f t="shared" si="53"/>
        <v>515.34</v>
      </c>
      <c r="Y555" s="322" t="s">
        <v>74</v>
      </c>
      <c r="Z555" s="575"/>
      <c r="AA555" s="567"/>
    </row>
    <row r="556" spans="1:27" s="318" customFormat="1" ht="15" customHeight="1" outlineLevel="1">
      <c r="A556" s="282">
        <v>552</v>
      </c>
      <c r="B556" s="282" t="s">
        <v>1</v>
      </c>
      <c r="C556" s="312" t="s">
        <v>815</v>
      </c>
      <c r="D556" s="313" t="s">
        <v>816</v>
      </c>
      <c r="E556" s="314" t="s">
        <v>815</v>
      </c>
      <c r="F556" s="553" t="str">
        <f t="shared" si="51"/>
        <v>REALDisjuntor termomagnético tipo: 5sx2 206‐7‐6A‐440V+5sx9 100+5sx9 200</v>
      </c>
      <c r="G556" s="609">
        <f>Y556</f>
        <v>0</v>
      </c>
      <c r="H556" s="315" t="s">
        <v>228</v>
      </c>
      <c r="I556" s="323">
        <v>0</v>
      </c>
      <c r="J556" s="323">
        <v>0</v>
      </c>
      <c r="K556" s="323">
        <v>0</v>
      </c>
      <c r="L556" s="323">
        <v>0</v>
      </c>
      <c r="M556" s="323"/>
      <c r="N556" s="323"/>
      <c r="O556" s="323"/>
      <c r="P556" s="323"/>
      <c r="Q556" s="323"/>
      <c r="R556" s="323"/>
      <c r="S556" s="323"/>
      <c r="T556" s="323"/>
      <c r="U556" s="323"/>
      <c r="V556" s="316">
        <f t="shared" si="52"/>
        <v>0</v>
      </c>
      <c r="W556" s="316">
        <v>171.78</v>
      </c>
      <c r="X556" s="316">
        <f t="shared" si="53"/>
        <v>0</v>
      </c>
      <c r="Y556" s="322">
        <f>X556/X555</f>
        <v>0</v>
      </c>
      <c r="Z556" s="572"/>
      <c r="AA556" s="567"/>
    </row>
    <row r="557" spans="1:27" s="311" customFormat="1" ht="15" customHeight="1" outlineLevel="1">
      <c r="A557" s="273">
        <v>553</v>
      </c>
      <c r="B557" s="273" t="s">
        <v>0</v>
      </c>
      <c r="C557" s="305" t="s">
        <v>817</v>
      </c>
      <c r="D557" s="306" t="s">
        <v>818</v>
      </c>
      <c r="E557" s="307" t="s">
        <v>817</v>
      </c>
      <c r="F557" s="553" t="str">
        <f t="shared" si="51"/>
        <v>PREVDisjuntor termomagnético tipo: 5sx2 306‐7‐6A‐440V+5sx9 100+5sx9 200</v>
      </c>
      <c r="G557" s="611" t="s">
        <v>74</v>
      </c>
      <c r="H557" s="307" t="s">
        <v>228</v>
      </c>
      <c r="I557" s="321">
        <v>0.2</v>
      </c>
      <c r="J557" s="321">
        <v>0.25</v>
      </c>
      <c r="K557" s="321">
        <v>0.25</v>
      </c>
      <c r="L557" s="321">
        <v>0.25</v>
      </c>
      <c r="M557" s="321">
        <v>0.25</v>
      </c>
      <c r="N557" s="321">
        <v>0.25</v>
      </c>
      <c r="O557" s="321">
        <v>0.25</v>
      </c>
      <c r="P557" s="321">
        <v>0.25</v>
      </c>
      <c r="Q557" s="321">
        <v>0.25</v>
      </c>
      <c r="R557" s="321">
        <v>0.25</v>
      </c>
      <c r="S557" s="321">
        <v>0.25</v>
      </c>
      <c r="T557" s="321">
        <v>0.25</v>
      </c>
      <c r="U557" s="321">
        <v>0.05</v>
      </c>
      <c r="V557" s="308">
        <f t="shared" si="52"/>
        <v>3</v>
      </c>
      <c r="W557" s="308">
        <v>305.54000000000002</v>
      </c>
      <c r="X557" s="308">
        <f t="shared" si="53"/>
        <v>916.62000000000012</v>
      </c>
      <c r="Y557" s="322" t="s">
        <v>74</v>
      </c>
      <c r="Z557" s="575"/>
      <c r="AA557" s="567"/>
    </row>
    <row r="558" spans="1:27" s="318" customFormat="1" ht="15" customHeight="1" outlineLevel="1">
      <c r="A558" s="282">
        <v>554</v>
      </c>
      <c r="B558" s="282" t="s">
        <v>1</v>
      </c>
      <c r="C558" s="312" t="s">
        <v>817</v>
      </c>
      <c r="D558" s="313" t="s">
        <v>818</v>
      </c>
      <c r="E558" s="314" t="s">
        <v>817</v>
      </c>
      <c r="F558" s="553" t="str">
        <f t="shared" si="51"/>
        <v>REALDisjuntor termomagnético tipo: 5sx2 306‐7‐6A‐440V+5sx9 100+5sx9 200</v>
      </c>
      <c r="G558" s="609">
        <f>Y558</f>
        <v>0</v>
      </c>
      <c r="H558" s="315" t="s">
        <v>228</v>
      </c>
      <c r="I558" s="323">
        <v>0</v>
      </c>
      <c r="J558" s="323">
        <v>0</v>
      </c>
      <c r="K558" s="323">
        <v>0</v>
      </c>
      <c r="L558" s="323">
        <v>0</v>
      </c>
      <c r="M558" s="323"/>
      <c r="N558" s="323"/>
      <c r="O558" s="323"/>
      <c r="P558" s="323"/>
      <c r="Q558" s="323"/>
      <c r="R558" s="323"/>
      <c r="S558" s="323"/>
      <c r="T558" s="323"/>
      <c r="U558" s="323"/>
      <c r="V558" s="316">
        <f t="shared" si="52"/>
        <v>0</v>
      </c>
      <c r="W558" s="316">
        <v>305.54000000000002</v>
      </c>
      <c r="X558" s="316">
        <f t="shared" si="53"/>
        <v>0</v>
      </c>
      <c r="Y558" s="322">
        <f>X558/X557</f>
        <v>0</v>
      </c>
      <c r="Z558" s="572"/>
      <c r="AA558" s="567"/>
    </row>
    <row r="559" spans="1:27" s="311" customFormat="1" ht="15" customHeight="1" outlineLevel="1">
      <c r="A559" s="273">
        <v>555</v>
      </c>
      <c r="B559" s="273" t="s">
        <v>0</v>
      </c>
      <c r="C559" s="305" t="s">
        <v>819</v>
      </c>
      <c r="D559" s="306" t="s">
        <v>820</v>
      </c>
      <c r="E559" s="307" t="s">
        <v>819</v>
      </c>
      <c r="F559" s="553" t="str">
        <f t="shared" si="51"/>
        <v>PREVDisjuntor tripolar pkzmo‐2,5 + nhi 11 ‐1,6 A a 2,5 A ‐ ajuste: 2A</v>
      </c>
      <c r="G559" s="611" t="s">
        <v>74</v>
      </c>
      <c r="H559" s="307" t="s">
        <v>228</v>
      </c>
      <c r="I559" s="321">
        <v>0.2</v>
      </c>
      <c r="J559" s="321">
        <v>0.25</v>
      </c>
      <c r="K559" s="321">
        <v>0.25</v>
      </c>
      <c r="L559" s="321">
        <v>0.25</v>
      </c>
      <c r="M559" s="321">
        <v>0.25</v>
      </c>
      <c r="N559" s="321">
        <v>0.25</v>
      </c>
      <c r="O559" s="321">
        <v>0.25</v>
      </c>
      <c r="P559" s="321">
        <v>0.25</v>
      </c>
      <c r="Q559" s="321">
        <v>0.25</v>
      </c>
      <c r="R559" s="321">
        <v>0.25</v>
      </c>
      <c r="S559" s="321">
        <v>0.25</v>
      </c>
      <c r="T559" s="321">
        <v>0.25</v>
      </c>
      <c r="U559" s="321">
        <v>0.05</v>
      </c>
      <c r="V559" s="308">
        <f t="shared" si="52"/>
        <v>3</v>
      </c>
      <c r="W559" s="308">
        <v>131.69999999999999</v>
      </c>
      <c r="X559" s="308">
        <f t="shared" si="53"/>
        <v>395.09999999999997</v>
      </c>
      <c r="Y559" s="322" t="s">
        <v>74</v>
      </c>
      <c r="Z559" s="575"/>
      <c r="AA559" s="567"/>
    </row>
    <row r="560" spans="1:27" s="318" customFormat="1" ht="15" customHeight="1" outlineLevel="1">
      <c r="A560" s="282">
        <v>556</v>
      </c>
      <c r="B560" s="282" t="s">
        <v>1</v>
      </c>
      <c r="C560" s="312" t="s">
        <v>819</v>
      </c>
      <c r="D560" s="313" t="s">
        <v>820</v>
      </c>
      <c r="E560" s="314" t="s">
        <v>819</v>
      </c>
      <c r="F560" s="553" t="str">
        <f t="shared" si="51"/>
        <v>REALDisjuntor tripolar pkzmo‐2,5 + nhi 11 ‐1,6 A a 2,5 A ‐ ajuste: 2A</v>
      </c>
      <c r="G560" s="609">
        <f>Y560</f>
        <v>0</v>
      </c>
      <c r="H560" s="315" t="s">
        <v>228</v>
      </c>
      <c r="I560" s="323">
        <v>0</v>
      </c>
      <c r="J560" s="323">
        <v>0</v>
      </c>
      <c r="K560" s="323">
        <v>0</v>
      </c>
      <c r="L560" s="323">
        <v>0</v>
      </c>
      <c r="M560" s="323"/>
      <c r="N560" s="323"/>
      <c r="O560" s="323"/>
      <c r="P560" s="323"/>
      <c r="Q560" s="323"/>
      <c r="R560" s="323"/>
      <c r="S560" s="323"/>
      <c r="T560" s="323"/>
      <c r="U560" s="323"/>
      <c r="V560" s="316">
        <f t="shared" si="52"/>
        <v>0</v>
      </c>
      <c r="W560" s="316">
        <v>131.69999999999999</v>
      </c>
      <c r="X560" s="316">
        <f t="shared" si="53"/>
        <v>0</v>
      </c>
      <c r="Y560" s="322">
        <f>X560/X559</f>
        <v>0</v>
      </c>
      <c r="Z560" s="572"/>
      <c r="AA560" s="567"/>
    </row>
    <row r="561" spans="1:27" s="311" customFormat="1" ht="15" customHeight="1" outlineLevel="1">
      <c r="A561" s="273">
        <v>557</v>
      </c>
      <c r="B561" s="273" t="s">
        <v>0</v>
      </c>
      <c r="C561" s="305" t="s">
        <v>821</v>
      </c>
      <c r="D561" s="306" t="s">
        <v>822</v>
      </c>
      <c r="E561" s="307" t="s">
        <v>821</v>
      </c>
      <c r="F561" s="553" t="str">
        <f t="shared" si="51"/>
        <v>PREVDisjuntores trifásicos 380V, 15A</v>
      </c>
      <c r="G561" s="611" t="s">
        <v>74</v>
      </c>
      <c r="H561" s="307" t="s">
        <v>228</v>
      </c>
      <c r="I561" s="321">
        <v>0.2</v>
      </c>
      <c r="J561" s="321">
        <v>0.25</v>
      </c>
      <c r="K561" s="321">
        <v>0.25</v>
      </c>
      <c r="L561" s="321">
        <v>0.25</v>
      </c>
      <c r="M561" s="321">
        <v>0.25</v>
      </c>
      <c r="N561" s="321">
        <v>0.25</v>
      </c>
      <c r="O561" s="321">
        <v>0.25</v>
      </c>
      <c r="P561" s="321">
        <v>0.25</v>
      </c>
      <c r="Q561" s="321">
        <v>0.25</v>
      </c>
      <c r="R561" s="321">
        <v>0.25</v>
      </c>
      <c r="S561" s="321">
        <v>0.25</v>
      </c>
      <c r="T561" s="321">
        <v>0.25</v>
      </c>
      <c r="U561" s="321">
        <v>0.05</v>
      </c>
      <c r="V561" s="308">
        <f t="shared" si="52"/>
        <v>3</v>
      </c>
      <c r="W561" s="308">
        <v>78.73</v>
      </c>
      <c r="X561" s="308">
        <f t="shared" si="53"/>
        <v>236.19</v>
      </c>
      <c r="Y561" s="322" t="s">
        <v>74</v>
      </c>
      <c r="Z561" s="575"/>
      <c r="AA561" s="567"/>
    </row>
    <row r="562" spans="1:27" s="318" customFormat="1" ht="15" customHeight="1" outlineLevel="1">
      <c r="A562" s="282">
        <v>558</v>
      </c>
      <c r="B562" s="282" t="s">
        <v>1</v>
      </c>
      <c r="C562" s="312" t="s">
        <v>821</v>
      </c>
      <c r="D562" s="313" t="s">
        <v>822</v>
      </c>
      <c r="E562" s="314" t="s">
        <v>821</v>
      </c>
      <c r="F562" s="553" t="str">
        <f t="shared" si="51"/>
        <v>REALDisjuntores trifásicos 380V, 15A</v>
      </c>
      <c r="G562" s="609">
        <f>Y562</f>
        <v>0</v>
      </c>
      <c r="H562" s="315" t="s">
        <v>228</v>
      </c>
      <c r="I562" s="323">
        <v>0</v>
      </c>
      <c r="J562" s="323">
        <v>0</v>
      </c>
      <c r="K562" s="323">
        <v>0</v>
      </c>
      <c r="L562" s="323">
        <v>0</v>
      </c>
      <c r="M562" s="323"/>
      <c r="N562" s="323"/>
      <c r="O562" s="323"/>
      <c r="P562" s="323"/>
      <c r="Q562" s="323"/>
      <c r="R562" s="323"/>
      <c r="S562" s="323"/>
      <c r="T562" s="323"/>
      <c r="U562" s="323"/>
      <c r="V562" s="316">
        <f t="shared" si="52"/>
        <v>0</v>
      </c>
      <c r="W562" s="316">
        <v>78.73</v>
      </c>
      <c r="X562" s="316">
        <f t="shared" si="53"/>
        <v>0</v>
      </c>
      <c r="Y562" s="322">
        <f>X562/X561</f>
        <v>0</v>
      </c>
      <c r="Z562" s="572"/>
      <c r="AA562" s="567"/>
    </row>
    <row r="563" spans="1:27" s="311" customFormat="1" ht="15" customHeight="1" outlineLevel="1">
      <c r="A563" s="273">
        <v>559</v>
      </c>
      <c r="B563" s="273" t="s">
        <v>0</v>
      </c>
      <c r="C563" s="305" t="s">
        <v>823</v>
      </c>
      <c r="D563" s="306" t="s">
        <v>824</v>
      </c>
      <c r="E563" s="307" t="s">
        <v>823</v>
      </c>
      <c r="F563" s="553" t="str">
        <f t="shared" si="51"/>
        <v>PREVExtintor de incêndio tipo pó químico, seco, de 12 kg</v>
      </c>
      <c r="G563" s="611" t="s">
        <v>74</v>
      </c>
      <c r="H563" s="307" t="s">
        <v>228</v>
      </c>
      <c r="I563" s="321">
        <v>0.7360000000000001</v>
      </c>
      <c r="J563" s="321">
        <v>0.92</v>
      </c>
      <c r="K563" s="321">
        <v>0.92</v>
      </c>
      <c r="L563" s="321">
        <v>0.92</v>
      </c>
      <c r="M563" s="321">
        <v>0.92</v>
      </c>
      <c r="N563" s="321">
        <v>0.92</v>
      </c>
      <c r="O563" s="321">
        <v>0.92</v>
      </c>
      <c r="P563" s="321">
        <v>0.92</v>
      </c>
      <c r="Q563" s="321">
        <v>0.91</v>
      </c>
      <c r="R563" s="321">
        <v>0.91</v>
      </c>
      <c r="S563" s="321">
        <v>0.91</v>
      </c>
      <c r="T563" s="321">
        <v>0.91</v>
      </c>
      <c r="U563" s="321">
        <v>0.18200000000000002</v>
      </c>
      <c r="V563" s="308">
        <f t="shared" si="52"/>
        <v>10.998000000000001</v>
      </c>
      <c r="W563" s="308">
        <v>356.35</v>
      </c>
      <c r="X563" s="308">
        <f t="shared" si="53"/>
        <v>3919.1373000000008</v>
      </c>
      <c r="Y563" s="322" t="s">
        <v>74</v>
      </c>
      <c r="Z563" s="575"/>
      <c r="AA563" s="567"/>
    </row>
    <row r="564" spans="1:27" s="318" customFormat="1" ht="15" customHeight="1" outlineLevel="1">
      <c r="A564" s="282">
        <v>560</v>
      </c>
      <c r="B564" s="282" t="s">
        <v>1</v>
      </c>
      <c r="C564" s="312" t="s">
        <v>823</v>
      </c>
      <c r="D564" s="313" t="s">
        <v>824</v>
      </c>
      <c r="E564" s="314" t="s">
        <v>823</v>
      </c>
      <c r="F564" s="553" t="str">
        <f t="shared" si="51"/>
        <v>REALExtintor de incêndio tipo pó químico, seco, de 12 kg</v>
      </c>
      <c r="G564" s="609">
        <f>Y564</f>
        <v>0</v>
      </c>
      <c r="H564" s="315" t="s">
        <v>228</v>
      </c>
      <c r="I564" s="323">
        <v>0</v>
      </c>
      <c r="J564" s="323">
        <v>0</v>
      </c>
      <c r="K564" s="323">
        <v>0</v>
      </c>
      <c r="L564" s="323">
        <v>0</v>
      </c>
      <c r="M564" s="323"/>
      <c r="N564" s="323"/>
      <c r="O564" s="323"/>
      <c r="P564" s="323"/>
      <c r="Q564" s="323"/>
      <c r="R564" s="323"/>
      <c r="S564" s="323"/>
      <c r="T564" s="323"/>
      <c r="U564" s="323"/>
      <c r="V564" s="316">
        <f t="shared" si="52"/>
        <v>0</v>
      </c>
      <c r="W564" s="316">
        <v>356.35</v>
      </c>
      <c r="X564" s="316">
        <f t="shared" si="53"/>
        <v>0</v>
      </c>
      <c r="Y564" s="322">
        <f>X564/X563</f>
        <v>0</v>
      </c>
      <c r="Z564" s="572"/>
      <c r="AA564" s="567"/>
    </row>
    <row r="565" spans="1:27" s="311" customFormat="1" ht="15" customHeight="1" outlineLevel="1">
      <c r="A565" s="273">
        <v>561</v>
      </c>
      <c r="B565" s="273" t="s">
        <v>0</v>
      </c>
      <c r="C565" s="305" t="s">
        <v>825</v>
      </c>
      <c r="D565" s="306" t="s">
        <v>826</v>
      </c>
      <c r="E565" s="307" t="s">
        <v>825</v>
      </c>
      <c r="F565" s="553" t="str">
        <f t="shared" si="51"/>
        <v>PREVFonte de alimentação cc chaveada, entrada 85‐264Vca, saída 24Vcc/10A ‐_x000D_
phoenix contact ‐ código (quint‐ps‐ 100/240/24Vdc/10)</v>
      </c>
      <c r="G565" s="611" t="s">
        <v>74</v>
      </c>
      <c r="H565" s="307" t="s">
        <v>228</v>
      </c>
      <c r="I565" s="321">
        <v>6.4000000000000001E-2</v>
      </c>
      <c r="J565" s="321">
        <v>0.08</v>
      </c>
      <c r="K565" s="321">
        <v>0.08</v>
      </c>
      <c r="L565" s="321">
        <v>0.08</v>
      </c>
      <c r="M565" s="321">
        <v>0.08</v>
      </c>
      <c r="N565" s="321">
        <v>0.08</v>
      </c>
      <c r="O565" s="321">
        <v>0.08</v>
      </c>
      <c r="P565" s="321">
        <v>0.08</v>
      </c>
      <c r="Q565" s="321">
        <v>0.09</v>
      </c>
      <c r="R565" s="321">
        <v>0.09</v>
      </c>
      <c r="S565" s="321">
        <v>0.09</v>
      </c>
      <c r="T565" s="321">
        <v>0.09</v>
      </c>
      <c r="U565" s="321">
        <v>1.7999999999999999E-2</v>
      </c>
      <c r="V565" s="308">
        <f t="shared" si="52"/>
        <v>1.0019999999999998</v>
      </c>
      <c r="W565" s="308">
        <v>1162.03</v>
      </c>
      <c r="X565" s="308">
        <f t="shared" si="53"/>
        <v>1164.3540599999997</v>
      </c>
      <c r="Y565" s="322" t="s">
        <v>74</v>
      </c>
      <c r="Z565" s="575"/>
      <c r="AA565" s="567"/>
    </row>
    <row r="566" spans="1:27" s="318" customFormat="1" ht="15" customHeight="1" outlineLevel="1">
      <c r="A566" s="282">
        <v>562</v>
      </c>
      <c r="B566" s="282" t="s">
        <v>1</v>
      </c>
      <c r="C566" s="312" t="s">
        <v>825</v>
      </c>
      <c r="D566" s="313" t="s">
        <v>826</v>
      </c>
      <c r="E566" s="314" t="s">
        <v>825</v>
      </c>
      <c r="F566" s="553" t="str">
        <f t="shared" si="51"/>
        <v>REALFonte de alimentação cc chaveada, entrada 85‐264Vca, saída 24Vcc/10A ‐_x000D_
phoenix contact ‐ código (quint‐ps‐ 100/240/24Vdc/10)</v>
      </c>
      <c r="G566" s="609">
        <f>Y566</f>
        <v>0</v>
      </c>
      <c r="H566" s="315" t="s">
        <v>228</v>
      </c>
      <c r="I566" s="323">
        <v>0</v>
      </c>
      <c r="J566" s="323">
        <v>0</v>
      </c>
      <c r="K566" s="323">
        <v>0</v>
      </c>
      <c r="L566" s="323">
        <v>0</v>
      </c>
      <c r="M566" s="323"/>
      <c r="N566" s="323"/>
      <c r="O566" s="323"/>
      <c r="P566" s="323"/>
      <c r="Q566" s="323"/>
      <c r="R566" s="323"/>
      <c r="S566" s="323"/>
      <c r="T566" s="323"/>
      <c r="U566" s="323"/>
      <c r="V566" s="316">
        <f t="shared" si="52"/>
        <v>0</v>
      </c>
      <c r="W566" s="316">
        <v>1162.03</v>
      </c>
      <c r="X566" s="316">
        <f t="shared" si="53"/>
        <v>0</v>
      </c>
      <c r="Y566" s="322">
        <f>X566/X565</f>
        <v>0</v>
      </c>
      <c r="Z566" s="572"/>
      <c r="AA566" s="567"/>
    </row>
    <row r="567" spans="1:27" s="311" customFormat="1" ht="15" customHeight="1" outlineLevel="1">
      <c r="A567" s="273">
        <v>563</v>
      </c>
      <c r="B567" s="273" t="s">
        <v>0</v>
      </c>
      <c r="C567" s="305" t="s">
        <v>827</v>
      </c>
      <c r="D567" s="306" t="s">
        <v>828</v>
      </c>
      <c r="E567" s="307" t="s">
        <v>827</v>
      </c>
      <c r="F567" s="553" t="str">
        <f t="shared" ref="F567:F630" si="54">B567&amp;D567</f>
        <v>PREVFusivel nh0250a ur, tensão 500 V</v>
      </c>
      <c r="G567" s="611" t="s">
        <v>74</v>
      </c>
      <c r="H567" s="307" t="s">
        <v>228</v>
      </c>
      <c r="I567" s="321">
        <v>1.6</v>
      </c>
      <c r="J567" s="321">
        <v>2</v>
      </c>
      <c r="K567" s="321">
        <v>2</v>
      </c>
      <c r="L567" s="321">
        <v>2</v>
      </c>
      <c r="M567" s="321">
        <v>2</v>
      </c>
      <c r="N567" s="321">
        <v>2</v>
      </c>
      <c r="O567" s="321">
        <v>2</v>
      </c>
      <c r="P567" s="321">
        <v>2</v>
      </c>
      <c r="Q567" s="321">
        <v>2</v>
      </c>
      <c r="R567" s="321">
        <v>2</v>
      </c>
      <c r="S567" s="321">
        <v>2</v>
      </c>
      <c r="T567" s="321">
        <v>2</v>
      </c>
      <c r="U567" s="321">
        <v>0.4</v>
      </c>
      <c r="V567" s="308">
        <f t="shared" ref="V567:V630" si="55">SUM(I567:U567)</f>
        <v>24</v>
      </c>
      <c r="W567" s="308">
        <v>92.59</v>
      </c>
      <c r="X567" s="308">
        <f t="shared" ref="X567:X630" si="56">W567*V567</f>
        <v>2222.16</v>
      </c>
      <c r="Y567" s="322" t="s">
        <v>74</v>
      </c>
      <c r="Z567" s="575"/>
      <c r="AA567" s="567"/>
    </row>
    <row r="568" spans="1:27" s="318" customFormat="1" ht="15" customHeight="1" outlineLevel="1">
      <c r="A568" s="282">
        <v>564</v>
      </c>
      <c r="B568" s="282" t="s">
        <v>1</v>
      </c>
      <c r="C568" s="312" t="s">
        <v>827</v>
      </c>
      <c r="D568" s="313" t="s">
        <v>828</v>
      </c>
      <c r="E568" s="314" t="s">
        <v>827</v>
      </c>
      <c r="F568" s="553" t="str">
        <f t="shared" si="54"/>
        <v>REALFusivel nh0250a ur, tensão 500 V</v>
      </c>
      <c r="G568" s="609">
        <f>Y568</f>
        <v>0</v>
      </c>
      <c r="H568" s="315" t="s">
        <v>228</v>
      </c>
      <c r="I568" s="323">
        <v>0</v>
      </c>
      <c r="J568" s="323">
        <v>0</v>
      </c>
      <c r="K568" s="323">
        <v>0</v>
      </c>
      <c r="L568" s="323">
        <v>0</v>
      </c>
      <c r="M568" s="323"/>
      <c r="N568" s="323"/>
      <c r="O568" s="323"/>
      <c r="P568" s="323"/>
      <c r="Q568" s="323"/>
      <c r="R568" s="323"/>
      <c r="S568" s="323"/>
      <c r="T568" s="323"/>
      <c r="U568" s="323"/>
      <c r="V568" s="316">
        <f t="shared" si="55"/>
        <v>0</v>
      </c>
      <c r="W568" s="316">
        <v>92.59</v>
      </c>
      <c r="X568" s="316">
        <f t="shared" si="56"/>
        <v>0</v>
      </c>
      <c r="Y568" s="322">
        <f>X568/X567</f>
        <v>0</v>
      </c>
      <c r="Z568" s="572"/>
      <c r="AA568" s="567"/>
    </row>
    <row r="569" spans="1:27" s="311" customFormat="1" ht="15" customHeight="1" outlineLevel="1">
      <c r="A569" s="273">
        <v>565</v>
      </c>
      <c r="B569" s="273" t="s">
        <v>0</v>
      </c>
      <c r="C569" s="305" t="s">
        <v>829</v>
      </c>
      <c r="D569" s="306" t="s">
        <v>830</v>
      </c>
      <c r="E569" s="307" t="s">
        <v>829</v>
      </c>
      <c r="F569" s="553" t="str">
        <f t="shared" si="54"/>
        <v>PREVFusível tipo diazed de 2A</v>
      </c>
      <c r="G569" s="611" t="s">
        <v>74</v>
      </c>
      <c r="H569" s="307" t="s">
        <v>228</v>
      </c>
      <c r="I569" s="321">
        <v>0.33600000000000002</v>
      </c>
      <c r="J569" s="321">
        <v>0.42</v>
      </c>
      <c r="K569" s="321">
        <v>0.42</v>
      </c>
      <c r="L569" s="321">
        <v>0.42</v>
      </c>
      <c r="M569" s="321">
        <v>0.42</v>
      </c>
      <c r="N569" s="321">
        <v>0.42</v>
      </c>
      <c r="O569" s="321">
        <v>0.42</v>
      </c>
      <c r="P569" s="321">
        <v>0.42</v>
      </c>
      <c r="Q569" s="321">
        <v>0.41</v>
      </c>
      <c r="R569" s="321">
        <v>0.41</v>
      </c>
      <c r="S569" s="321">
        <v>0.41</v>
      </c>
      <c r="T569" s="321">
        <v>0.41</v>
      </c>
      <c r="U569" s="321">
        <v>8.2000000000000003E-2</v>
      </c>
      <c r="V569" s="308">
        <f t="shared" si="55"/>
        <v>4.9980000000000002</v>
      </c>
      <c r="W569" s="308">
        <v>9.44</v>
      </c>
      <c r="X569" s="308">
        <f t="shared" si="56"/>
        <v>47.18112</v>
      </c>
      <c r="Y569" s="322" t="s">
        <v>74</v>
      </c>
      <c r="Z569" s="575"/>
      <c r="AA569" s="567"/>
    </row>
    <row r="570" spans="1:27" s="318" customFormat="1" ht="15" customHeight="1" outlineLevel="1">
      <c r="A570" s="282">
        <v>566</v>
      </c>
      <c r="B570" s="282" t="s">
        <v>1</v>
      </c>
      <c r="C570" s="312" t="s">
        <v>829</v>
      </c>
      <c r="D570" s="313" t="s">
        <v>830</v>
      </c>
      <c r="E570" s="314" t="s">
        <v>829</v>
      </c>
      <c r="F570" s="553" t="str">
        <f t="shared" si="54"/>
        <v>REALFusível tipo diazed de 2A</v>
      </c>
      <c r="G570" s="609">
        <f>Y570</f>
        <v>0</v>
      </c>
      <c r="H570" s="315" t="s">
        <v>228</v>
      </c>
      <c r="I570" s="323">
        <v>0</v>
      </c>
      <c r="J570" s="323">
        <v>0</v>
      </c>
      <c r="K570" s="323">
        <v>0</v>
      </c>
      <c r="L570" s="323">
        <v>0</v>
      </c>
      <c r="M570" s="323"/>
      <c r="N570" s="323"/>
      <c r="O570" s="323"/>
      <c r="P570" s="323"/>
      <c r="Q570" s="323"/>
      <c r="R570" s="323"/>
      <c r="S570" s="323"/>
      <c r="T570" s="323"/>
      <c r="U570" s="323"/>
      <c r="V570" s="316">
        <f t="shared" si="55"/>
        <v>0</v>
      </c>
      <c r="W570" s="316">
        <v>9.44</v>
      </c>
      <c r="X570" s="316">
        <f t="shared" si="56"/>
        <v>0</v>
      </c>
      <c r="Y570" s="322">
        <f>X570/X569</f>
        <v>0</v>
      </c>
      <c r="Z570" s="572"/>
      <c r="AA570" s="567"/>
    </row>
    <row r="571" spans="1:27" s="311" customFormat="1" ht="15" customHeight="1" outlineLevel="1">
      <c r="A571" s="273">
        <v>567</v>
      </c>
      <c r="B571" s="273" t="s">
        <v>0</v>
      </c>
      <c r="C571" s="305" t="s">
        <v>831</v>
      </c>
      <c r="D571" s="306" t="s">
        <v>832</v>
      </c>
      <c r="E571" s="307" t="s">
        <v>831</v>
      </c>
      <c r="F571" s="553" t="str">
        <f t="shared" si="54"/>
        <v>PREVFusível tipo diazed de 4A</v>
      </c>
      <c r="G571" s="611" t="s">
        <v>74</v>
      </c>
      <c r="H571" s="307" t="s">
        <v>228</v>
      </c>
      <c r="I571" s="321">
        <v>0.33600000000000002</v>
      </c>
      <c r="J571" s="321">
        <v>0.42</v>
      </c>
      <c r="K571" s="321">
        <v>0.42</v>
      </c>
      <c r="L571" s="321">
        <v>0.42</v>
      </c>
      <c r="M571" s="321">
        <v>0.42</v>
      </c>
      <c r="N571" s="321">
        <v>0.42</v>
      </c>
      <c r="O571" s="321">
        <v>0.42</v>
      </c>
      <c r="P571" s="321">
        <v>0.42</v>
      </c>
      <c r="Q571" s="321">
        <v>0.41</v>
      </c>
      <c r="R571" s="321">
        <v>0.41</v>
      </c>
      <c r="S571" s="321">
        <v>0.41</v>
      </c>
      <c r="T571" s="321">
        <v>0.41</v>
      </c>
      <c r="U571" s="321">
        <v>8.2000000000000003E-2</v>
      </c>
      <c r="V571" s="308">
        <f t="shared" si="55"/>
        <v>4.9980000000000002</v>
      </c>
      <c r="W571" s="308">
        <v>9.44</v>
      </c>
      <c r="X571" s="308">
        <f t="shared" si="56"/>
        <v>47.18112</v>
      </c>
      <c r="Y571" s="322" t="s">
        <v>74</v>
      </c>
      <c r="Z571" s="575"/>
      <c r="AA571" s="567"/>
    </row>
    <row r="572" spans="1:27" s="318" customFormat="1" ht="15" customHeight="1" outlineLevel="1">
      <c r="A572" s="282">
        <v>568</v>
      </c>
      <c r="B572" s="282" t="s">
        <v>1</v>
      </c>
      <c r="C572" s="312" t="s">
        <v>831</v>
      </c>
      <c r="D572" s="313" t="s">
        <v>832</v>
      </c>
      <c r="E572" s="314" t="s">
        <v>831</v>
      </c>
      <c r="F572" s="553" t="str">
        <f t="shared" si="54"/>
        <v>REALFusível tipo diazed de 4A</v>
      </c>
      <c r="G572" s="609">
        <f>Y572</f>
        <v>0</v>
      </c>
      <c r="H572" s="315" t="s">
        <v>228</v>
      </c>
      <c r="I572" s="323">
        <v>0</v>
      </c>
      <c r="J572" s="323">
        <v>0</v>
      </c>
      <c r="K572" s="323">
        <v>0</v>
      </c>
      <c r="L572" s="323">
        <v>0</v>
      </c>
      <c r="M572" s="323"/>
      <c r="N572" s="323"/>
      <c r="O572" s="323"/>
      <c r="P572" s="323"/>
      <c r="Q572" s="323"/>
      <c r="R572" s="323"/>
      <c r="S572" s="323"/>
      <c r="T572" s="323"/>
      <c r="U572" s="323"/>
      <c r="V572" s="316">
        <f t="shared" si="55"/>
        <v>0</v>
      </c>
      <c r="W572" s="316">
        <v>9.44</v>
      </c>
      <c r="X572" s="316">
        <f t="shared" si="56"/>
        <v>0</v>
      </c>
      <c r="Y572" s="322">
        <f>X572/X571</f>
        <v>0</v>
      </c>
      <c r="Z572" s="572"/>
      <c r="AA572" s="567"/>
    </row>
    <row r="573" spans="1:27" s="311" customFormat="1" ht="15" customHeight="1" outlineLevel="1">
      <c r="A573" s="273">
        <v>569</v>
      </c>
      <c r="B573" s="273" t="s">
        <v>0</v>
      </c>
      <c r="C573" s="305" t="s">
        <v>833</v>
      </c>
      <c r="D573" s="306" t="s">
        <v>834</v>
      </c>
      <c r="E573" s="307" t="s">
        <v>833</v>
      </c>
      <c r="F573" s="553" t="str">
        <f t="shared" si="54"/>
        <v>PREVFusível tipo diazed de 6A</v>
      </c>
      <c r="G573" s="611" t="s">
        <v>74</v>
      </c>
      <c r="H573" s="307" t="s">
        <v>228</v>
      </c>
      <c r="I573" s="321">
        <v>0.33600000000000002</v>
      </c>
      <c r="J573" s="321">
        <v>0.42</v>
      </c>
      <c r="K573" s="321">
        <v>0.42</v>
      </c>
      <c r="L573" s="321">
        <v>0.42</v>
      </c>
      <c r="M573" s="321">
        <v>0.42</v>
      </c>
      <c r="N573" s="321">
        <v>0.42</v>
      </c>
      <c r="O573" s="321">
        <v>0.42</v>
      </c>
      <c r="P573" s="321">
        <v>0.42</v>
      </c>
      <c r="Q573" s="321">
        <v>0.41</v>
      </c>
      <c r="R573" s="321">
        <v>0.41</v>
      </c>
      <c r="S573" s="321">
        <v>0.41</v>
      </c>
      <c r="T573" s="321">
        <v>0.41</v>
      </c>
      <c r="U573" s="321">
        <v>8.2000000000000003E-2</v>
      </c>
      <c r="V573" s="308">
        <f t="shared" si="55"/>
        <v>4.9980000000000002</v>
      </c>
      <c r="W573" s="308">
        <v>9.44</v>
      </c>
      <c r="X573" s="308">
        <f t="shared" si="56"/>
        <v>47.18112</v>
      </c>
      <c r="Y573" s="322" t="s">
        <v>74</v>
      </c>
      <c r="Z573" s="575"/>
      <c r="AA573" s="567"/>
    </row>
    <row r="574" spans="1:27" s="318" customFormat="1" ht="15" customHeight="1" outlineLevel="1">
      <c r="A574" s="282">
        <v>570</v>
      </c>
      <c r="B574" s="282" t="s">
        <v>1</v>
      </c>
      <c r="C574" s="312" t="s">
        <v>833</v>
      </c>
      <c r="D574" s="313" t="s">
        <v>834</v>
      </c>
      <c r="E574" s="314" t="s">
        <v>833</v>
      </c>
      <c r="F574" s="553" t="str">
        <f t="shared" si="54"/>
        <v>REALFusível tipo diazed de 6A</v>
      </c>
      <c r="G574" s="609">
        <f>Y574</f>
        <v>0</v>
      </c>
      <c r="H574" s="315" t="s">
        <v>228</v>
      </c>
      <c r="I574" s="323">
        <v>0</v>
      </c>
      <c r="J574" s="323">
        <v>0</v>
      </c>
      <c r="K574" s="323">
        <v>0</v>
      </c>
      <c r="L574" s="323">
        <v>0</v>
      </c>
      <c r="M574" s="323"/>
      <c r="N574" s="323"/>
      <c r="O574" s="323"/>
      <c r="P574" s="323"/>
      <c r="Q574" s="323"/>
      <c r="R574" s="323"/>
      <c r="S574" s="323"/>
      <c r="T574" s="323"/>
      <c r="U574" s="323"/>
      <c r="V574" s="316">
        <f t="shared" si="55"/>
        <v>0</v>
      </c>
      <c r="W574" s="316">
        <v>9.44</v>
      </c>
      <c r="X574" s="316">
        <f t="shared" si="56"/>
        <v>0</v>
      </c>
      <c r="Y574" s="322">
        <f>X574/X573</f>
        <v>0</v>
      </c>
      <c r="Z574" s="572"/>
      <c r="AA574" s="567"/>
    </row>
    <row r="575" spans="1:27" s="311" customFormat="1" ht="15" customHeight="1" outlineLevel="1">
      <c r="A575" s="273">
        <v>571</v>
      </c>
      <c r="B575" s="273" t="s">
        <v>0</v>
      </c>
      <c r="C575" s="305" t="s">
        <v>835</v>
      </c>
      <c r="D575" s="306" t="s">
        <v>836</v>
      </c>
      <c r="E575" s="307" t="s">
        <v>835</v>
      </c>
      <c r="F575" s="553" t="str">
        <f t="shared" si="54"/>
        <v>PREVLâmpada de multivapor metálico 250 W‐220 Vca, bulbo ovóide, rosca e‐40</v>
      </c>
      <c r="G575" s="611" t="s">
        <v>74</v>
      </c>
      <c r="H575" s="307" t="s">
        <v>228</v>
      </c>
      <c r="I575" s="321">
        <v>4.4640000000000004</v>
      </c>
      <c r="J575" s="321">
        <v>5.58</v>
      </c>
      <c r="K575" s="321">
        <v>5.58</v>
      </c>
      <c r="L575" s="321">
        <v>5.58</v>
      </c>
      <c r="M575" s="321">
        <v>5.58</v>
      </c>
      <c r="N575" s="321">
        <v>5.58</v>
      </c>
      <c r="O575" s="321">
        <v>5.58</v>
      </c>
      <c r="P575" s="321">
        <v>5.58</v>
      </c>
      <c r="Q575" s="321">
        <v>5.59</v>
      </c>
      <c r="R575" s="321">
        <v>5.59</v>
      </c>
      <c r="S575" s="321">
        <v>5.59</v>
      </c>
      <c r="T575" s="321">
        <v>5.59</v>
      </c>
      <c r="U575" s="321">
        <v>1.1180000000000001</v>
      </c>
      <c r="V575" s="308">
        <f t="shared" si="55"/>
        <v>67.001999999999995</v>
      </c>
      <c r="W575" s="308">
        <v>52.79</v>
      </c>
      <c r="X575" s="308">
        <f t="shared" si="56"/>
        <v>3537.0355799999998</v>
      </c>
      <c r="Y575" s="322" t="s">
        <v>74</v>
      </c>
      <c r="Z575" s="575"/>
      <c r="AA575" s="567"/>
    </row>
    <row r="576" spans="1:27" s="318" customFormat="1" ht="15" customHeight="1" outlineLevel="1">
      <c r="A576" s="282">
        <v>572</v>
      </c>
      <c r="B576" s="282" t="s">
        <v>1</v>
      </c>
      <c r="C576" s="312" t="s">
        <v>835</v>
      </c>
      <c r="D576" s="313" t="s">
        <v>836</v>
      </c>
      <c r="E576" s="314" t="s">
        <v>835</v>
      </c>
      <c r="F576" s="553" t="str">
        <f t="shared" si="54"/>
        <v>REALLâmpada de multivapor metálico 250 W‐220 Vca, bulbo ovóide, rosca e‐40</v>
      </c>
      <c r="G576" s="609">
        <f>Y576</f>
        <v>0.99997015014477186</v>
      </c>
      <c r="H576" s="315" t="s">
        <v>228</v>
      </c>
      <c r="I576" s="323">
        <v>0</v>
      </c>
      <c r="J576" s="323">
        <v>0</v>
      </c>
      <c r="K576" s="323">
        <v>67</v>
      </c>
      <c r="L576" s="323">
        <v>0</v>
      </c>
      <c r="M576" s="323"/>
      <c r="N576" s="323"/>
      <c r="O576" s="323"/>
      <c r="P576" s="323"/>
      <c r="Q576" s="323"/>
      <c r="R576" s="323"/>
      <c r="S576" s="323"/>
      <c r="T576" s="323"/>
      <c r="U576" s="323"/>
      <c r="V576" s="316">
        <f t="shared" si="55"/>
        <v>67</v>
      </c>
      <c r="W576" s="316">
        <v>52.79</v>
      </c>
      <c r="X576" s="316">
        <f t="shared" si="56"/>
        <v>3536.93</v>
      </c>
      <c r="Y576" s="322">
        <f>X576/X575</f>
        <v>0.99997015014477186</v>
      </c>
      <c r="Z576" s="572"/>
      <c r="AA576" s="567"/>
    </row>
    <row r="577" spans="1:27" s="311" customFormat="1" ht="15" customHeight="1" outlineLevel="1">
      <c r="A577" s="273">
        <v>573</v>
      </c>
      <c r="B577" s="273" t="s">
        <v>0</v>
      </c>
      <c r="C577" s="305" t="s">
        <v>837</v>
      </c>
      <c r="D577" s="306" t="s">
        <v>838</v>
      </c>
      <c r="E577" s="307" t="s">
        <v>837</v>
      </c>
      <c r="F577" s="553" t="str">
        <f t="shared" si="54"/>
        <v>PREVLâmpada fluorescente 15W‐220V</v>
      </c>
      <c r="G577" s="611" t="s">
        <v>74</v>
      </c>
      <c r="H577" s="307" t="s">
        <v>228</v>
      </c>
      <c r="I577" s="321">
        <v>4.4640000000000004</v>
      </c>
      <c r="J577" s="321">
        <v>5.58</v>
      </c>
      <c r="K577" s="321">
        <v>5.58</v>
      </c>
      <c r="L577" s="321">
        <v>5.58</v>
      </c>
      <c r="M577" s="321">
        <v>5.58</v>
      </c>
      <c r="N577" s="321">
        <v>5.58</v>
      </c>
      <c r="O577" s="321">
        <v>5.58</v>
      </c>
      <c r="P577" s="321">
        <v>5.58</v>
      </c>
      <c r="Q577" s="321">
        <v>5.59</v>
      </c>
      <c r="R577" s="321">
        <v>5.59</v>
      </c>
      <c r="S577" s="321">
        <v>5.59</v>
      </c>
      <c r="T577" s="321">
        <v>5.59</v>
      </c>
      <c r="U577" s="321">
        <v>1.1180000000000001</v>
      </c>
      <c r="V577" s="308">
        <f t="shared" si="55"/>
        <v>67.001999999999995</v>
      </c>
      <c r="W577" s="308">
        <v>18.399999999999999</v>
      </c>
      <c r="X577" s="308">
        <f t="shared" si="56"/>
        <v>1232.8367999999998</v>
      </c>
      <c r="Y577" s="322" t="s">
        <v>74</v>
      </c>
      <c r="Z577" s="575"/>
      <c r="AA577" s="567"/>
    </row>
    <row r="578" spans="1:27" s="318" customFormat="1" ht="15" customHeight="1" outlineLevel="1">
      <c r="A578" s="282">
        <v>574</v>
      </c>
      <c r="B578" s="282" t="s">
        <v>1</v>
      </c>
      <c r="C578" s="312" t="s">
        <v>837</v>
      </c>
      <c r="D578" s="313" t="s">
        <v>838</v>
      </c>
      <c r="E578" s="314" t="s">
        <v>837</v>
      </c>
      <c r="F578" s="553" t="str">
        <f t="shared" si="54"/>
        <v>REALLâmpada fluorescente 15W‐220V</v>
      </c>
      <c r="G578" s="609">
        <f>Y578</f>
        <v>0.99997015014477186</v>
      </c>
      <c r="H578" s="315" t="s">
        <v>228</v>
      </c>
      <c r="I578" s="323">
        <v>0</v>
      </c>
      <c r="J578" s="323">
        <v>0</v>
      </c>
      <c r="K578" s="323">
        <v>67</v>
      </c>
      <c r="L578" s="323">
        <v>0</v>
      </c>
      <c r="M578" s="323"/>
      <c r="N578" s="323"/>
      <c r="O578" s="323"/>
      <c r="P578" s="323"/>
      <c r="Q578" s="323"/>
      <c r="R578" s="323"/>
      <c r="S578" s="323"/>
      <c r="T578" s="323"/>
      <c r="U578" s="323"/>
      <c r="V578" s="316">
        <f t="shared" si="55"/>
        <v>67</v>
      </c>
      <c r="W578" s="316">
        <v>18.399999999999999</v>
      </c>
      <c r="X578" s="316">
        <f t="shared" si="56"/>
        <v>1232.8</v>
      </c>
      <c r="Y578" s="322">
        <f>X578/X577</f>
        <v>0.99997015014477186</v>
      </c>
      <c r="Z578" s="572"/>
      <c r="AA578" s="567"/>
    </row>
    <row r="579" spans="1:27" s="311" customFormat="1" ht="15" customHeight="1" outlineLevel="1">
      <c r="A579" s="273">
        <v>575</v>
      </c>
      <c r="B579" s="273" t="s">
        <v>0</v>
      </c>
      <c r="C579" s="305" t="s">
        <v>839</v>
      </c>
      <c r="D579" s="306" t="s">
        <v>840</v>
      </c>
      <c r="E579" s="307" t="s">
        <v>839</v>
      </c>
      <c r="F579" s="553" t="str">
        <f t="shared" si="54"/>
        <v>PREVLâmpada fluorescente 7 W, 220 V</v>
      </c>
      <c r="G579" s="611" t="s">
        <v>74</v>
      </c>
      <c r="H579" s="307" t="s">
        <v>228</v>
      </c>
      <c r="I579" s="321">
        <v>1.8</v>
      </c>
      <c r="J579" s="321">
        <v>2.25</v>
      </c>
      <c r="K579" s="321">
        <v>2.25</v>
      </c>
      <c r="L579" s="321">
        <v>2.25</v>
      </c>
      <c r="M579" s="321">
        <v>2.25</v>
      </c>
      <c r="N579" s="321">
        <v>2.25</v>
      </c>
      <c r="O579" s="321">
        <v>2.25</v>
      </c>
      <c r="P579" s="321">
        <v>2.25</v>
      </c>
      <c r="Q579" s="321">
        <v>2.25</v>
      </c>
      <c r="R579" s="321">
        <v>2.25</v>
      </c>
      <c r="S579" s="321">
        <v>2.25</v>
      </c>
      <c r="T579" s="321">
        <v>2.25</v>
      </c>
      <c r="U579" s="321">
        <v>0.45</v>
      </c>
      <c r="V579" s="308">
        <f t="shared" si="55"/>
        <v>27</v>
      </c>
      <c r="W579" s="308">
        <v>15.11</v>
      </c>
      <c r="X579" s="308">
        <f t="shared" si="56"/>
        <v>407.96999999999997</v>
      </c>
      <c r="Y579" s="322" t="s">
        <v>74</v>
      </c>
      <c r="Z579" s="575"/>
      <c r="AA579" s="567"/>
    </row>
    <row r="580" spans="1:27" s="318" customFormat="1" ht="15" customHeight="1" outlineLevel="1">
      <c r="A580" s="282">
        <v>576</v>
      </c>
      <c r="B580" s="282" t="s">
        <v>1</v>
      </c>
      <c r="C580" s="312" t="s">
        <v>839</v>
      </c>
      <c r="D580" s="313" t="s">
        <v>840</v>
      </c>
      <c r="E580" s="314" t="s">
        <v>839</v>
      </c>
      <c r="F580" s="553" t="str">
        <f t="shared" si="54"/>
        <v>REALLâmpada fluorescente 7 W, 220 V</v>
      </c>
      <c r="G580" s="609">
        <f>Y580</f>
        <v>1</v>
      </c>
      <c r="H580" s="315" t="s">
        <v>228</v>
      </c>
      <c r="I580" s="323">
        <v>0</v>
      </c>
      <c r="J580" s="323">
        <v>0</v>
      </c>
      <c r="K580" s="323">
        <v>27</v>
      </c>
      <c r="L580" s="323">
        <v>0</v>
      </c>
      <c r="M580" s="323"/>
      <c r="N580" s="323"/>
      <c r="O580" s="323"/>
      <c r="P580" s="323"/>
      <c r="Q580" s="323"/>
      <c r="R580" s="323"/>
      <c r="S580" s="323"/>
      <c r="T580" s="323"/>
      <c r="U580" s="323"/>
      <c r="V580" s="316">
        <f t="shared" si="55"/>
        <v>27</v>
      </c>
      <c r="W580" s="316">
        <v>15.11</v>
      </c>
      <c r="X580" s="316">
        <f t="shared" si="56"/>
        <v>407.96999999999997</v>
      </c>
      <c r="Y580" s="322">
        <f>X580/X579</f>
        <v>1</v>
      </c>
      <c r="Z580" s="572"/>
      <c r="AA580" s="567"/>
    </row>
    <row r="581" spans="1:27" s="311" customFormat="1" ht="15" customHeight="1" outlineLevel="1">
      <c r="A581" s="273">
        <v>577</v>
      </c>
      <c r="B581" s="273" t="s">
        <v>0</v>
      </c>
      <c r="C581" s="305" t="s">
        <v>841</v>
      </c>
      <c r="D581" s="306" t="s">
        <v>842</v>
      </c>
      <c r="E581" s="307" t="s">
        <v>841</v>
      </c>
      <c r="F581" s="553" t="str">
        <f t="shared" si="54"/>
        <v>PREVLâmpada fluorescente 9 W, 220 Vca</v>
      </c>
      <c r="G581" s="611" t="s">
        <v>74</v>
      </c>
      <c r="H581" s="307" t="s">
        <v>228</v>
      </c>
      <c r="I581" s="321">
        <v>1.8</v>
      </c>
      <c r="J581" s="321">
        <v>2.25</v>
      </c>
      <c r="K581" s="321">
        <v>2.25</v>
      </c>
      <c r="L581" s="321">
        <v>2.25</v>
      </c>
      <c r="M581" s="321">
        <v>2.25</v>
      </c>
      <c r="N581" s="321">
        <v>2.25</v>
      </c>
      <c r="O581" s="321">
        <v>2.25</v>
      </c>
      <c r="P581" s="321">
        <v>2.25</v>
      </c>
      <c r="Q581" s="321">
        <v>2.25</v>
      </c>
      <c r="R581" s="321">
        <v>2.25</v>
      </c>
      <c r="S581" s="321">
        <v>2.25</v>
      </c>
      <c r="T581" s="321">
        <v>2.25</v>
      </c>
      <c r="U581" s="321">
        <v>0.45</v>
      </c>
      <c r="V581" s="308">
        <f t="shared" si="55"/>
        <v>27</v>
      </c>
      <c r="W581" s="308">
        <v>17.16</v>
      </c>
      <c r="X581" s="308">
        <f t="shared" si="56"/>
        <v>463.32</v>
      </c>
      <c r="Y581" s="322" t="s">
        <v>74</v>
      </c>
      <c r="Z581" s="575"/>
      <c r="AA581" s="567"/>
    </row>
    <row r="582" spans="1:27" s="318" customFormat="1" ht="15" customHeight="1" outlineLevel="1">
      <c r="A582" s="282">
        <v>578</v>
      </c>
      <c r="B582" s="282" t="s">
        <v>1</v>
      </c>
      <c r="C582" s="312" t="s">
        <v>841</v>
      </c>
      <c r="D582" s="313" t="s">
        <v>842</v>
      </c>
      <c r="E582" s="314">
        <v>62890</v>
      </c>
      <c r="F582" s="553" t="str">
        <f t="shared" si="54"/>
        <v>REALLâmpada fluorescente 9 W, 220 Vca</v>
      </c>
      <c r="G582" s="609">
        <f>Y582</f>
        <v>1</v>
      </c>
      <c r="H582" s="315" t="s">
        <v>228</v>
      </c>
      <c r="I582" s="323">
        <v>0</v>
      </c>
      <c r="J582" s="323">
        <v>0</v>
      </c>
      <c r="K582" s="323">
        <v>27</v>
      </c>
      <c r="L582" s="323">
        <v>0</v>
      </c>
      <c r="M582" s="323"/>
      <c r="N582" s="323"/>
      <c r="O582" s="323"/>
      <c r="P582" s="323"/>
      <c r="Q582" s="323"/>
      <c r="R582" s="323"/>
      <c r="S582" s="323"/>
      <c r="T582" s="323"/>
      <c r="U582" s="323"/>
      <c r="V582" s="316">
        <f t="shared" si="55"/>
        <v>27</v>
      </c>
      <c r="W582" s="316">
        <v>17.16</v>
      </c>
      <c r="X582" s="316">
        <f t="shared" si="56"/>
        <v>463.32</v>
      </c>
      <c r="Y582" s="322">
        <f>X582/X581</f>
        <v>1</v>
      </c>
      <c r="Z582" s="572"/>
      <c r="AA582" s="567"/>
    </row>
    <row r="583" spans="1:27" s="311" customFormat="1" ht="15" customHeight="1" outlineLevel="1">
      <c r="A583" s="273">
        <v>579</v>
      </c>
      <c r="B583" s="273" t="s">
        <v>0</v>
      </c>
      <c r="C583" s="305" t="s">
        <v>843</v>
      </c>
      <c r="D583" s="306" t="s">
        <v>844</v>
      </c>
      <c r="E583" s="307" t="s">
        <v>843</v>
      </c>
      <c r="F583" s="553" t="str">
        <f t="shared" si="54"/>
        <v>PREVLâmpada fluorescente compacta dupla 2p, 26 W/220 Vca.</v>
      </c>
      <c r="G583" s="611" t="s">
        <v>74</v>
      </c>
      <c r="H583" s="307" t="s">
        <v>228</v>
      </c>
      <c r="I583" s="321">
        <v>1.8</v>
      </c>
      <c r="J583" s="321">
        <v>2.25</v>
      </c>
      <c r="K583" s="321">
        <v>2.25</v>
      </c>
      <c r="L583" s="321">
        <v>2.25</v>
      </c>
      <c r="M583" s="321">
        <v>2.25</v>
      </c>
      <c r="N583" s="321">
        <v>2.25</v>
      </c>
      <c r="O583" s="321">
        <v>2.25</v>
      </c>
      <c r="P583" s="321">
        <v>2.25</v>
      </c>
      <c r="Q583" s="321">
        <v>2.25</v>
      </c>
      <c r="R583" s="321">
        <v>2.25</v>
      </c>
      <c r="S583" s="321">
        <v>2.25</v>
      </c>
      <c r="T583" s="321">
        <v>2.25</v>
      </c>
      <c r="U583" s="321">
        <v>0.45</v>
      </c>
      <c r="V583" s="308">
        <f t="shared" si="55"/>
        <v>27</v>
      </c>
      <c r="W583" s="308">
        <v>20.64</v>
      </c>
      <c r="X583" s="308">
        <f t="shared" si="56"/>
        <v>557.28</v>
      </c>
      <c r="Y583" s="322" t="s">
        <v>74</v>
      </c>
      <c r="Z583" s="575"/>
      <c r="AA583" s="567"/>
    </row>
    <row r="584" spans="1:27" s="318" customFormat="1" ht="15" customHeight="1" outlineLevel="1">
      <c r="A584" s="282">
        <v>580</v>
      </c>
      <c r="B584" s="282" t="s">
        <v>1</v>
      </c>
      <c r="C584" s="312" t="s">
        <v>843</v>
      </c>
      <c r="D584" s="313" t="s">
        <v>844</v>
      </c>
      <c r="E584" s="314" t="s">
        <v>843</v>
      </c>
      <c r="F584" s="553" t="str">
        <f t="shared" si="54"/>
        <v>REALLâmpada fluorescente compacta dupla 2p, 26 W/220 Vca.</v>
      </c>
      <c r="G584" s="609">
        <f>Y584</f>
        <v>0</v>
      </c>
      <c r="H584" s="315" t="s">
        <v>228</v>
      </c>
      <c r="I584" s="323">
        <v>0</v>
      </c>
      <c r="J584" s="323">
        <v>0</v>
      </c>
      <c r="K584" s="323">
        <v>0</v>
      </c>
      <c r="L584" s="323">
        <v>0</v>
      </c>
      <c r="M584" s="323"/>
      <c r="N584" s="323"/>
      <c r="O584" s="323"/>
      <c r="P584" s="323"/>
      <c r="Q584" s="323"/>
      <c r="R584" s="323"/>
      <c r="S584" s="323"/>
      <c r="T584" s="323"/>
      <c r="U584" s="323"/>
      <c r="V584" s="316">
        <f t="shared" si="55"/>
        <v>0</v>
      </c>
      <c r="W584" s="316">
        <v>20.64</v>
      </c>
      <c r="X584" s="316">
        <f t="shared" si="56"/>
        <v>0</v>
      </c>
      <c r="Y584" s="322">
        <f>X584/X583</f>
        <v>0</v>
      </c>
      <c r="Z584" s="572"/>
      <c r="AA584" s="567"/>
    </row>
    <row r="585" spans="1:27" s="311" customFormat="1" ht="15" customHeight="1" outlineLevel="1">
      <c r="A585" s="273">
        <v>581</v>
      </c>
      <c r="B585" s="273" t="s">
        <v>0</v>
      </c>
      <c r="C585" s="305" t="s">
        <v>845</v>
      </c>
      <c r="D585" s="306" t="s">
        <v>846</v>
      </c>
      <c r="E585" s="307" t="s">
        <v>845</v>
      </c>
      <c r="F585" s="553" t="str">
        <f t="shared" si="54"/>
        <v>PREVLâmpada fluorescente compacta tl5 23 W</v>
      </c>
      <c r="G585" s="611" t="s">
        <v>74</v>
      </c>
      <c r="H585" s="307" t="s">
        <v>228</v>
      </c>
      <c r="I585" s="321">
        <v>1.8</v>
      </c>
      <c r="J585" s="321">
        <v>2.25</v>
      </c>
      <c r="K585" s="321">
        <v>2.25</v>
      </c>
      <c r="L585" s="321">
        <v>2.25</v>
      </c>
      <c r="M585" s="321">
        <v>2.25</v>
      </c>
      <c r="N585" s="321">
        <v>2.25</v>
      </c>
      <c r="O585" s="321">
        <v>2.25</v>
      </c>
      <c r="P585" s="321">
        <v>2.25</v>
      </c>
      <c r="Q585" s="321">
        <v>2.25</v>
      </c>
      <c r="R585" s="321">
        <v>2.25</v>
      </c>
      <c r="S585" s="321">
        <v>2.25</v>
      </c>
      <c r="T585" s="321">
        <v>2.25</v>
      </c>
      <c r="U585" s="321">
        <v>0.45</v>
      </c>
      <c r="V585" s="308">
        <f t="shared" si="55"/>
        <v>27</v>
      </c>
      <c r="W585" s="308">
        <v>21</v>
      </c>
      <c r="X585" s="308">
        <f t="shared" si="56"/>
        <v>567</v>
      </c>
      <c r="Y585" s="322" t="s">
        <v>74</v>
      </c>
      <c r="Z585" s="575"/>
      <c r="AA585" s="567"/>
    </row>
    <row r="586" spans="1:27" s="318" customFormat="1" ht="15" customHeight="1" outlineLevel="1">
      <c r="A586" s="282">
        <v>582</v>
      </c>
      <c r="B586" s="282" t="s">
        <v>1</v>
      </c>
      <c r="C586" s="312" t="s">
        <v>845</v>
      </c>
      <c r="D586" s="313" t="s">
        <v>846</v>
      </c>
      <c r="E586" s="314" t="s">
        <v>845</v>
      </c>
      <c r="F586" s="553" t="str">
        <f t="shared" si="54"/>
        <v>REALLâmpada fluorescente compacta tl5 23 W</v>
      </c>
      <c r="G586" s="609">
        <f>Y586</f>
        <v>0</v>
      </c>
      <c r="H586" s="315" t="s">
        <v>228</v>
      </c>
      <c r="I586" s="323">
        <v>0</v>
      </c>
      <c r="J586" s="323">
        <v>0</v>
      </c>
      <c r="K586" s="323">
        <v>0</v>
      </c>
      <c r="L586" s="323">
        <v>0</v>
      </c>
      <c r="M586" s="323"/>
      <c r="N586" s="323"/>
      <c r="O586" s="323"/>
      <c r="P586" s="323"/>
      <c r="Q586" s="323"/>
      <c r="R586" s="323"/>
      <c r="S586" s="323"/>
      <c r="T586" s="323"/>
      <c r="U586" s="323"/>
      <c r="V586" s="316">
        <f t="shared" si="55"/>
        <v>0</v>
      </c>
      <c r="W586" s="316">
        <v>21</v>
      </c>
      <c r="X586" s="316">
        <f t="shared" si="56"/>
        <v>0</v>
      </c>
      <c r="Y586" s="322">
        <f>X586/X585</f>
        <v>0</v>
      </c>
      <c r="Z586" s="572"/>
      <c r="AA586" s="567"/>
    </row>
    <row r="587" spans="1:27" s="311" customFormat="1" ht="15" customHeight="1" outlineLevel="1">
      <c r="A587" s="273">
        <v>583</v>
      </c>
      <c r="B587" s="273" t="s">
        <v>0</v>
      </c>
      <c r="C587" s="305" t="s">
        <v>847</v>
      </c>
      <c r="D587" s="306" t="s">
        <v>848</v>
      </c>
      <c r="E587" s="307" t="s">
        <v>847</v>
      </c>
      <c r="F587" s="553" t="str">
        <f t="shared" si="54"/>
        <v>PREVLâmpada fluorescente compacta, potência nominal 18 W, bulbo t 4</v>
      </c>
      <c r="G587" s="611" t="s">
        <v>74</v>
      </c>
      <c r="H587" s="307" t="s">
        <v>228</v>
      </c>
      <c r="I587" s="321">
        <v>1.8</v>
      </c>
      <c r="J587" s="321">
        <v>2.25</v>
      </c>
      <c r="K587" s="321">
        <v>2.25</v>
      </c>
      <c r="L587" s="321">
        <v>2.25</v>
      </c>
      <c r="M587" s="321">
        <v>2.25</v>
      </c>
      <c r="N587" s="321">
        <v>2.25</v>
      </c>
      <c r="O587" s="321">
        <v>2.25</v>
      </c>
      <c r="P587" s="321">
        <v>2.25</v>
      </c>
      <c r="Q587" s="321">
        <v>2.25</v>
      </c>
      <c r="R587" s="321">
        <v>2.25</v>
      </c>
      <c r="S587" s="321">
        <v>2.25</v>
      </c>
      <c r="T587" s="321">
        <v>2.25</v>
      </c>
      <c r="U587" s="321">
        <v>0.45</v>
      </c>
      <c r="V587" s="308">
        <f t="shared" si="55"/>
        <v>27</v>
      </c>
      <c r="W587" s="308">
        <v>13.23</v>
      </c>
      <c r="X587" s="308">
        <f t="shared" si="56"/>
        <v>357.21000000000004</v>
      </c>
      <c r="Y587" s="322" t="s">
        <v>74</v>
      </c>
      <c r="Z587" s="575"/>
      <c r="AA587" s="567"/>
    </row>
    <row r="588" spans="1:27" s="318" customFormat="1" ht="15" customHeight="1" outlineLevel="1">
      <c r="A588" s="282">
        <v>584</v>
      </c>
      <c r="B588" s="282" t="s">
        <v>1</v>
      </c>
      <c r="C588" s="312" t="s">
        <v>847</v>
      </c>
      <c r="D588" s="313" t="s">
        <v>848</v>
      </c>
      <c r="E588" s="314" t="s">
        <v>847</v>
      </c>
      <c r="F588" s="553" t="str">
        <f t="shared" si="54"/>
        <v>REALLâmpada fluorescente compacta, potência nominal 18 W, bulbo t 4</v>
      </c>
      <c r="G588" s="609">
        <f>Y588</f>
        <v>1</v>
      </c>
      <c r="H588" s="315" t="s">
        <v>228</v>
      </c>
      <c r="I588" s="323">
        <v>0</v>
      </c>
      <c r="J588" s="323">
        <v>0</v>
      </c>
      <c r="K588" s="323">
        <v>27</v>
      </c>
      <c r="L588" s="323">
        <v>0</v>
      </c>
      <c r="M588" s="323"/>
      <c r="N588" s="323"/>
      <c r="O588" s="323"/>
      <c r="P588" s="323"/>
      <c r="Q588" s="323"/>
      <c r="R588" s="323"/>
      <c r="S588" s="323"/>
      <c r="T588" s="323"/>
      <c r="U588" s="323"/>
      <c r="V588" s="316">
        <f t="shared" si="55"/>
        <v>27</v>
      </c>
      <c r="W588" s="316">
        <v>13.23</v>
      </c>
      <c r="X588" s="316">
        <f t="shared" si="56"/>
        <v>357.21000000000004</v>
      </c>
      <c r="Y588" s="322">
        <f>X588/X587</f>
        <v>1</v>
      </c>
      <c r="Z588" s="572"/>
      <c r="AA588" s="567"/>
    </row>
    <row r="589" spans="1:27" s="311" customFormat="1" ht="15" customHeight="1" outlineLevel="1">
      <c r="A589" s="273">
        <v>585</v>
      </c>
      <c r="B589" s="273" t="s">
        <v>0</v>
      </c>
      <c r="C589" s="305" t="s">
        <v>849</v>
      </c>
      <c r="D589" s="306" t="s">
        <v>850</v>
      </c>
      <c r="E589" s="307" t="s">
        <v>849</v>
      </c>
      <c r="F589" s="553" t="str">
        <f t="shared" si="54"/>
        <v>PREVLâmpada fluorescente de 28 W, tms 450 2tl5</v>
      </c>
      <c r="G589" s="611" t="s">
        <v>74</v>
      </c>
      <c r="H589" s="307" t="s">
        <v>228</v>
      </c>
      <c r="I589" s="321">
        <v>1.8</v>
      </c>
      <c r="J589" s="321">
        <v>2.25</v>
      </c>
      <c r="K589" s="321">
        <v>2.25</v>
      </c>
      <c r="L589" s="321">
        <v>2.25</v>
      </c>
      <c r="M589" s="321">
        <v>2.25</v>
      </c>
      <c r="N589" s="321">
        <v>2.25</v>
      </c>
      <c r="O589" s="321">
        <v>2.25</v>
      </c>
      <c r="P589" s="321">
        <v>2.25</v>
      </c>
      <c r="Q589" s="321">
        <v>2.25</v>
      </c>
      <c r="R589" s="321">
        <v>2.25</v>
      </c>
      <c r="S589" s="321">
        <v>2.25</v>
      </c>
      <c r="T589" s="321">
        <v>2.25</v>
      </c>
      <c r="U589" s="321">
        <v>0.45</v>
      </c>
      <c r="V589" s="308">
        <f t="shared" si="55"/>
        <v>27</v>
      </c>
      <c r="W589" s="308">
        <v>22.66</v>
      </c>
      <c r="X589" s="308">
        <f t="shared" si="56"/>
        <v>611.82000000000005</v>
      </c>
      <c r="Y589" s="322" t="s">
        <v>74</v>
      </c>
      <c r="Z589" s="575"/>
      <c r="AA589" s="567"/>
    </row>
    <row r="590" spans="1:27" s="318" customFormat="1" ht="15" customHeight="1" outlineLevel="1">
      <c r="A590" s="282">
        <v>586</v>
      </c>
      <c r="B590" s="282" t="s">
        <v>1</v>
      </c>
      <c r="C590" s="312" t="s">
        <v>849</v>
      </c>
      <c r="D590" s="313" t="s">
        <v>850</v>
      </c>
      <c r="E590" s="314" t="s">
        <v>849</v>
      </c>
      <c r="F590" s="553" t="str">
        <f t="shared" si="54"/>
        <v>REALLâmpada fluorescente de 28 W, tms 450 2tl5</v>
      </c>
      <c r="G590" s="609">
        <f>Y590</f>
        <v>0</v>
      </c>
      <c r="H590" s="315" t="s">
        <v>228</v>
      </c>
      <c r="I590" s="323">
        <v>0</v>
      </c>
      <c r="J590" s="323">
        <v>0</v>
      </c>
      <c r="K590" s="323">
        <v>0</v>
      </c>
      <c r="L590" s="323">
        <v>0</v>
      </c>
      <c r="M590" s="323"/>
      <c r="N590" s="323"/>
      <c r="O590" s="323"/>
      <c r="P590" s="323"/>
      <c r="Q590" s="323"/>
      <c r="R590" s="323"/>
      <c r="S590" s="323"/>
      <c r="T590" s="323"/>
      <c r="U590" s="323"/>
      <c r="V590" s="316">
        <f t="shared" si="55"/>
        <v>0</v>
      </c>
      <c r="W590" s="316">
        <v>22.66</v>
      </c>
      <c r="X590" s="316">
        <f t="shared" si="56"/>
        <v>0</v>
      </c>
      <c r="Y590" s="322">
        <f>X590/X589</f>
        <v>0</v>
      </c>
      <c r="Z590" s="572"/>
      <c r="AA590" s="567"/>
    </row>
    <row r="591" spans="1:27" s="311" customFormat="1" ht="15" customHeight="1" outlineLevel="1">
      <c r="A591" s="273">
        <v>587</v>
      </c>
      <c r="B591" s="273" t="s">
        <v>0</v>
      </c>
      <c r="C591" s="305" t="s">
        <v>851</v>
      </c>
      <c r="D591" s="306" t="s">
        <v>852</v>
      </c>
      <c r="E591" s="307" t="s">
        <v>851</v>
      </c>
      <c r="F591" s="553" t="str">
        <f t="shared" si="54"/>
        <v>PREVLâmpada fluorescente tubular tl5 32 W</v>
      </c>
      <c r="G591" s="611" t="s">
        <v>74</v>
      </c>
      <c r="H591" s="307" t="s">
        <v>228</v>
      </c>
      <c r="I591" s="321">
        <v>1.8</v>
      </c>
      <c r="J591" s="321">
        <v>2.25</v>
      </c>
      <c r="K591" s="321">
        <v>2.25</v>
      </c>
      <c r="L591" s="321">
        <v>2.25</v>
      </c>
      <c r="M591" s="321">
        <v>2.25</v>
      </c>
      <c r="N591" s="321">
        <v>2.25</v>
      </c>
      <c r="O591" s="321">
        <v>2.25</v>
      </c>
      <c r="P591" s="321">
        <v>2.25</v>
      </c>
      <c r="Q591" s="321">
        <v>2.25</v>
      </c>
      <c r="R591" s="321">
        <v>2.25</v>
      </c>
      <c r="S591" s="321">
        <v>2.25</v>
      </c>
      <c r="T591" s="321">
        <v>2.25</v>
      </c>
      <c r="U591" s="321">
        <v>0.45</v>
      </c>
      <c r="V591" s="308">
        <f t="shared" si="55"/>
        <v>27</v>
      </c>
      <c r="W591" s="308">
        <v>11.63</v>
      </c>
      <c r="X591" s="308">
        <f t="shared" si="56"/>
        <v>314.01000000000005</v>
      </c>
      <c r="Y591" s="322" t="s">
        <v>74</v>
      </c>
      <c r="Z591" s="575"/>
      <c r="AA591" s="567"/>
    </row>
    <row r="592" spans="1:27" s="318" customFormat="1" ht="15" customHeight="1" outlineLevel="1">
      <c r="A592" s="282">
        <v>588</v>
      </c>
      <c r="B592" s="282" t="s">
        <v>1</v>
      </c>
      <c r="C592" s="312" t="s">
        <v>851</v>
      </c>
      <c r="D592" s="313" t="s">
        <v>852</v>
      </c>
      <c r="E592" s="314" t="s">
        <v>851</v>
      </c>
      <c r="F592" s="553" t="str">
        <f t="shared" si="54"/>
        <v>REALLâmpada fluorescente tubular tl5 32 W</v>
      </c>
      <c r="G592" s="609">
        <f>Y592</f>
        <v>0</v>
      </c>
      <c r="H592" s="315" t="s">
        <v>228</v>
      </c>
      <c r="I592" s="323">
        <v>0</v>
      </c>
      <c r="J592" s="323">
        <v>0</v>
      </c>
      <c r="K592" s="323">
        <v>0</v>
      </c>
      <c r="L592" s="323">
        <v>0</v>
      </c>
      <c r="M592" s="323"/>
      <c r="N592" s="323"/>
      <c r="O592" s="323"/>
      <c r="P592" s="323"/>
      <c r="Q592" s="323"/>
      <c r="R592" s="323"/>
      <c r="S592" s="323"/>
      <c r="T592" s="323"/>
      <c r="U592" s="323"/>
      <c r="V592" s="316">
        <f t="shared" si="55"/>
        <v>0</v>
      </c>
      <c r="W592" s="316">
        <v>11.63</v>
      </c>
      <c r="X592" s="316">
        <f t="shared" si="56"/>
        <v>0</v>
      </c>
      <c r="Y592" s="322">
        <f>X592/X591</f>
        <v>0</v>
      </c>
      <c r="Z592" s="572"/>
      <c r="AA592" s="567"/>
    </row>
    <row r="593" spans="1:27" s="311" customFormat="1" ht="15" customHeight="1" outlineLevel="1">
      <c r="A593" s="273">
        <v>589</v>
      </c>
      <c r="B593" s="273" t="s">
        <v>0</v>
      </c>
      <c r="C593" s="305" t="s">
        <v>853</v>
      </c>
      <c r="D593" s="306" t="s">
        <v>854</v>
      </c>
      <c r="E593" s="307" t="s">
        <v>853</v>
      </c>
      <c r="F593" s="553" t="str">
        <f t="shared" si="54"/>
        <v>PREVLâmpada fluorescente tubular, potência nominal 24 W e dimensões 549 x 16, cor luz do dia, bulbo T‐5, base G5)</v>
      </c>
      <c r="G593" s="611" t="s">
        <v>74</v>
      </c>
      <c r="H593" s="307" t="s">
        <v>228</v>
      </c>
      <c r="I593" s="321">
        <v>1.8</v>
      </c>
      <c r="J593" s="321">
        <v>2.25</v>
      </c>
      <c r="K593" s="321">
        <v>2.25</v>
      </c>
      <c r="L593" s="321">
        <v>2.25</v>
      </c>
      <c r="M593" s="321">
        <v>2.25</v>
      </c>
      <c r="N593" s="321">
        <v>2.25</v>
      </c>
      <c r="O593" s="321">
        <v>2.25</v>
      </c>
      <c r="P593" s="321">
        <v>2.25</v>
      </c>
      <c r="Q593" s="321">
        <v>2.25</v>
      </c>
      <c r="R593" s="321">
        <v>2.25</v>
      </c>
      <c r="S593" s="321">
        <v>2.25</v>
      </c>
      <c r="T593" s="321">
        <v>2.25</v>
      </c>
      <c r="U593" s="321">
        <v>0.45</v>
      </c>
      <c r="V593" s="308">
        <f t="shared" si="55"/>
        <v>27</v>
      </c>
      <c r="W593" s="308">
        <v>16.45</v>
      </c>
      <c r="X593" s="308">
        <f t="shared" si="56"/>
        <v>444.15</v>
      </c>
      <c r="Y593" s="322" t="s">
        <v>74</v>
      </c>
      <c r="Z593" s="575"/>
      <c r="AA593" s="567"/>
    </row>
    <row r="594" spans="1:27" s="318" customFormat="1" ht="15" customHeight="1" outlineLevel="1">
      <c r="A594" s="282">
        <v>590</v>
      </c>
      <c r="B594" s="282" t="s">
        <v>1</v>
      </c>
      <c r="C594" s="312" t="s">
        <v>853</v>
      </c>
      <c r="D594" s="313" t="s">
        <v>854</v>
      </c>
      <c r="E594" s="314" t="s">
        <v>853</v>
      </c>
      <c r="F594" s="553" t="str">
        <f t="shared" si="54"/>
        <v>REALLâmpada fluorescente tubular, potência nominal 24 W e dimensões 549 x 16, cor luz do dia, bulbo T‐5, base G5)</v>
      </c>
      <c r="G594" s="609">
        <f>Y594</f>
        <v>0</v>
      </c>
      <c r="H594" s="315" t="s">
        <v>228</v>
      </c>
      <c r="I594" s="323">
        <v>0</v>
      </c>
      <c r="J594" s="323">
        <v>0</v>
      </c>
      <c r="K594" s="323">
        <v>0</v>
      </c>
      <c r="L594" s="323">
        <v>0</v>
      </c>
      <c r="M594" s="323"/>
      <c r="N594" s="323"/>
      <c r="O594" s="323"/>
      <c r="P594" s="323"/>
      <c r="Q594" s="323"/>
      <c r="R594" s="323"/>
      <c r="S594" s="323"/>
      <c r="T594" s="323"/>
      <c r="U594" s="323"/>
      <c r="V594" s="316">
        <f t="shared" si="55"/>
        <v>0</v>
      </c>
      <c r="W594" s="316">
        <v>16.45</v>
      </c>
      <c r="X594" s="316">
        <f t="shared" si="56"/>
        <v>0</v>
      </c>
      <c r="Y594" s="322">
        <f>X594/X593</f>
        <v>0</v>
      </c>
      <c r="Z594" s="572"/>
      <c r="AA594" s="567"/>
    </row>
    <row r="595" spans="1:27" s="311" customFormat="1" ht="15" customHeight="1" outlineLevel="1">
      <c r="A595" s="273">
        <v>591</v>
      </c>
      <c r="B595" s="273" t="s">
        <v>0</v>
      </c>
      <c r="C595" s="305" t="s">
        <v>855</v>
      </c>
      <c r="D595" s="306" t="s">
        <v>856</v>
      </c>
      <c r="E595" s="307" t="s">
        <v>855</v>
      </c>
      <c r="F595" s="553" t="str">
        <f t="shared" si="54"/>
        <v>PREVLâmpada fluorescente, tipo pl eletrônica, 220 V ‐15 W</v>
      </c>
      <c r="G595" s="611" t="s">
        <v>74</v>
      </c>
      <c r="H595" s="307" t="s">
        <v>228</v>
      </c>
      <c r="I595" s="321">
        <v>1.8</v>
      </c>
      <c r="J595" s="321">
        <v>2.25</v>
      </c>
      <c r="K595" s="321">
        <v>2.25</v>
      </c>
      <c r="L595" s="321">
        <v>2.25</v>
      </c>
      <c r="M595" s="321">
        <v>2.25</v>
      </c>
      <c r="N595" s="321">
        <v>2.25</v>
      </c>
      <c r="O595" s="321">
        <v>2.25</v>
      </c>
      <c r="P595" s="321">
        <v>2.25</v>
      </c>
      <c r="Q595" s="321">
        <v>2.25</v>
      </c>
      <c r="R595" s="321">
        <v>2.25</v>
      </c>
      <c r="S595" s="321">
        <v>2.25</v>
      </c>
      <c r="T595" s="321">
        <v>2.25</v>
      </c>
      <c r="U595" s="321">
        <v>0.45</v>
      </c>
      <c r="V595" s="308">
        <f t="shared" si="55"/>
        <v>27</v>
      </c>
      <c r="W595" s="308">
        <v>17.21</v>
      </c>
      <c r="X595" s="308">
        <f t="shared" si="56"/>
        <v>464.67</v>
      </c>
      <c r="Y595" s="322" t="s">
        <v>74</v>
      </c>
      <c r="Z595" s="575"/>
      <c r="AA595" s="567"/>
    </row>
    <row r="596" spans="1:27" s="318" customFormat="1" ht="15" customHeight="1" outlineLevel="1">
      <c r="A596" s="282">
        <v>592</v>
      </c>
      <c r="B596" s="282" t="s">
        <v>1</v>
      </c>
      <c r="C596" s="312" t="s">
        <v>855</v>
      </c>
      <c r="D596" s="313" t="s">
        <v>856</v>
      </c>
      <c r="E596" s="314" t="s">
        <v>855</v>
      </c>
      <c r="F596" s="553" t="str">
        <f t="shared" si="54"/>
        <v>REALLâmpada fluorescente, tipo pl eletrônica, 220 V ‐15 W</v>
      </c>
      <c r="G596" s="609">
        <f>Y596</f>
        <v>1</v>
      </c>
      <c r="H596" s="315" t="s">
        <v>228</v>
      </c>
      <c r="I596" s="323">
        <v>0</v>
      </c>
      <c r="J596" s="323">
        <v>0</v>
      </c>
      <c r="K596" s="323">
        <v>27</v>
      </c>
      <c r="L596" s="323">
        <v>0</v>
      </c>
      <c r="M596" s="323"/>
      <c r="N596" s="323"/>
      <c r="O596" s="323"/>
      <c r="P596" s="323"/>
      <c r="Q596" s="323"/>
      <c r="R596" s="323"/>
      <c r="S596" s="323"/>
      <c r="T596" s="323"/>
      <c r="U596" s="323"/>
      <c r="V596" s="316">
        <f t="shared" si="55"/>
        <v>27</v>
      </c>
      <c r="W596" s="316">
        <v>17.21</v>
      </c>
      <c r="X596" s="316">
        <f t="shared" si="56"/>
        <v>464.67</v>
      </c>
      <c r="Y596" s="322">
        <f>X596/X595</f>
        <v>1</v>
      </c>
      <c r="Z596" s="572"/>
      <c r="AA596" s="567"/>
    </row>
    <row r="597" spans="1:27" s="311" customFormat="1" ht="15" customHeight="1" outlineLevel="1">
      <c r="A597" s="273">
        <v>593</v>
      </c>
      <c r="B597" s="273" t="s">
        <v>0</v>
      </c>
      <c r="C597" s="305" t="s">
        <v>857</v>
      </c>
      <c r="D597" s="306" t="s">
        <v>858</v>
      </c>
      <c r="E597" s="307" t="s">
        <v>857</v>
      </c>
      <c r="F597" s="553" t="str">
        <f t="shared" si="54"/>
        <v>PREVLâmpada vapor metálico 70 W</v>
      </c>
      <c r="G597" s="611" t="s">
        <v>74</v>
      </c>
      <c r="H597" s="307" t="s">
        <v>228</v>
      </c>
      <c r="I597" s="321">
        <v>1.8</v>
      </c>
      <c r="J597" s="321">
        <v>2.25</v>
      </c>
      <c r="K597" s="321">
        <v>2.25</v>
      </c>
      <c r="L597" s="321">
        <v>2.25</v>
      </c>
      <c r="M597" s="321">
        <v>2.25</v>
      </c>
      <c r="N597" s="321">
        <v>2.25</v>
      </c>
      <c r="O597" s="321">
        <v>2.25</v>
      </c>
      <c r="P597" s="321">
        <v>2.25</v>
      </c>
      <c r="Q597" s="321">
        <v>2.25</v>
      </c>
      <c r="R597" s="321">
        <v>2.25</v>
      </c>
      <c r="S597" s="321">
        <v>2.25</v>
      </c>
      <c r="T597" s="321">
        <v>2.25</v>
      </c>
      <c r="U597" s="321">
        <v>0.45</v>
      </c>
      <c r="V597" s="308">
        <f t="shared" si="55"/>
        <v>27</v>
      </c>
      <c r="W597" s="308">
        <v>86.75</v>
      </c>
      <c r="X597" s="308">
        <f t="shared" si="56"/>
        <v>2342.25</v>
      </c>
      <c r="Y597" s="322" t="s">
        <v>74</v>
      </c>
      <c r="Z597" s="575"/>
      <c r="AA597" s="567"/>
    </row>
    <row r="598" spans="1:27" s="318" customFormat="1" ht="15" customHeight="1" outlineLevel="1">
      <c r="A598" s="282">
        <v>594</v>
      </c>
      <c r="B598" s="282" t="s">
        <v>1</v>
      </c>
      <c r="C598" s="312" t="s">
        <v>857</v>
      </c>
      <c r="D598" s="313" t="s">
        <v>858</v>
      </c>
      <c r="E598" s="314" t="s">
        <v>857</v>
      </c>
      <c r="F598" s="553" t="str">
        <f t="shared" si="54"/>
        <v>REALLâmpada vapor metálico 70 W</v>
      </c>
      <c r="G598" s="609">
        <f>Y598</f>
        <v>1</v>
      </c>
      <c r="H598" s="315" t="s">
        <v>228</v>
      </c>
      <c r="I598" s="323">
        <v>0</v>
      </c>
      <c r="J598" s="323">
        <v>0</v>
      </c>
      <c r="K598" s="323">
        <v>27</v>
      </c>
      <c r="L598" s="323">
        <v>0</v>
      </c>
      <c r="M598" s="323"/>
      <c r="N598" s="323"/>
      <c r="O598" s="323"/>
      <c r="P598" s="323"/>
      <c r="Q598" s="323"/>
      <c r="R598" s="323"/>
      <c r="S598" s="323"/>
      <c r="T598" s="323"/>
      <c r="U598" s="323"/>
      <c r="V598" s="316">
        <f t="shared" si="55"/>
        <v>27</v>
      </c>
      <c r="W598" s="316">
        <v>86.75</v>
      </c>
      <c r="X598" s="316">
        <f t="shared" si="56"/>
        <v>2342.25</v>
      </c>
      <c r="Y598" s="322">
        <f>X598/X597</f>
        <v>1</v>
      </c>
      <c r="Z598" s="572"/>
      <c r="AA598" s="567"/>
    </row>
    <row r="599" spans="1:27" s="311" customFormat="1" ht="15" customHeight="1" outlineLevel="1">
      <c r="A599" s="273">
        <v>595</v>
      </c>
      <c r="B599" s="273" t="s">
        <v>0</v>
      </c>
      <c r="C599" s="305" t="s">
        <v>859</v>
      </c>
      <c r="D599" s="306" t="s">
        <v>860</v>
      </c>
      <c r="E599" s="307" t="s">
        <v>859</v>
      </c>
      <c r="F599" s="553" t="str">
        <f t="shared" si="54"/>
        <v>PREVLâmpada vapor metálico branca 400 W</v>
      </c>
      <c r="G599" s="611" t="s">
        <v>74</v>
      </c>
      <c r="H599" s="307" t="s">
        <v>228</v>
      </c>
      <c r="I599" s="321">
        <v>1.8</v>
      </c>
      <c r="J599" s="321">
        <v>2.25</v>
      </c>
      <c r="K599" s="321">
        <v>2.25</v>
      </c>
      <c r="L599" s="321">
        <v>2.25</v>
      </c>
      <c r="M599" s="321">
        <v>2.25</v>
      </c>
      <c r="N599" s="321">
        <v>2.25</v>
      </c>
      <c r="O599" s="321">
        <v>2.25</v>
      </c>
      <c r="P599" s="321">
        <v>2.25</v>
      </c>
      <c r="Q599" s="321">
        <v>2.25</v>
      </c>
      <c r="R599" s="321">
        <v>2.25</v>
      </c>
      <c r="S599" s="321">
        <v>2.25</v>
      </c>
      <c r="T599" s="321">
        <v>2.25</v>
      </c>
      <c r="U599" s="321">
        <v>0.45</v>
      </c>
      <c r="V599" s="308">
        <f t="shared" si="55"/>
        <v>27</v>
      </c>
      <c r="W599" s="308">
        <v>74.14</v>
      </c>
      <c r="X599" s="308">
        <f t="shared" si="56"/>
        <v>2001.78</v>
      </c>
      <c r="Y599" s="322" t="s">
        <v>74</v>
      </c>
      <c r="Z599" s="575"/>
      <c r="AA599" s="567"/>
    </row>
    <row r="600" spans="1:27" s="318" customFormat="1" ht="15" customHeight="1" outlineLevel="1">
      <c r="A600" s="282">
        <v>596</v>
      </c>
      <c r="B600" s="282" t="s">
        <v>1</v>
      </c>
      <c r="C600" s="312" t="s">
        <v>859</v>
      </c>
      <c r="D600" s="313" t="s">
        <v>860</v>
      </c>
      <c r="E600" s="314" t="s">
        <v>859</v>
      </c>
      <c r="F600" s="553" t="str">
        <f t="shared" si="54"/>
        <v>REALLâmpada vapor metálico branca 400 W</v>
      </c>
      <c r="G600" s="609">
        <f>Y600</f>
        <v>1</v>
      </c>
      <c r="H600" s="315" t="s">
        <v>228</v>
      </c>
      <c r="I600" s="323">
        <v>0</v>
      </c>
      <c r="J600" s="323">
        <v>0</v>
      </c>
      <c r="K600" s="323">
        <v>27</v>
      </c>
      <c r="L600" s="323">
        <v>0</v>
      </c>
      <c r="M600" s="323"/>
      <c r="N600" s="323"/>
      <c r="O600" s="323"/>
      <c r="P600" s="323"/>
      <c r="Q600" s="323"/>
      <c r="R600" s="323"/>
      <c r="S600" s="323"/>
      <c r="T600" s="323"/>
      <c r="U600" s="323"/>
      <c r="V600" s="316">
        <f t="shared" si="55"/>
        <v>27</v>
      </c>
      <c r="W600" s="316">
        <v>74.14</v>
      </c>
      <c r="X600" s="316">
        <f t="shared" si="56"/>
        <v>2001.78</v>
      </c>
      <c r="Y600" s="322">
        <f>X600/X599</f>
        <v>1</v>
      </c>
      <c r="Z600" s="572"/>
      <c r="AA600" s="567"/>
    </row>
    <row r="601" spans="1:27" s="311" customFormat="1" ht="15" customHeight="1" outlineLevel="1">
      <c r="A601" s="273">
        <v>597</v>
      </c>
      <c r="B601" s="273" t="s">
        <v>0</v>
      </c>
      <c r="C601" s="305" t="s">
        <v>861</v>
      </c>
      <c r="D601" s="306" t="s">
        <v>862</v>
      </c>
      <c r="E601" s="307" t="s">
        <v>861</v>
      </c>
      <c r="F601" s="553" t="str">
        <f t="shared" si="54"/>
        <v>PREVLâmpadas diversas led</v>
      </c>
      <c r="G601" s="611" t="s">
        <v>74</v>
      </c>
      <c r="H601" s="307" t="s">
        <v>228</v>
      </c>
      <c r="I601" s="321">
        <v>4</v>
      </c>
      <c r="J601" s="321">
        <v>5</v>
      </c>
      <c r="K601" s="321">
        <v>5</v>
      </c>
      <c r="L601" s="321">
        <v>5</v>
      </c>
      <c r="M601" s="321">
        <v>5</v>
      </c>
      <c r="N601" s="321">
        <v>5</v>
      </c>
      <c r="O601" s="321">
        <v>5</v>
      </c>
      <c r="P601" s="321">
        <v>5</v>
      </c>
      <c r="Q601" s="321">
        <v>5</v>
      </c>
      <c r="R601" s="321">
        <v>5</v>
      </c>
      <c r="S601" s="321">
        <v>5</v>
      </c>
      <c r="T601" s="321">
        <v>5</v>
      </c>
      <c r="U601" s="321">
        <v>1</v>
      </c>
      <c r="V601" s="407">
        <f t="shared" si="55"/>
        <v>60</v>
      </c>
      <c r="W601" s="308">
        <v>18.190000000000001</v>
      </c>
      <c r="X601" s="308">
        <f t="shared" si="56"/>
        <v>1091.4000000000001</v>
      </c>
      <c r="Y601" s="322" t="s">
        <v>74</v>
      </c>
      <c r="Z601" s="575"/>
      <c r="AA601" s="567"/>
    </row>
    <row r="602" spans="1:27" s="318" customFormat="1" ht="15" customHeight="1" outlineLevel="1">
      <c r="A602" s="282">
        <v>598</v>
      </c>
      <c r="B602" s="282" t="s">
        <v>1</v>
      </c>
      <c r="C602" s="312" t="s">
        <v>861</v>
      </c>
      <c r="D602" s="313" t="s">
        <v>862</v>
      </c>
      <c r="E602" s="314">
        <v>66542</v>
      </c>
      <c r="F602" s="553" t="str">
        <f t="shared" si="54"/>
        <v>REALLâmpadas diversas led</v>
      </c>
      <c r="G602" s="609">
        <f>Y602</f>
        <v>1</v>
      </c>
      <c r="H602" s="315" t="s">
        <v>228</v>
      </c>
      <c r="I602" s="323">
        <v>0</v>
      </c>
      <c r="J602" s="323">
        <v>0</v>
      </c>
      <c r="K602" s="323">
        <v>60</v>
      </c>
      <c r="L602" s="323">
        <v>0</v>
      </c>
      <c r="M602" s="323"/>
      <c r="N602" s="323"/>
      <c r="O602" s="323"/>
      <c r="P602" s="323"/>
      <c r="Q602" s="323"/>
      <c r="R602" s="323"/>
      <c r="S602" s="323"/>
      <c r="T602" s="323"/>
      <c r="U602" s="323"/>
      <c r="V602" s="316">
        <f t="shared" si="55"/>
        <v>60</v>
      </c>
      <c r="W602" s="316">
        <v>18.190000000000001</v>
      </c>
      <c r="X602" s="316">
        <f t="shared" si="56"/>
        <v>1091.4000000000001</v>
      </c>
      <c r="Y602" s="322">
        <f>X602/X601</f>
        <v>1</v>
      </c>
      <c r="Z602" s="572"/>
      <c r="AA602" s="567"/>
    </row>
    <row r="603" spans="1:27" s="311" customFormat="1" ht="15" customHeight="1" outlineLevel="1">
      <c r="A603" s="273">
        <v>599</v>
      </c>
      <c r="B603" s="273" t="s">
        <v>0</v>
      </c>
      <c r="C603" s="305" t="s">
        <v>863</v>
      </c>
      <c r="D603" s="306" t="s">
        <v>864</v>
      </c>
      <c r="E603" s="307" t="s">
        <v>863</v>
      </c>
      <c r="F603" s="553" t="str">
        <f t="shared" si="54"/>
        <v>PREVMicroswitch m3c‐25 V ‐ 15A</v>
      </c>
      <c r="G603" s="611" t="s">
        <v>74</v>
      </c>
      <c r="H603" s="307" t="s">
        <v>228</v>
      </c>
      <c r="I603" s="321">
        <v>0.2</v>
      </c>
      <c r="J603" s="321">
        <v>0.25</v>
      </c>
      <c r="K603" s="321">
        <v>0.25</v>
      </c>
      <c r="L603" s="321">
        <v>0.25</v>
      </c>
      <c r="M603" s="321">
        <v>0.25</v>
      </c>
      <c r="N603" s="321">
        <v>0.25</v>
      </c>
      <c r="O603" s="321">
        <v>0.25</v>
      </c>
      <c r="P603" s="321">
        <v>0.25</v>
      </c>
      <c r="Q603" s="321">
        <v>0.25</v>
      </c>
      <c r="R603" s="321">
        <v>0.25</v>
      </c>
      <c r="S603" s="321">
        <v>0.25</v>
      </c>
      <c r="T603" s="321">
        <v>0.25</v>
      </c>
      <c r="U603" s="321">
        <v>0.05</v>
      </c>
      <c r="V603" s="308">
        <f t="shared" si="55"/>
        <v>3</v>
      </c>
      <c r="W603" s="308">
        <v>24.69</v>
      </c>
      <c r="X603" s="308">
        <f t="shared" si="56"/>
        <v>74.070000000000007</v>
      </c>
      <c r="Y603" s="322" t="s">
        <v>74</v>
      </c>
      <c r="Z603" s="575"/>
      <c r="AA603" s="567"/>
    </row>
    <row r="604" spans="1:27" s="318" customFormat="1" ht="15" customHeight="1" outlineLevel="1">
      <c r="A604" s="282">
        <v>600</v>
      </c>
      <c r="B604" s="282" t="s">
        <v>1</v>
      </c>
      <c r="C604" s="312" t="s">
        <v>863</v>
      </c>
      <c r="D604" s="313" t="s">
        <v>864</v>
      </c>
      <c r="E604" s="314" t="s">
        <v>863</v>
      </c>
      <c r="F604" s="553" t="str">
        <f t="shared" si="54"/>
        <v>REALMicroswitch m3c‐25 V ‐ 15A</v>
      </c>
      <c r="G604" s="609">
        <f>Y604</f>
        <v>0</v>
      </c>
      <c r="H604" s="315" t="s">
        <v>228</v>
      </c>
      <c r="I604" s="323">
        <v>0</v>
      </c>
      <c r="J604" s="323">
        <v>0</v>
      </c>
      <c r="K604" s="323">
        <v>0</v>
      </c>
      <c r="L604" s="323">
        <v>0</v>
      </c>
      <c r="M604" s="323"/>
      <c r="N604" s="323"/>
      <c r="O604" s="323"/>
      <c r="P604" s="323"/>
      <c r="Q604" s="323"/>
      <c r="R604" s="323"/>
      <c r="S604" s="323"/>
      <c r="T604" s="323"/>
      <c r="U604" s="323"/>
      <c r="V604" s="316">
        <f t="shared" si="55"/>
        <v>0</v>
      </c>
      <c r="W604" s="316">
        <v>24.69</v>
      </c>
      <c r="X604" s="316">
        <f t="shared" si="56"/>
        <v>0</v>
      </c>
      <c r="Y604" s="322">
        <f>X604/X603</f>
        <v>0</v>
      </c>
      <c r="Z604" s="572"/>
      <c r="AA604" s="567"/>
    </row>
    <row r="605" spans="1:27" s="311" customFormat="1" ht="15" customHeight="1" outlineLevel="1">
      <c r="A605" s="273">
        <v>601</v>
      </c>
      <c r="B605" s="273" t="s">
        <v>0</v>
      </c>
      <c r="C605" s="305" t="s">
        <v>865</v>
      </c>
      <c r="D605" s="306" t="s">
        <v>866</v>
      </c>
      <c r="E605" s="307" t="s">
        <v>865</v>
      </c>
      <c r="F605" s="553" t="str">
        <f t="shared" si="54"/>
        <v>PREVMini solenoíde 125 Vcc</v>
      </c>
      <c r="G605" s="611" t="s">
        <v>74</v>
      </c>
      <c r="H605" s="307" t="s">
        <v>228</v>
      </c>
      <c r="I605" s="321">
        <v>0.8640000000000001</v>
      </c>
      <c r="J605" s="321">
        <v>1.08</v>
      </c>
      <c r="K605" s="321">
        <v>1.08</v>
      </c>
      <c r="L605" s="321">
        <v>1.08</v>
      </c>
      <c r="M605" s="321">
        <v>1.08</v>
      </c>
      <c r="N605" s="321">
        <v>1.08</v>
      </c>
      <c r="O605" s="321">
        <v>1.08</v>
      </c>
      <c r="P605" s="321">
        <v>1.08</v>
      </c>
      <c r="Q605" s="321">
        <v>1.0900000000000001</v>
      </c>
      <c r="R605" s="321">
        <v>1.0900000000000001</v>
      </c>
      <c r="S605" s="321">
        <v>1.0900000000000001</v>
      </c>
      <c r="T605" s="321">
        <v>1.0900000000000001</v>
      </c>
      <c r="U605" s="321">
        <v>0.21800000000000003</v>
      </c>
      <c r="V605" s="308">
        <f t="shared" si="55"/>
        <v>13.001999999999999</v>
      </c>
      <c r="W605" s="308">
        <v>296.31</v>
      </c>
      <c r="X605" s="308">
        <f t="shared" si="56"/>
        <v>3852.6226199999996</v>
      </c>
      <c r="Y605" s="322" t="s">
        <v>74</v>
      </c>
      <c r="Z605" s="575"/>
      <c r="AA605" s="567"/>
    </row>
    <row r="606" spans="1:27" s="318" customFormat="1" ht="15" customHeight="1" outlineLevel="1">
      <c r="A606" s="282">
        <v>602</v>
      </c>
      <c r="B606" s="282" t="s">
        <v>1</v>
      </c>
      <c r="C606" s="312" t="s">
        <v>865</v>
      </c>
      <c r="D606" s="313" t="s">
        <v>866</v>
      </c>
      <c r="E606" s="314" t="s">
        <v>865</v>
      </c>
      <c r="F606" s="553" t="str">
        <f t="shared" si="54"/>
        <v>REALMini solenoíde 125 Vcc</v>
      </c>
      <c r="G606" s="609">
        <f>Y606</f>
        <v>0</v>
      </c>
      <c r="H606" s="315" t="s">
        <v>228</v>
      </c>
      <c r="I606" s="323">
        <v>0</v>
      </c>
      <c r="J606" s="323">
        <v>0</v>
      </c>
      <c r="K606" s="323">
        <v>0</v>
      </c>
      <c r="L606" s="323">
        <v>0</v>
      </c>
      <c r="M606" s="323"/>
      <c r="N606" s="323"/>
      <c r="O606" s="323"/>
      <c r="P606" s="323"/>
      <c r="Q606" s="323"/>
      <c r="R606" s="323"/>
      <c r="S606" s="323"/>
      <c r="T606" s="323"/>
      <c r="U606" s="323"/>
      <c r="V606" s="316">
        <f t="shared" si="55"/>
        <v>0</v>
      </c>
      <c r="W606" s="316">
        <v>296.31</v>
      </c>
      <c r="X606" s="316">
        <f t="shared" si="56"/>
        <v>0</v>
      </c>
      <c r="Y606" s="322">
        <f>X606/X605</f>
        <v>0</v>
      </c>
      <c r="Z606" s="572"/>
      <c r="AA606" s="567"/>
    </row>
    <row r="607" spans="1:27" s="311" customFormat="1" ht="15" customHeight="1" outlineLevel="1">
      <c r="A607" s="273">
        <v>603</v>
      </c>
      <c r="B607" s="273" t="s">
        <v>0</v>
      </c>
      <c r="C607" s="305" t="s">
        <v>867</v>
      </c>
      <c r="D607" s="306" t="s">
        <v>868</v>
      </c>
      <c r="E607" s="307" t="s">
        <v>867</v>
      </c>
      <c r="F607" s="553" t="str">
        <f t="shared" si="54"/>
        <v>PREVMinidisjuntor termomagnético, bipolar, 10 A, 125 Vcc, 10 kA</v>
      </c>
      <c r="G607" s="611" t="s">
        <v>74</v>
      </c>
      <c r="H607" s="307" t="s">
        <v>228</v>
      </c>
      <c r="I607" s="321">
        <v>0.46399999999999997</v>
      </c>
      <c r="J607" s="321">
        <v>0.57999999999999996</v>
      </c>
      <c r="K607" s="321">
        <v>0.57999999999999996</v>
      </c>
      <c r="L607" s="321">
        <v>0.57999999999999996</v>
      </c>
      <c r="M607" s="321">
        <v>0.57999999999999996</v>
      </c>
      <c r="N607" s="321">
        <v>0.57999999999999996</v>
      </c>
      <c r="O607" s="321">
        <v>0.57999999999999996</v>
      </c>
      <c r="P607" s="321">
        <v>0.57999999999999996</v>
      </c>
      <c r="Q607" s="321">
        <v>0.59</v>
      </c>
      <c r="R607" s="321">
        <v>0.59</v>
      </c>
      <c r="S607" s="321">
        <v>0.59</v>
      </c>
      <c r="T607" s="321">
        <v>0.59</v>
      </c>
      <c r="U607" s="321">
        <v>0.11799999999999999</v>
      </c>
      <c r="V607" s="308">
        <f t="shared" si="55"/>
        <v>7.0019999999999998</v>
      </c>
      <c r="W607" s="308">
        <v>175.77</v>
      </c>
      <c r="X607" s="308">
        <f t="shared" si="56"/>
        <v>1230.74154</v>
      </c>
      <c r="Y607" s="322" t="s">
        <v>74</v>
      </c>
      <c r="Z607" s="575"/>
      <c r="AA607" s="567"/>
    </row>
    <row r="608" spans="1:27" s="318" customFormat="1" ht="15" customHeight="1" outlineLevel="1">
      <c r="A608" s="282">
        <v>604</v>
      </c>
      <c r="B608" s="282" t="s">
        <v>1</v>
      </c>
      <c r="C608" s="312" t="s">
        <v>867</v>
      </c>
      <c r="D608" s="313" t="s">
        <v>868</v>
      </c>
      <c r="E608" s="314" t="s">
        <v>867</v>
      </c>
      <c r="F608" s="553" t="str">
        <f t="shared" si="54"/>
        <v>REALMinidisjuntor termomagnético, bipolar, 10 A, 125 Vcc, 10 kA</v>
      </c>
      <c r="G608" s="609">
        <f>Y608</f>
        <v>0</v>
      </c>
      <c r="H608" s="315" t="s">
        <v>228</v>
      </c>
      <c r="I608" s="323">
        <v>0</v>
      </c>
      <c r="J608" s="323">
        <v>0</v>
      </c>
      <c r="K608" s="323">
        <v>0</v>
      </c>
      <c r="L608" s="323">
        <v>0</v>
      </c>
      <c r="M608" s="323"/>
      <c r="N608" s="323"/>
      <c r="O608" s="323"/>
      <c r="P608" s="323"/>
      <c r="Q608" s="323"/>
      <c r="R608" s="323"/>
      <c r="S608" s="323"/>
      <c r="T608" s="323"/>
      <c r="U608" s="323"/>
      <c r="V608" s="316">
        <f t="shared" si="55"/>
        <v>0</v>
      </c>
      <c r="W608" s="316">
        <v>175.77</v>
      </c>
      <c r="X608" s="316">
        <f t="shared" si="56"/>
        <v>0</v>
      </c>
      <c r="Y608" s="322">
        <f>X608/X607</f>
        <v>0</v>
      </c>
      <c r="Z608" s="572"/>
      <c r="AA608" s="567"/>
    </row>
    <row r="609" spans="1:27" s="311" customFormat="1" ht="15" customHeight="1" outlineLevel="1">
      <c r="A609" s="273">
        <v>605</v>
      </c>
      <c r="B609" s="273" t="s">
        <v>0</v>
      </c>
      <c r="C609" s="305" t="s">
        <v>869</v>
      </c>
      <c r="D609" s="306" t="s">
        <v>870</v>
      </c>
      <c r="E609" s="307" t="s">
        <v>869</v>
      </c>
      <c r="F609" s="553" t="str">
        <f t="shared" si="54"/>
        <v>PREVMinidisjuntor termomagnético, monopolar, 10 A, 230 Vca, 10 kA</v>
      </c>
      <c r="G609" s="611" t="s">
        <v>74</v>
      </c>
      <c r="H609" s="307" t="s">
        <v>228</v>
      </c>
      <c r="I609" s="321">
        <v>0.46399999999999997</v>
      </c>
      <c r="J609" s="321">
        <v>0.57999999999999996</v>
      </c>
      <c r="K609" s="321">
        <v>0.57999999999999996</v>
      </c>
      <c r="L609" s="321">
        <v>0.57999999999999996</v>
      </c>
      <c r="M609" s="321">
        <v>0.57999999999999996</v>
      </c>
      <c r="N609" s="321">
        <v>0.57999999999999996</v>
      </c>
      <c r="O609" s="321">
        <v>0.57999999999999996</v>
      </c>
      <c r="P609" s="321">
        <v>0.57999999999999996</v>
      </c>
      <c r="Q609" s="321">
        <v>0.59</v>
      </c>
      <c r="R609" s="321">
        <v>0.59</v>
      </c>
      <c r="S609" s="321">
        <v>0.59</v>
      </c>
      <c r="T609" s="321">
        <v>0.59</v>
      </c>
      <c r="U609" s="321">
        <v>0.11799999999999999</v>
      </c>
      <c r="V609" s="308">
        <f t="shared" si="55"/>
        <v>7.0019999999999998</v>
      </c>
      <c r="W609" s="308">
        <v>62.94</v>
      </c>
      <c r="X609" s="308">
        <f t="shared" si="56"/>
        <v>440.70587999999998</v>
      </c>
      <c r="Y609" s="322" t="s">
        <v>74</v>
      </c>
      <c r="Z609" s="575"/>
      <c r="AA609" s="567"/>
    </row>
    <row r="610" spans="1:27" s="318" customFormat="1" ht="15" customHeight="1" outlineLevel="1">
      <c r="A610" s="282">
        <v>606</v>
      </c>
      <c r="B610" s="282" t="s">
        <v>1</v>
      </c>
      <c r="C610" s="312" t="s">
        <v>869</v>
      </c>
      <c r="D610" s="313" t="s">
        <v>870</v>
      </c>
      <c r="E610" s="314" t="s">
        <v>869</v>
      </c>
      <c r="F610" s="553" t="str">
        <f t="shared" si="54"/>
        <v>REALMinidisjuntor termomagnético, monopolar, 10 A, 230 Vca, 10 kA</v>
      </c>
      <c r="G610" s="609">
        <f>Y610</f>
        <v>0</v>
      </c>
      <c r="H610" s="315" t="s">
        <v>228</v>
      </c>
      <c r="I610" s="323">
        <v>0</v>
      </c>
      <c r="J610" s="323">
        <v>0</v>
      </c>
      <c r="K610" s="323">
        <v>0</v>
      </c>
      <c r="L610" s="323">
        <v>0</v>
      </c>
      <c r="M610" s="323"/>
      <c r="N610" s="323"/>
      <c r="O610" s="323"/>
      <c r="P610" s="323"/>
      <c r="Q610" s="323"/>
      <c r="R610" s="323"/>
      <c r="S610" s="323"/>
      <c r="T610" s="323"/>
      <c r="U610" s="323"/>
      <c r="V610" s="316">
        <f t="shared" si="55"/>
        <v>0</v>
      </c>
      <c r="W610" s="316">
        <v>62.94</v>
      </c>
      <c r="X610" s="316">
        <f t="shared" si="56"/>
        <v>0</v>
      </c>
      <c r="Y610" s="322">
        <f>X610/X609</f>
        <v>0</v>
      </c>
      <c r="Z610" s="572"/>
      <c r="AA610" s="567"/>
    </row>
    <row r="611" spans="1:27" s="311" customFormat="1" ht="15" customHeight="1" outlineLevel="1">
      <c r="A611" s="273">
        <v>607</v>
      </c>
      <c r="B611" s="273" t="s">
        <v>0</v>
      </c>
      <c r="C611" s="305" t="s">
        <v>871</v>
      </c>
      <c r="D611" s="306" t="s">
        <v>872</v>
      </c>
      <c r="E611" s="307" t="s">
        <v>871</v>
      </c>
      <c r="F611" s="553" t="str">
        <f t="shared" si="54"/>
        <v>PREVMinidisjuntor termomagnético, tripolar, 2A, 230 Vca, 10 kA</v>
      </c>
      <c r="G611" s="611" t="s">
        <v>74</v>
      </c>
      <c r="H611" s="307" t="s">
        <v>228</v>
      </c>
      <c r="I611" s="321">
        <v>0.46399999999999997</v>
      </c>
      <c r="J611" s="321">
        <v>0.57999999999999996</v>
      </c>
      <c r="K611" s="321">
        <v>0.57999999999999996</v>
      </c>
      <c r="L611" s="321">
        <v>0.57999999999999996</v>
      </c>
      <c r="M611" s="321">
        <v>0.57999999999999996</v>
      </c>
      <c r="N611" s="321">
        <v>0.57999999999999996</v>
      </c>
      <c r="O611" s="321">
        <v>0.57999999999999996</v>
      </c>
      <c r="P611" s="321">
        <v>0.57999999999999996</v>
      </c>
      <c r="Q611" s="321">
        <v>0.59</v>
      </c>
      <c r="R611" s="321">
        <v>0.59</v>
      </c>
      <c r="S611" s="321">
        <v>0.59</v>
      </c>
      <c r="T611" s="321">
        <v>0.59</v>
      </c>
      <c r="U611" s="321">
        <v>0.11799999999999999</v>
      </c>
      <c r="V611" s="308">
        <f t="shared" si="55"/>
        <v>7.0019999999999998</v>
      </c>
      <c r="W611" s="308">
        <v>541.78</v>
      </c>
      <c r="X611" s="308">
        <f t="shared" si="56"/>
        <v>3793.5435599999996</v>
      </c>
      <c r="Y611" s="322" t="s">
        <v>74</v>
      </c>
      <c r="Z611" s="575"/>
      <c r="AA611" s="567"/>
    </row>
    <row r="612" spans="1:27" s="318" customFormat="1" ht="15" customHeight="1" outlineLevel="1">
      <c r="A612" s="282">
        <v>608</v>
      </c>
      <c r="B612" s="282" t="s">
        <v>1</v>
      </c>
      <c r="C612" s="312" t="s">
        <v>871</v>
      </c>
      <c r="D612" s="313" t="s">
        <v>872</v>
      </c>
      <c r="E612" s="314" t="s">
        <v>871</v>
      </c>
      <c r="F612" s="553" t="str">
        <f t="shared" si="54"/>
        <v>REALMinidisjuntor termomagnético, tripolar, 2A, 230 Vca, 10 kA</v>
      </c>
      <c r="G612" s="609">
        <f>Y612</f>
        <v>0</v>
      </c>
      <c r="H612" s="315" t="s">
        <v>228</v>
      </c>
      <c r="I612" s="323">
        <v>0</v>
      </c>
      <c r="J612" s="323">
        <v>0</v>
      </c>
      <c r="K612" s="323">
        <v>0</v>
      </c>
      <c r="L612" s="323">
        <v>0</v>
      </c>
      <c r="M612" s="323"/>
      <c r="N612" s="323"/>
      <c r="O612" s="323"/>
      <c r="P612" s="323"/>
      <c r="Q612" s="323"/>
      <c r="R612" s="323"/>
      <c r="S612" s="323"/>
      <c r="T612" s="323"/>
      <c r="U612" s="323"/>
      <c r="V612" s="316">
        <f t="shared" si="55"/>
        <v>0</v>
      </c>
      <c r="W612" s="316">
        <v>541.78</v>
      </c>
      <c r="X612" s="316">
        <f t="shared" si="56"/>
        <v>0</v>
      </c>
      <c r="Y612" s="322">
        <f>X612/X611</f>
        <v>0</v>
      </c>
      <c r="Z612" s="572"/>
      <c r="AA612" s="567"/>
    </row>
    <row r="613" spans="1:27" s="311" customFormat="1" ht="15" customHeight="1" outlineLevel="1">
      <c r="A613" s="273">
        <v>609</v>
      </c>
      <c r="B613" s="273" t="s">
        <v>0</v>
      </c>
      <c r="C613" s="305" t="s">
        <v>873</v>
      </c>
      <c r="D613" s="306" t="s">
        <v>874</v>
      </c>
      <c r="E613" s="307" t="s">
        <v>873</v>
      </c>
      <c r="F613" s="553" t="str">
        <f t="shared" si="54"/>
        <v>PREVMinidisjuntor 10A, 2 pólos, 6 kA, curva c</v>
      </c>
      <c r="G613" s="611" t="s">
        <v>74</v>
      </c>
      <c r="H613" s="307" t="s">
        <v>228</v>
      </c>
      <c r="I613" s="321">
        <v>0.26400000000000001</v>
      </c>
      <c r="J613" s="321">
        <v>0.33</v>
      </c>
      <c r="K613" s="321">
        <v>0.33</v>
      </c>
      <c r="L613" s="321">
        <v>0.33</v>
      </c>
      <c r="M613" s="321">
        <v>0.33</v>
      </c>
      <c r="N613" s="321">
        <v>0.33</v>
      </c>
      <c r="O613" s="321">
        <v>0.33</v>
      </c>
      <c r="P613" s="321">
        <v>0.33</v>
      </c>
      <c r="Q613" s="321">
        <v>0.34</v>
      </c>
      <c r="R613" s="321">
        <v>0.34</v>
      </c>
      <c r="S613" s="321">
        <v>0.34</v>
      </c>
      <c r="T613" s="321">
        <v>0.34</v>
      </c>
      <c r="U613" s="321">
        <v>6.8000000000000005E-2</v>
      </c>
      <c r="V613" s="308">
        <f t="shared" si="55"/>
        <v>4.0019999999999998</v>
      </c>
      <c r="W613" s="308">
        <v>152.29</v>
      </c>
      <c r="X613" s="308">
        <f t="shared" si="56"/>
        <v>609.46457999999996</v>
      </c>
      <c r="Y613" s="322" t="s">
        <v>74</v>
      </c>
      <c r="Z613" s="575"/>
      <c r="AA613" s="567"/>
    </row>
    <row r="614" spans="1:27" s="318" customFormat="1" ht="15" customHeight="1" outlineLevel="1">
      <c r="A614" s="282">
        <v>610</v>
      </c>
      <c r="B614" s="282" t="s">
        <v>1</v>
      </c>
      <c r="C614" s="312" t="s">
        <v>873</v>
      </c>
      <c r="D614" s="313" t="s">
        <v>874</v>
      </c>
      <c r="E614" s="314" t="s">
        <v>873</v>
      </c>
      <c r="F614" s="553" t="str">
        <f t="shared" si="54"/>
        <v>REALMinidisjuntor 10A, 2 pólos, 6 kA, curva c</v>
      </c>
      <c r="G614" s="609">
        <f>Y614</f>
        <v>0</v>
      </c>
      <c r="H614" s="315" t="s">
        <v>228</v>
      </c>
      <c r="I614" s="323">
        <v>0</v>
      </c>
      <c r="J614" s="323">
        <v>0</v>
      </c>
      <c r="K614" s="323">
        <v>0</v>
      </c>
      <c r="L614" s="323">
        <v>0</v>
      </c>
      <c r="M614" s="323"/>
      <c r="N614" s="323"/>
      <c r="O614" s="323"/>
      <c r="P614" s="323"/>
      <c r="Q614" s="323"/>
      <c r="R614" s="323"/>
      <c r="S614" s="323"/>
      <c r="T614" s="323"/>
      <c r="U614" s="323"/>
      <c r="V614" s="316">
        <f t="shared" si="55"/>
        <v>0</v>
      </c>
      <c r="W614" s="316">
        <v>152.29</v>
      </c>
      <c r="X614" s="316">
        <f t="shared" si="56"/>
        <v>0</v>
      </c>
      <c r="Y614" s="322">
        <f>X614/X613</f>
        <v>0</v>
      </c>
      <c r="Z614" s="572"/>
      <c r="AA614" s="567"/>
    </row>
    <row r="615" spans="1:27" s="311" customFormat="1" ht="15" customHeight="1" outlineLevel="1">
      <c r="A615" s="273">
        <v>611</v>
      </c>
      <c r="B615" s="273" t="s">
        <v>0</v>
      </c>
      <c r="C615" s="305" t="s">
        <v>875</v>
      </c>
      <c r="D615" s="306" t="s">
        <v>876</v>
      </c>
      <c r="E615" s="307" t="s">
        <v>875</v>
      </c>
      <c r="F615" s="553" t="str">
        <f t="shared" si="54"/>
        <v>PREVMinidisjuntor 16A, 2 pólos, 6 kA, curva c</v>
      </c>
      <c r="G615" s="611" t="s">
        <v>74</v>
      </c>
      <c r="H615" s="307" t="s">
        <v>228</v>
      </c>
      <c r="I615" s="321">
        <v>0.26400000000000001</v>
      </c>
      <c r="J615" s="321">
        <v>0.33</v>
      </c>
      <c r="K615" s="321">
        <v>0.33</v>
      </c>
      <c r="L615" s="321">
        <v>0.33</v>
      </c>
      <c r="M615" s="321">
        <v>0.33</v>
      </c>
      <c r="N615" s="321">
        <v>0.33</v>
      </c>
      <c r="O615" s="321">
        <v>0.33</v>
      </c>
      <c r="P615" s="321">
        <v>0.33</v>
      </c>
      <c r="Q615" s="321">
        <v>0.34</v>
      </c>
      <c r="R615" s="321">
        <v>0.34</v>
      </c>
      <c r="S615" s="321">
        <v>0.34</v>
      </c>
      <c r="T615" s="321">
        <v>0.34</v>
      </c>
      <c r="U615" s="321">
        <v>6.8000000000000005E-2</v>
      </c>
      <c r="V615" s="308">
        <f t="shared" si="55"/>
        <v>4.0019999999999998</v>
      </c>
      <c r="W615" s="308">
        <v>44.08</v>
      </c>
      <c r="X615" s="308">
        <f t="shared" si="56"/>
        <v>176.40815999999998</v>
      </c>
      <c r="Y615" s="322" t="s">
        <v>74</v>
      </c>
      <c r="Z615" s="575"/>
      <c r="AA615" s="567"/>
    </row>
    <row r="616" spans="1:27" s="318" customFormat="1" ht="15" customHeight="1" outlineLevel="1">
      <c r="A616" s="282">
        <v>612</v>
      </c>
      <c r="B616" s="282" t="s">
        <v>1</v>
      </c>
      <c r="C616" s="312" t="s">
        <v>875</v>
      </c>
      <c r="D616" s="313" t="s">
        <v>876</v>
      </c>
      <c r="E616" s="314" t="s">
        <v>875</v>
      </c>
      <c r="F616" s="553" t="str">
        <f t="shared" si="54"/>
        <v>REALMinidisjuntor 16A, 2 pólos, 6 kA, curva c</v>
      </c>
      <c r="G616" s="609">
        <f>Y616</f>
        <v>0</v>
      </c>
      <c r="H616" s="315" t="s">
        <v>228</v>
      </c>
      <c r="I616" s="323">
        <v>0</v>
      </c>
      <c r="J616" s="323">
        <v>0</v>
      </c>
      <c r="K616" s="323">
        <v>0</v>
      </c>
      <c r="L616" s="323">
        <v>0</v>
      </c>
      <c r="M616" s="323"/>
      <c r="N616" s="323"/>
      <c r="O616" s="323"/>
      <c r="P616" s="323"/>
      <c r="Q616" s="323"/>
      <c r="R616" s="323"/>
      <c r="S616" s="323"/>
      <c r="T616" s="323"/>
      <c r="U616" s="323"/>
      <c r="V616" s="316">
        <f t="shared" si="55"/>
        <v>0</v>
      </c>
      <c r="W616" s="316">
        <v>44.08</v>
      </c>
      <c r="X616" s="316">
        <f t="shared" si="56"/>
        <v>0</v>
      </c>
      <c r="Y616" s="322">
        <f>X616/X615</f>
        <v>0</v>
      </c>
      <c r="Z616" s="572"/>
      <c r="AA616" s="567"/>
    </row>
    <row r="617" spans="1:27" s="311" customFormat="1" ht="15" customHeight="1" outlineLevel="1">
      <c r="A617" s="273">
        <v>613</v>
      </c>
      <c r="B617" s="273" t="s">
        <v>0</v>
      </c>
      <c r="C617" s="305" t="s">
        <v>877</v>
      </c>
      <c r="D617" s="306" t="s">
        <v>878</v>
      </c>
      <c r="E617" s="307" t="s">
        <v>877</v>
      </c>
      <c r="F617" s="553" t="str">
        <f t="shared" si="54"/>
        <v>PREVMinidisjuntor 2A, 2 pólos, 6 kA, curva c</v>
      </c>
      <c r="G617" s="611" t="s">
        <v>74</v>
      </c>
      <c r="H617" s="307" t="s">
        <v>228</v>
      </c>
      <c r="I617" s="321">
        <v>0.26400000000000001</v>
      </c>
      <c r="J617" s="321">
        <v>0.33</v>
      </c>
      <c r="K617" s="321">
        <v>0.33</v>
      </c>
      <c r="L617" s="321">
        <v>0.33</v>
      </c>
      <c r="M617" s="321">
        <v>0.33</v>
      </c>
      <c r="N617" s="321">
        <v>0.33</v>
      </c>
      <c r="O617" s="321">
        <v>0.33</v>
      </c>
      <c r="P617" s="321">
        <v>0.33</v>
      </c>
      <c r="Q617" s="321">
        <v>0.34</v>
      </c>
      <c r="R617" s="321">
        <v>0.34</v>
      </c>
      <c r="S617" s="321">
        <v>0.34</v>
      </c>
      <c r="T617" s="321">
        <v>0.34</v>
      </c>
      <c r="U617" s="321">
        <v>6.8000000000000005E-2</v>
      </c>
      <c r="V617" s="308">
        <f t="shared" si="55"/>
        <v>4.0019999999999998</v>
      </c>
      <c r="W617" s="308">
        <v>215.47</v>
      </c>
      <c r="X617" s="308">
        <f t="shared" si="56"/>
        <v>862.31093999999996</v>
      </c>
      <c r="Y617" s="322" t="s">
        <v>74</v>
      </c>
      <c r="Z617" s="575"/>
      <c r="AA617" s="567"/>
    </row>
    <row r="618" spans="1:27" s="318" customFormat="1" ht="15" customHeight="1" outlineLevel="1">
      <c r="A618" s="282">
        <v>614</v>
      </c>
      <c r="B618" s="282" t="s">
        <v>1</v>
      </c>
      <c r="C618" s="312" t="s">
        <v>877</v>
      </c>
      <c r="D618" s="313" t="s">
        <v>878</v>
      </c>
      <c r="E618" s="314" t="s">
        <v>877</v>
      </c>
      <c r="F618" s="553" t="str">
        <f t="shared" si="54"/>
        <v>REALMinidisjuntor 2A, 2 pólos, 6 kA, curva c</v>
      </c>
      <c r="G618" s="609">
        <f>Y618</f>
        <v>0</v>
      </c>
      <c r="H618" s="315" t="s">
        <v>228</v>
      </c>
      <c r="I618" s="323">
        <v>0</v>
      </c>
      <c r="J618" s="323">
        <v>0</v>
      </c>
      <c r="K618" s="323">
        <v>0</v>
      </c>
      <c r="L618" s="323">
        <v>0</v>
      </c>
      <c r="M618" s="323"/>
      <c r="N618" s="323"/>
      <c r="O618" s="323"/>
      <c r="P618" s="323"/>
      <c r="Q618" s="323"/>
      <c r="R618" s="323"/>
      <c r="S618" s="323"/>
      <c r="T618" s="323"/>
      <c r="U618" s="323"/>
      <c r="V618" s="316">
        <f t="shared" si="55"/>
        <v>0</v>
      </c>
      <c r="W618" s="316">
        <v>215.47</v>
      </c>
      <c r="X618" s="316">
        <f t="shared" si="56"/>
        <v>0</v>
      </c>
      <c r="Y618" s="322">
        <f>X618/X617</f>
        <v>0</v>
      </c>
      <c r="Z618" s="572"/>
      <c r="AA618" s="567"/>
    </row>
    <row r="619" spans="1:27" s="311" customFormat="1" ht="15" customHeight="1" outlineLevel="1">
      <c r="A619" s="273">
        <v>615</v>
      </c>
      <c r="B619" s="273" t="s">
        <v>0</v>
      </c>
      <c r="C619" s="305" t="s">
        <v>879</v>
      </c>
      <c r="D619" s="306" t="s">
        <v>880</v>
      </c>
      <c r="E619" s="307" t="s">
        <v>879</v>
      </c>
      <c r="F619" s="553" t="str">
        <f t="shared" si="54"/>
        <v>PREVMinidisjuntor 4A, 2 pólos, 6 kA, curva c</v>
      </c>
      <c r="G619" s="611" t="s">
        <v>74</v>
      </c>
      <c r="H619" s="307" t="s">
        <v>228</v>
      </c>
      <c r="I619" s="321">
        <v>0.26400000000000001</v>
      </c>
      <c r="J619" s="321">
        <v>0.33</v>
      </c>
      <c r="K619" s="321">
        <v>0.33</v>
      </c>
      <c r="L619" s="321">
        <v>0.33</v>
      </c>
      <c r="M619" s="321">
        <v>0.33</v>
      </c>
      <c r="N619" s="321">
        <v>0.33</v>
      </c>
      <c r="O619" s="321">
        <v>0.33</v>
      </c>
      <c r="P619" s="321">
        <v>0.33</v>
      </c>
      <c r="Q619" s="321">
        <v>0.34</v>
      </c>
      <c r="R619" s="321">
        <v>0.34</v>
      </c>
      <c r="S619" s="321">
        <v>0.34</v>
      </c>
      <c r="T619" s="321">
        <v>0.34</v>
      </c>
      <c r="U619" s="321">
        <v>6.8000000000000005E-2</v>
      </c>
      <c r="V619" s="308">
        <f t="shared" si="55"/>
        <v>4.0019999999999998</v>
      </c>
      <c r="W619" s="308">
        <v>44.08</v>
      </c>
      <c r="X619" s="308">
        <f t="shared" si="56"/>
        <v>176.40815999999998</v>
      </c>
      <c r="Y619" s="322" t="s">
        <v>74</v>
      </c>
      <c r="Z619" s="575"/>
      <c r="AA619" s="567"/>
    </row>
    <row r="620" spans="1:27" s="318" customFormat="1" ht="15" customHeight="1" outlineLevel="1">
      <c r="A620" s="282">
        <v>616</v>
      </c>
      <c r="B620" s="282" t="s">
        <v>1</v>
      </c>
      <c r="C620" s="312" t="s">
        <v>879</v>
      </c>
      <c r="D620" s="313" t="s">
        <v>880</v>
      </c>
      <c r="E620" s="314" t="s">
        <v>879</v>
      </c>
      <c r="F620" s="553" t="str">
        <f t="shared" si="54"/>
        <v>REALMinidisjuntor 4A, 2 pólos, 6 kA, curva c</v>
      </c>
      <c r="G620" s="609">
        <f>Y620</f>
        <v>0</v>
      </c>
      <c r="H620" s="315" t="s">
        <v>228</v>
      </c>
      <c r="I620" s="323">
        <v>0</v>
      </c>
      <c r="J620" s="323">
        <v>0</v>
      </c>
      <c r="K620" s="323">
        <v>0</v>
      </c>
      <c r="L620" s="323">
        <v>0</v>
      </c>
      <c r="M620" s="323"/>
      <c r="N620" s="323"/>
      <c r="O620" s="323"/>
      <c r="P620" s="323"/>
      <c r="Q620" s="323"/>
      <c r="R620" s="323"/>
      <c r="S620" s="323"/>
      <c r="T620" s="323"/>
      <c r="U620" s="323"/>
      <c r="V620" s="316">
        <f t="shared" si="55"/>
        <v>0</v>
      </c>
      <c r="W620" s="316">
        <v>44.08</v>
      </c>
      <c r="X620" s="316">
        <f t="shared" si="56"/>
        <v>0</v>
      </c>
      <c r="Y620" s="322">
        <f>X620/X619</f>
        <v>0</v>
      </c>
      <c r="Z620" s="572"/>
      <c r="AA620" s="567"/>
    </row>
    <row r="621" spans="1:27" s="311" customFormat="1" ht="15" customHeight="1" outlineLevel="1">
      <c r="A621" s="273">
        <v>617</v>
      </c>
      <c r="B621" s="273" t="s">
        <v>0</v>
      </c>
      <c r="C621" s="305" t="s">
        <v>881</v>
      </c>
      <c r="D621" s="306" t="s">
        <v>882</v>
      </c>
      <c r="E621" s="307" t="s">
        <v>881</v>
      </c>
      <c r="F621" s="553" t="str">
        <f t="shared" si="54"/>
        <v>PREVMódulo de supervisão efapower (psm) efacec fse</v>
      </c>
      <c r="G621" s="611" t="s">
        <v>74</v>
      </c>
      <c r="H621" s="307" t="s">
        <v>228</v>
      </c>
      <c r="I621" s="321">
        <v>6.4000000000000001E-2</v>
      </c>
      <c r="J621" s="321">
        <v>0.08</v>
      </c>
      <c r="K621" s="321">
        <v>0.08</v>
      </c>
      <c r="L621" s="321">
        <v>0.08</v>
      </c>
      <c r="M621" s="321">
        <v>0.08</v>
      </c>
      <c r="N621" s="321">
        <v>0.08</v>
      </c>
      <c r="O621" s="321">
        <v>0.08</v>
      </c>
      <c r="P621" s="321">
        <v>0.08</v>
      </c>
      <c r="Q621" s="321">
        <v>0.09</v>
      </c>
      <c r="R621" s="321">
        <v>0.09</v>
      </c>
      <c r="S621" s="321">
        <v>0.09</v>
      </c>
      <c r="T621" s="321">
        <v>0.09</v>
      </c>
      <c r="U621" s="321">
        <v>1.7999999999999999E-2</v>
      </c>
      <c r="V621" s="308">
        <f t="shared" si="55"/>
        <v>1.0019999999999998</v>
      </c>
      <c r="W621" s="308">
        <v>974.56</v>
      </c>
      <c r="X621" s="308">
        <f t="shared" si="56"/>
        <v>976.50911999999971</v>
      </c>
      <c r="Y621" s="322" t="s">
        <v>74</v>
      </c>
      <c r="Z621" s="575"/>
      <c r="AA621" s="567"/>
    </row>
    <row r="622" spans="1:27" s="318" customFormat="1" ht="15" customHeight="1" outlineLevel="1">
      <c r="A622" s="282">
        <v>618</v>
      </c>
      <c r="B622" s="282" t="s">
        <v>1</v>
      </c>
      <c r="C622" s="312" t="s">
        <v>881</v>
      </c>
      <c r="D622" s="313" t="s">
        <v>882</v>
      </c>
      <c r="E622" s="314" t="s">
        <v>881</v>
      </c>
      <c r="F622" s="553" t="str">
        <f t="shared" si="54"/>
        <v>REALMódulo de supervisão efapower (psm) efacec fse</v>
      </c>
      <c r="G622" s="609">
        <f>Y622</f>
        <v>0</v>
      </c>
      <c r="H622" s="315" t="s">
        <v>228</v>
      </c>
      <c r="I622" s="323">
        <v>0</v>
      </c>
      <c r="J622" s="323">
        <v>0</v>
      </c>
      <c r="K622" s="323">
        <v>0</v>
      </c>
      <c r="L622" s="323">
        <v>0</v>
      </c>
      <c r="M622" s="323"/>
      <c r="N622" s="323"/>
      <c r="O622" s="323"/>
      <c r="P622" s="323"/>
      <c r="Q622" s="323"/>
      <c r="R622" s="323"/>
      <c r="S622" s="323"/>
      <c r="T622" s="323"/>
      <c r="U622" s="323"/>
      <c r="V622" s="316">
        <f t="shared" si="55"/>
        <v>0</v>
      </c>
      <c r="W622" s="316">
        <v>974.56</v>
      </c>
      <c r="X622" s="316">
        <f t="shared" si="56"/>
        <v>0</v>
      </c>
      <c r="Y622" s="322">
        <f>X622/X621</f>
        <v>0</v>
      </c>
      <c r="Z622" s="572"/>
      <c r="AA622" s="567"/>
    </row>
    <row r="623" spans="1:27" s="311" customFormat="1" ht="15" customHeight="1" outlineLevel="1">
      <c r="A623" s="273">
        <v>619</v>
      </c>
      <c r="B623" s="273" t="s">
        <v>0</v>
      </c>
      <c r="C623" s="305" t="s">
        <v>883</v>
      </c>
      <c r="D623" s="306" t="s">
        <v>884</v>
      </c>
      <c r="E623" s="307" t="s">
        <v>883</v>
      </c>
      <c r="F623" s="553" t="str">
        <f t="shared" si="54"/>
        <v>PREVRelé de proteção térmica 1,7 ‐ 2,4 A</v>
      </c>
      <c r="G623" s="611" t="s">
        <v>74</v>
      </c>
      <c r="H623" s="307" t="s">
        <v>228</v>
      </c>
      <c r="I623" s="321">
        <v>6.4000000000000001E-2</v>
      </c>
      <c r="J623" s="321">
        <v>0.08</v>
      </c>
      <c r="K623" s="321">
        <v>0.08</v>
      </c>
      <c r="L623" s="321">
        <v>0.08</v>
      </c>
      <c r="M623" s="321">
        <v>0.08</v>
      </c>
      <c r="N623" s="321">
        <v>0.08</v>
      </c>
      <c r="O623" s="321">
        <v>0.08</v>
      </c>
      <c r="P623" s="321">
        <v>0.08</v>
      </c>
      <c r="Q623" s="321">
        <v>0.09</v>
      </c>
      <c r="R623" s="321">
        <v>0.09</v>
      </c>
      <c r="S623" s="321">
        <v>0.09</v>
      </c>
      <c r="T623" s="321">
        <v>0.09</v>
      </c>
      <c r="U623" s="321">
        <v>1.7999999999999999E-2</v>
      </c>
      <c r="V623" s="308">
        <f t="shared" si="55"/>
        <v>1.0019999999999998</v>
      </c>
      <c r="W623" s="308">
        <v>195.79</v>
      </c>
      <c r="X623" s="308">
        <f t="shared" si="56"/>
        <v>196.18157999999994</v>
      </c>
      <c r="Y623" s="322" t="s">
        <v>74</v>
      </c>
      <c r="Z623" s="575"/>
      <c r="AA623" s="567"/>
    </row>
    <row r="624" spans="1:27" s="318" customFormat="1" ht="15" customHeight="1" outlineLevel="1">
      <c r="A624" s="282">
        <v>620</v>
      </c>
      <c r="B624" s="282" t="s">
        <v>1</v>
      </c>
      <c r="C624" s="312" t="s">
        <v>883</v>
      </c>
      <c r="D624" s="313" t="s">
        <v>884</v>
      </c>
      <c r="E624" s="314" t="s">
        <v>883</v>
      </c>
      <c r="F624" s="553" t="str">
        <f t="shared" si="54"/>
        <v>REALRelé de proteção térmica 1,7 ‐ 2,4 A</v>
      </c>
      <c r="G624" s="609">
        <f>Y624</f>
        <v>0</v>
      </c>
      <c r="H624" s="315" t="s">
        <v>228</v>
      </c>
      <c r="I624" s="323">
        <v>0</v>
      </c>
      <c r="J624" s="323">
        <v>0</v>
      </c>
      <c r="K624" s="323">
        <v>0</v>
      </c>
      <c r="L624" s="323">
        <v>0</v>
      </c>
      <c r="M624" s="323"/>
      <c r="N624" s="323"/>
      <c r="O624" s="323"/>
      <c r="P624" s="323"/>
      <c r="Q624" s="323"/>
      <c r="R624" s="323"/>
      <c r="S624" s="323"/>
      <c r="T624" s="323"/>
      <c r="U624" s="323"/>
      <c r="V624" s="316">
        <f t="shared" si="55"/>
        <v>0</v>
      </c>
      <c r="W624" s="316">
        <v>195.79</v>
      </c>
      <c r="X624" s="316">
        <f t="shared" si="56"/>
        <v>0</v>
      </c>
      <c r="Y624" s="322">
        <f>X624/X623</f>
        <v>0</v>
      </c>
      <c r="Z624" s="572"/>
      <c r="AA624" s="567"/>
    </row>
    <row r="625" spans="1:27" s="311" customFormat="1" ht="15" customHeight="1" outlineLevel="1">
      <c r="A625" s="273">
        <v>621</v>
      </c>
      <c r="B625" s="273" t="s">
        <v>0</v>
      </c>
      <c r="C625" s="305" t="s">
        <v>885</v>
      </c>
      <c r="D625" s="306" t="s">
        <v>886</v>
      </c>
      <c r="E625" s="307" t="s">
        <v>885</v>
      </c>
      <c r="F625" s="553" t="str">
        <f t="shared" si="54"/>
        <v>PREVRele auxiliar industrial 4naf</v>
      </c>
      <c r="G625" s="611" t="s">
        <v>74</v>
      </c>
      <c r="H625" s="307" t="s">
        <v>228</v>
      </c>
      <c r="I625" s="321">
        <v>0.2</v>
      </c>
      <c r="J625" s="321">
        <v>0.25</v>
      </c>
      <c r="K625" s="321">
        <v>0.25</v>
      </c>
      <c r="L625" s="321">
        <v>0.25</v>
      </c>
      <c r="M625" s="321">
        <v>0.25</v>
      </c>
      <c r="N625" s="321">
        <v>0.25</v>
      </c>
      <c r="O625" s="321">
        <v>0.25</v>
      </c>
      <c r="P625" s="321">
        <v>0.25</v>
      </c>
      <c r="Q625" s="321">
        <v>0.25</v>
      </c>
      <c r="R625" s="321">
        <v>0.25</v>
      </c>
      <c r="S625" s="321">
        <v>0.25</v>
      </c>
      <c r="T625" s="321">
        <v>0.25</v>
      </c>
      <c r="U625" s="321">
        <v>0.05</v>
      </c>
      <c r="V625" s="308">
        <f t="shared" si="55"/>
        <v>3</v>
      </c>
      <c r="W625" s="308">
        <v>139.85</v>
      </c>
      <c r="X625" s="308">
        <f t="shared" si="56"/>
        <v>419.54999999999995</v>
      </c>
      <c r="Y625" s="322" t="s">
        <v>74</v>
      </c>
      <c r="Z625" s="575"/>
      <c r="AA625" s="567"/>
    </row>
    <row r="626" spans="1:27" s="318" customFormat="1" ht="15" customHeight="1" outlineLevel="1">
      <c r="A626" s="282">
        <v>622</v>
      </c>
      <c r="B626" s="282" t="s">
        <v>1</v>
      </c>
      <c r="C626" s="312" t="s">
        <v>885</v>
      </c>
      <c r="D626" s="313" t="s">
        <v>886</v>
      </c>
      <c r="E626" s="314" t="s">
        <v>885</v>
      </c>
      <c r="F626" s="553" t="str">
        <f t="shared" si="54"/>
        <v>REALRele auxiliar industrial 4naf</v>
      </c>
      <c r="G626" s="609">
        <f>Y626</f>
        <v>0</v>
      </c>
      <c r="H626" s="315" t="s">
        <v>228</v>
      </c>
      <c r="I626" s="323">
        <v>0</v>
      </c>
      <c r="J626" s="323">
        <v>0</v>
      </c>
      <c r="K626" s="323">
        <v>0</v>
      </c>
      <c r="L626" s="323">
        <v>0</v>
      </c>
      <c r="M626" s="323"/>
      <c r="N626" s="323"/>
      <c r="O626" s="323"/>
      <c r="P626" s="323"/>
      <c r="Q626" s="323"/>
      <c r="R626" s="323"/>
      <c r="S626" s="323"/>
      <c r="T626" s="323"/>
      <c r="U626" s="323"/>
      <c r="V626" s="316">
        <f t="shared" si="55"/>
        <v>0</v>
      </c>
      <c r="W626" s="316">
        <v>139.85</v>
      </c>
      <c r="X626" s="316">
        <f t="shared" si="56"/>
        <v>0</v>
      </c>
      <c r="Y626" s="322">
        <f>X626/X625</f>
        <v>0</v>
      </c>
      <c r="Z626" s="572"/>
      <c r="AA626" s="567"/>
    </row>
    <row r="627" spans="1:27" s="311" customFormat="1" ht="15" customHeight="1" outlineLevel="1">
      <c r="A627" s="273">
        <v>623</v>
      </c>
      <c r="B627" s="273" t="s">
        <v>0</v>
      </c>
      <c r="C627" s="305" t="s">
        <v>887</v>
      </c>
      <c r="D627" s="306" t="s">
        <v>888</v>
      </c>
      <c r="E627" s="307" t="s">
        <v>887</v>
      </c>
      <c r="F627" s="553" t="str">
        <f t="shared" si="54"/>
        <v>PREVRelé de tensão trifásico nvt‐3f‐380 V ‐ 60 Hz</v>
      </c>
      <c r="G627" s="611" t="s">
        <v>74</v>
      </c>
      <c r="H627" s="307" t="s">
        <v>228</v>
      </c>
      <c r="I627" s="321">
        <v>0.2</v>
      </c>
      <c r="J627" s="321">
        <v>0.25</v>
      </c>
      <c r="K627" s="321">
        <v>0.25</v>
      </c>
      <c r="L627" s="321">
        <v>0.25</v>
      </c>
      <c r="M627" s="321">
        <v>0.25</v>
      </c>
      <c r="N627" s="321">
        <v>0.25</v>
      </c>
      <c r="O627" s="321">
        <v>0.25</v>
      </c>
      <c r="P627" s="321">
        <v>0.25</v>
      </c>
      <c r="Q627" s="321">
        <v>0.25</v>
      </c>
      <c r="R627" s="321">
        <v>0.25</v>
      </c>
      <c r="S627" s="321">
        <v>0.25</v>
      </c>
      <c r="T627" s="321">
        <v>0.25</v>
      </c>
      <c r="U627" s="321">
        <v>0.05</v>
      </c>
      <c r="V627" s="308">
        <f t="shared" si="55"/>
        <v>3</v>
      </c>
      <c r="W627" s="308">
        <v>558.08000000000004</v>
      </c>
      <c r="X627" s="308">
        <f t="shared" si="56"/>
        <v>1674.2400000000002</v>
      </c>
      <c r="Y627" s="322" t="s">
        <v>74</v>
      </c>
      <c r="Z627" s="575"/>
      <c r="AA627" s="567"/>
    </row>
    <row r="628" spans="1:27" s="318" customFormat="1" ht="15" customHeight="1" outlineLevel="1">
      <c r="A628" s="282">
        <v>624</v>
      </c>
      <c r="B628" s="282" t="s">
        <v>1</v>
      </c>
      <c r="C628" s="312" t="s">
        <v>887</v>
      </c>
      <c r="D628" s="313" t="s">
        <v>888</v>
      </c>
      <c r="E628" s="314" t="s">
        <v>887</v>
      </c>
      <c r="F628" s="553" t="str">
        <f t="shared" si="54"/>
        <v>REALRelé de tensão trifásico nvt‐3f‐380 V ‐ 60 Hz</v>
      </c>
      <c r="G628" s="609">
        <f>Y628</f>
        <v>0</v>
      </c>
      <c r="H628" s="315" t="s">
        <v>228</v>
      </c>
      <c r="I628" s="323">
        <v>0</v>
      </c>
      <c r="J628" s="323">
        <v>0</v>
      </c>
      <c r="K628" s="323">
        <v>0</v>
      </c>
      <c r="L628" s="323">
        <v>0</v>
      </c>
      <c r="M628" s="323"/>
      <c r="N628" s="323"/>
      <c r="O628" s="323"/>
      <c r="P628" s="323"/>
      <c r="Q628" s="323"/>
      <c r="R628" s="323"/>
      <c r="S628" s="323"/>
      <c r="T628" s="323"/>
      <c r="U628" s="323"/>
      <c r="V628" s="316">
        <f t="shared" si="55"/>
        <v>0</v>
      </c>
      <c r="W628" s="316">
        <v>558.08000000000004</v>
      </c>
      <c r="X628" s="316">
        <f t="shared" si="56"/>
        <v>0</v>
      </c>
      <c r="Y628" s="322">
        <f>X628/X627</f>
        <v>0</v>
      </c>
      <c r="Z628" s="572"/>
      <c r="AA628" s="567"/>
    </row>
    <row r="629" spans="1:27" s="311" customFormat="1" ht="15" customHeight="1" outlineLevel="1">
      <c r="A629" s="273">
        <v>625</v>
      </c>
      <c r="B629" s="273" t="s">
        <v>0</v>
      </c>
      <c r="C629" s="305" t="s">
        <v>889</v>
      </c>
      <c r="D629" s="306" t="s">
        <v>890</v>
      </c>
      <c r="E629" s="307" t="s">
        <v>889</v>
      </c>
      <c r="F629" s="553" t="str">
        <f t="shared" si="54"/>
        <v>PREVRele temporizado elo, 0,1s a 30s vaux 12s Vcc</v>
      </c>
      <c r="G629" s="611" t="s">
        <v>74</v>
      </c>
      <c r="H629" s="307" t="s">
        <v>228</v>
      </c>
      <c r="I629" s="321">
        <v>0.2</v>
      </c>
      <c r="J629" s="321">
        <v>0.25</v>
      </c>
      <c r="K629" s="321">
        <v>0.25</v>
      </c>
      <c r="L629" s="321">
        <v>0.25</v>
      </c>
      <c r="M629" s="321">
        <v>0.25</v>
      </c>
      <c r="N629" s="321">
        <v>0.25</v>
      </c>
      <c r="O629" s="321">
        <v>0.25</v>
      </c>
      <c r="P629" s="321">
        <v>0.25</v>
      </c>
      <c r="Q629" s="321">
        <v>0.25</v>
      </c>
      <c r="R629" s="321">
        <v>0.25</v>
      </c>
      <c r="S629" s="321">
        <v>0.25</v>
      </c>
      <c r="T629" s="321">
        <v>0.25</v>
      </c>
      <c r="U629" s="321">
        <v>0.05</v>
      </c>
      <c r="V629" s="308">
        <f t="shared" si="55"/>
        <v>3</v>
      </c>
      <c r="W629" s="308">
        <v>220.54</v>
      </c>
      <c r="X629" s="308">
        <f t="shared" si="56"/>
        <v>661.62</v>
      </c>
      <c r="Y629" s="322" t="s">
        <v>74</v>
      </c>
      <c r="Z629" s="575"/>
      <c r="AA629" s="567"/>
    </row>
    <row r="630" spans="1:27" s="318" customFormat="1" ht="15" customHeight="1" outlineLevel="1">
      <c r="A630" s="282">
        <v>626</v>
      </c>
      <c r="B630" s="282" t="s">
        <v>1</v>
      </c>
      <c r="C630" s="312" t="s">
        <v>889</v>
      </c>
      <c r="D630" s="313" t="s">
        <v>890</v>
      </c>
      <c r="E630" s="314" t="s">
        <v>889</v>
      </c>
      <c r="F630" s="553" t="str">
        <f t="shared" si="54"/>
        <v>REALRele temporizado elo, 0,1s a 30s vaux 12s Vcc</v>
      </c>
      <c r="G630" s="609">
        <f>Y630</f>
        <v>0</v>
      </c>
      <c r="H630" s="315" t="s">
        <v>228</v>
      </c>
      <c r="I630" s="323">
        <v>0</v>
      </c>
      <c r="J630" s="323">
        <v>0</v>
      </c>
      <c r="K630" s="323">
        <v>0</v>
      </c>
      <c r="L630" s="323">
        <v>0</v>
      </c>
      <c r="M630" s="323"/>
      <c r="N630" s="323"/>
      <c r="O630" s="323"/>
      <c r="P630" s="323"/>
      <c r="Q630" s="323"/>
      <c r="R630" s="323"/>
      <c r="S630" s="323"/>
      <c r="T630" s="323"/>
      <c r="U630" s="323"/>
      <c r="V630" s="316">
        <f t="shared" si="55"/>
        <v>0</v>
      </c>
      <c r="W630" s="316">
        <v>220.54</v>
      </c>
      <c r="X630" s="316">
        <f t="shared" si="56"/>
        <v>0</v>
      </c>
      <c r="Y630" s="322">
        <f>X630/X629</f>
        <v>0</v>
      </c>
      <c r="Z630" s="572"/>
      <c r="AA630" s="567"/>
    </row>
    <row r="631" spans="1:27" s="311" customFormat="1" ht="15" customHeight="1" outlineLevel="1">
      <c r="A631" s="273">
        <v>627</v>
      </c>
      <c r="B631" s="273" t="s">
        <v>0</v>
      </c>
      <c r="C631" s="305" t="s">
        <v>891</v>
      </c>
      <c r="D631" s="306" t="s">
        <v>892</v>
      </c>
      <c r="E631" s="307" t="s">
        <v>891</v>
      </c>
      <c r="F631" s="553" t="str">
        <f t="shared" ref="F631:F662" si="57">B631&amp;D631</f>
        <v>PREVRele temporizado elo, 1s a 3s vaux 125 Vcc</v>
      </c>
      <c r="G631" s="611" t="s">
        <v>74</v>
      </c>
      <c r="H631" s="307" t="s">
        <v>228</v>
      </c>
      <c r="I631" s="321">
        <v>0.2</v>
      </c>
      <c r="J631" s="321">
        <v>0.25</v>
      </c>
      <c r="K631" s="321">
        <v>0.25</v>
      </c>
      <c r="L631" s="321">
        <v>0.25</v>
      </c>
      <c r="M631" s="321">
        <v>0.25</v>
      </c>
      <c r="N631" s="321">
        <v>0.25</v>
      </c>
      <c r="O631" s="321">
        <v>0.25</v>
      </c>
      <c r="P631" s="321">
        <v>0.25</v>
      </c>
      <c r="Q631" s="321">
        <v>0.25</v>
      </c>
      <c r="R631" s="321">
        <v>0.25</v>
      </c>
      <c r="S631" s="321">
        <v>0.25</v>
      </c>
      <c r="T631" s="321">
        <v>0.25</v>
      </c>
      <c r="U631" s="321">
        <v>0.05</v>
      </c>
      <c r="V631" s="308">
        <f t="shared" ref="V631:V648" si="58">SUM(I631:U631)</f>
        <v>3</v>
      </c>
      <c r="W631" s="308">
        <v>220.54</v>
      </c>
      <c r="X631" s="308">
        <f t="shared" ref="X631:X662" si="59">W631*V631</f>
        <v>661.62</v>
      </c>
      <c r="Y631" s="322" t="s">
        <v>74</v>
      </c>
      <c r="Z631" s="575"/>
      <c r="AA631" s="567"/>
    </row>
    <row r="632" spans="1:27" s="318" customFormat="1" ht="15" customHeight="1" outlineLevel="1">
      <c r="A632" s="282">
        <v>628</v>
      </c>
      <c r="B632" s="282" t="s">
        <v>1</v>
      </c>
      <c r="C632" s="312" t="s">
        <v>891</v>
      </c>
      <c r="D632" s="313" t="s">
        <v>892</v>
      </c>
      <c r="E632" s="314" t="s">
        <v>891</v>
      </c>
      <c r="F632" s="553" t="str">
        <f t="shared" si="57"/>
        <v>REALRele temporizado elo, 1s a 3s vaux 125 Vcc</v>
      </c>
      <c r="G632" s="609">
        <f>Y632</f>
        <v>0</v>
      </c>
      <c r="H632" s="315" t="s">
        <v>228</v>
      </c>
      <c r="I632" s="323">
        <v>0</v>
      </c>
      <c r="J632" s="323">
        <v>0</v>
      </c>
      <c r="K632" s="323">
        <v>0</v>
      </c>
      <c r="L632" s="323">
        <v>0</v>
      </c>
      <c r="M632" s="323"/>
      <c r="N632" s="323"/>
      <c r="O632" s="323"/>
      <c r="P632" s="323"/>
      <c r="Q632" s="323"/>
      <c r="R632" s="323"/>
      <c r="S632" s="323"/>
      <c r="T632" s="323"/>
      <c r="U632" s="323"/>
      <c r="V632" s="316">
        <f t="shared" si="58"/>
        <v>0</v>
      </c>
      <c r="W632" s="316">
        <v>220.54</v>
      </c>
      <c r="X632" s="316">
        <f t="shared" si="59"/>
        <v>0</v>
      </c>
      <c r="Y632" s="322">
        <f>X632/X631</f>
        <v>0</v>
      </c>
      <c r="Z632" s="572"/>
      <c r="AA632" s="567"/>
    </row>
    <row r="633" spans="1:27" s="311" customFormat="1" ht="15" customHeight="1" outlineLevel="1">
      <c r="A633" s="273">
        <v>629</v>
      </c>
      <c r="B633" s="273" t="s">
        <v>0</v>
      </c>
      <c r="C633" s="305" t="s">
        <v>893</v>
      </c>
      <c r="D633" s="306" t="s">
        <v>894</v>
      </c>
      <c r="E633" s="307" t="s">
        <v>893</v>
      </c>
      <c r="F633" s="553" t="str">
        <f t="shared" si="57"/>
        <v>PREVRelé temporizador 1naf 125 Vcc, tempo: 30 segundos</v>
      </c>
      <c r="G633" s="611" t="s">
        <v>74</v>
      </c>
      <c r="H633" s="307" t="s">
        <v>228</v>
      </c>
      <c r="I633" s="321">
        <v>0.26400000000000001</v>
      </c>
      <c r="J633" s="321">
        <v>0.33</v>
      </c>
      <c r="K633" s="321">
        <v>0.33</v>
      </c>
      <c r="L633" s="321">
        <v>0.33</v>
      </c>
      <c r="M633" s="321">
        <v>0.33</v>
      </c>
      <c r="N633" s="321">
        <v>0.33</v>
      </c>
      <c r="O633" s="321">
        <v>0.33</v>
      </c>
      <c r="P633" s="321">
        <v>0.33</v>
      </c>
      <c r="Q633" s="321">
        <v>0.34</v>
      </c>
      <c r="R633" s="321">
        <v>0.34</v>
      </c>
      <c r="S633" s="321">
        <v>0.34</v>
      </c>
      <c r="T633" s="321">
        <v>0.34</v>
      </c>
      <c r="U633" s="321">
        <v>6.8000000000000005E-2</v>
      </c>
      <c r="V633" s="308">
        <f t="shared" si="58"/>
        <v>4.0019999999999998</v>
      </c>
      <c r="W633" s="308">
        <v>220.54</v>
      </c>
      <c r="X633" s="308">
        <f t="shared" si="59"/>
        <v>882.60107999999991</v>
      </c>
      <c r="Y633" s="322" t="s">
        <v>74</v>
      </c>
      <c r="Z633" s="575"/>
      <c r="AA633" s="567"/>
    </row>
    <row r="634" spans="1:27" s="318" customFormat="1" ht="15" customHeight="1" outlineLevel="1">
      <c r="A634" s="282">
        <v>630</v>
      </c>
      <c r="B634" s="282" t="s">
        <v>1</v>
      </c>
      <c r="C634" s="312" t="s">
        <v>893</v>
      </c>
      <c r="D634" s="313" t="s">
        <v>894</v>
      </c>
      <c r="E634" s="314" t="s">
        <v>893</v>
      </c>
      <c r="F634" s="553" t="str">
        <f t="shared" si="57"/>
        <v>REALRelé temporizador 1naf 125 Vcc, tempo: 30 segundos</v>
      </c>
      <c r="G634" s="609">
        <f>Y634</f>
        <v>0</v>
      </c>
      <c r="H634" s="315" t="s">
        <v>228</v>
      </c>
      <c r="I634" s="323">
        <v>0</v>
      </c>
      <c r="J634" s="323">
        <v>0</v>
      </c>
      <c r="K634" s="323">
        <v>0</v>
      </c>
      <c r="L634" s="323">
        <v>0</v>
      </c>
      <c r="M634" s="323"/>
      <c r="N634" s="323"/>
      <c r="O634" s="323"/>
      <c r="P634" s="323"/>
      <c r="Q634" s="323"/>
      <c r="R634" s="323"/>
      <c r="S634" s="323"/>
      <c r="T634" s="323"/>
      <c r="U634" s="323"/>
      <c r="V634" s="316">
        <f t="shared" si="58"/>
        <v>0</v>
      </c>
      <c r="W634" s="316">
        <v>220.54</v>
      </c>
      <c r="X634" s="316">
        <f t="shared" si="59"/>
        <v>0</v>
      </c>
      <c r="Y634" s="322">
        <f>X634/X633</f>
        <v>0</v>
      </c>
      <c r="Z634" s="572"/>
      <c r="AA634" s="567"/>
    </row>
    <row r="635" spans="1:27" s="311" customFormat="1" ht="15" customHeight="1" outlineLevel="1">
      <c r="A635" s="273">
        <v>631</v>
      </c>
      <c r="B635" s="273" t="s">
        <v>0</v>
      </c>
      <c r="C635" s="305" t="s">
        <v>895</v>
      </c>
      <c r="D635" s="306" t="s">
        <v>896</v>
      </c>
      <c r="E635" s="307" t="s">
        <v>895</v>
      </c>
      <c r="F635" s="553" t="str">
        <f t="shared" si="57"/>
        <v>PREVRelé térmico 250 Vcc f 2,5 ‐ 4A</v>
      </c>
      <c r="G635" s="611" t="s">
        <v>74</v>
      </c>
      <c r="H635" s="307" t="s">
        <v>228</v>
      </c>
      <c r="I635" s="321">
        <v>0.46399999999999997</v>
      </c>
      <c r="J635" s="321">
        <v>0.57999999999999996</v>
      </c>
      <c r="K635" s="321">
        <v>0.57999999999999996</v>
      </c>
      <c r="L635" s="321">
        <v>0.57999999999999996</v>
      </c>
      <c r="M635" s="321">
        <v>0.57999999999999996</v>
      </c>
      <c r="N635" s="321">
        <v>0.57999999999999996</v>
      </c>
      <c r="O635" s="321">
        <v>0.57999999999999996</v>
      </c>
      <c r="P635" s="321">
        <v>0.57999999999999996</v>
      </c>
      <c r="Q635" s="321">
        <v>0.59</v>
      </c>
      <c r="R635" s="321">
        <v>0.59</v>
      </c>
      <c r="S635" s="321">
        <v>0.59</v>
      </c>
      <c r="T635" s="321">
        <v>0.59</v>
      </c>
      <c r="U635" s="321">
        <v>0.11799999999999999</v>
      </c>
      <c r="V635" s="308">
        <f t="shared" si="58"/>
        <v>7.0019999999999998</v>
      </c>
      <c r="W635" s="308">
        <v>182.89</v>
      </c>
      <c r="X635" s="308">
        <f t="shared" si="59"/>
        <v>1280.5957799999999</v>
      </c>
      <c r="Y635" s="322" t="s">
        <v>74</v>
      </c>
      <c r="Z635" s="575"/>
      <c r="AA635" s="567"/>
    </row>
    <row r="636" spans="1:27" s="318" customFormat="1" ht="15" customHeight="1" outlineLevel="1">
      <c r="A636" s="282">
        <v>632</v>
      </c>
      <c r="B636" s="282" t="s">
        <v>1</v>
      </c>
      <c r="C636" s="312" t="s">
        <v>895</v>
      </c>
      <c r="D636" s="313" t="s">
        <v>896</v>
      </c>
      <c r="E636" s="314" t="s">
        <v>895</v>
      </c>
      <c r="F636" s="553" t="str">
        <f t="shared" si="57"/>
        <v>REALRelé térmico 250 Vcc f 2,5 ‐ 4A</v>
      </c>
      <c r="G636" s="609">
        <f>Y636</f>
        <v>0</v>
      </c>
      <c r="H636" s="315" t="s">
        <v>228</v>
      </c>
      <c r="I636" s="323">
        <v>0</v>
      </c>
      <c r="J636" s="323">
        <v>0</v>
      </c>
      <c r="K636" s="323">
        <v>0</v>
      </c>
      <c r="L636" s="323">
        <v>0</v>
      </c>
      <c r="M636" s="323"/>
      <c r="N636" s="323"/>
      <c r="O636" s="323"/>
      <c r="P636" s="323"/>
      <c r="Q636" s="323"/>
      <c r="R636" s="323"/>
      <c r="S636" s="323"/>
      <c r="T636" s="323"/>
      <c r="U636" s="323"/>
      <c r="V636" s="316">
        <f t="shared" si="58"/>
        <v>0</v>
      </c>
      <c r="W636" s="316">
        <v>182.89</v>
      </c>
      <c r="X636" s="316">
        <f t="shared" si="59"/>
        <v>0</v>
      </c>
      <c r="Y636" s="322">
        <f>X636/X635</f>
        <v>0</v>
      </c>
      <c r="Z636" s="572"/>
      <c r="AA636" s="567"/>
    </row>
    <row r="637" spans="1:27" s="311" customFormat="1" ht="15" customHeight="1" outlineLevel="1">
      <c r="A637" s="273">
        <v>633</v>
      </c>
      <c r="B637" s="273" t="s">
        <v>0</v>
      </c>
      <c r="C637" s="305" t="s">
        <v>897</v>
      </c>
      <c r="D637" s="306" t="s">
        <v>898</v>
      </c>
      <c r="E637" s="307" t="s">
        <v>897</v>
      </c>
      <c r="F637" s="553" t="str">
        <f t="shared" si="57"/>
        <v>PREVResistência de aquecimento 250 Vca, 25 W</v>
      </c>
      <c r="G637" s="611" t="s">
        <v>74</v>
      </c>
      <c r="H637" s="307" t="s">
        <v>228</v>
      </c>
      <c r="I637" s="321">
        <v>1</v>
      </c>
      <c r="J637" s="321">
        <v>1.25</v>
      </c>
      <c r="K637" s="321">
        <v>1.25</v>
      </c>
      <c r="L637" s="321">
        <v>1.25</v>
      </c>
      <c r="M637" s="321">
        <v>1.25</v>
      </c>
      <c r="N637" s="321">
        <v>1.25</v>
      </c>
      <c r="O637" s="321">
        <v>1.25</v>
      </c>
      <c r="P637" s="321">
        <v>1.25</v>
      </c>
      <c r="Q637" s="321">
        <v>1.25</v>
      </c>
      <c r="R637" s="321">
        <v>1.25</v>
      </c>
      <c r="S637" s="321">
        <v>1.25</v>
      </c>
      <c r="T637" s="321">
        <v>1.25</v>
      </c>
      <c r="U637" s="321">
        <v>0.25</v>
      </c>
      <c r="V637" s="407">
        <f t="shared" si="58"/>
        <v>15</v>
      </c>
      <c r="W637" s="308">
        <v>59.41</v>
      </c>
      <c r="X637" s="308">
        <f t="shared" si="59"/>
        <v>891.15</v>
      </c>
      <c r="Y637" s="322" t="s">
        <v>74</v>
      </c>
      <c r="Z637" s="575"/>
      <c r="AA637" s="567"/>
    </row>
    <row r="638" spans="1:27" s="318" customFormat="1" ht="15" customHeight="1" outlineLevel="1">
      <c r="A638" s="282">
        <v>634</v>
      </c>
      <c r="B638" s="282" t="s">
        <v>1</v>
      </c>
      <c r="C638" s="312" t="s">
        <v>897</v>
      </c>
      <c r="D638" s="313" t="s">
        <v>898</v>
      </c>
      <c r="E638" s="314" t="s">
        <v>897</v>
      </c>
      <c r="F638" s="553" t="str">
        <f t="shared" si="57"/>
        <v>REALResistência de aquecimento 250 Vca, 25 W</v>
      </c>
      <c r="G638" s="609">
        <f>Y638</f>
        <v>0</v>
      </c>
      <c r="H638" s="315" t="s">
        <v>228</v>
      </c>
      <c r="I638" s="323">
        <v>0</v>
      </c>
      <c r="J638" s="323">
        <v>0</v>
      </c>
      <c r="K638" s="323">
        <v>0</v>
      </c>
      <c r="L638" s="323">
        <v>0</v>
      </c>
      <c r="M638" s="323"/>
      <c r="N638" s="323"/>
      <c r="O638" s="323"/>
      <c r="P638" s="323"/>
      <c r="Q638" s="323"/>
      <c r="R638" s="323"/>
      <c r="S638" s="323"/>
      <c r="T638" s="323"/>
      <c r="U638" s="323"/>
      <c r="V638" s="316">
        <f t="shared" si="58"/>
        <v>0</v>
      </c>
      <c r="W638" s="316">
        <v>59.41</v>
      </c>
      <c r="X638" s="316">
        <f t="shared" si="59"/>
        <v>0</v>
      </c>
      <c r="Y638" s="322">
        <f>X638/X637</f>
        <v>0</v>
      </c>
      <c r="Z638" s="572"/>
      <c r="AA638" s="567"/>
    </row>
    <row r="639" spans="1:27" s="311" customFormat="1" ht="15" customHeight="1" outlineLevel="1">
      <c r="A639" s="273">
        <v>635</v>
      </c>
      <c r="B639" s="273" t="s">
        <v>0</v>
      </c>
      <c r="C639" s="305" t="s">
        <v>899</v>
      </c>
      <c r="D639" s="306" t="s">
        <v>900</v>
      </c>
      <c r="E639" s="307" t="s">
        <v>899</v>
      </c>
      <c r="F639" s="553" t="str">
        <f t="shared" si="57"/>
        <v>PREVResistência de aquecimento para painel 100 W ‐220 V</v>
      </c>
      <c r="G639" s="611" t="s">
        <v>74</v>
      </c>
      <c r="H639" s="307" t="s">
        <v>228</v>
      </c>
      <c r="I639" s="321">
        <v>0.66666666666666674</v>
      </c>
      <c r="J639" s="321">
        <v>0.83333333333333337</v>
      </c>
      <c r="K639" s="321">
        <v>0.83333333333333337</v>
      </c>
      <c r="L639" s="321">
        <v>0.83333333333333337</v>
      </c>
      <c r="M639" s="321">
        <v>0.83333333333333337</v>
      </c>
      <c r="N639" s="321">
        <v>0.83333333333333337</v>
      </c>
      <c r="O639" s="321">
        <v>0.83333333333333337</v>
      </c>
      <c r="P639" s="321">
        <v>0.83333333333333337</v>
      </c>
      <c r="Q639" s="321">
        <v>0.83333333333333337</v>
      </c>
      <c r="R639" s="321">
        <v>0.83333333333333337</v>
      </c>
      <c r="S639" s="321">
        <v>0.83333333333333337</v>
      </c>
      <c r="T639" s="321">
        <v>0.83333333333333337</v>
      </c>
      <c r="U639" s="321">
        <v>0.16666666666666669</v>
      </c>
      <c r="V639" s="407">
        <f t="shared" si="58"/>
        <v>10</v>
      </c>
      <c r="W639" s="308">
        <v>101.23</v>
      </c>
      <c r="X639" s="308">
        <f t="shared" si="59"/>
        <v>1012.3000000000001</v>
      </c>
      <c r="Y639" s="322" t="s">
        <v>74</v>
      </c>
      <c r="Z639" s="575"/>
      <c r="AA639" s="567"/>
    </row>
    <row r="640" spans="1:27" s="318" customFormat="1" ht="15" customHeight="1" outlineLevel="1">
      <c r="A640" s="282">
        <v>636</v>
      </c>
      <c r="B640" s="282" t="s">
        <v>1</v>
      </c>
      <c r="C640" s="312" t="s">
        <v>899</v>
      </c>
      <c r="D640" s="313" t="s">
        <v>900</v>
      </c>
      <c r="E640" s="314" t="s">
        <v>899</v>
      </c>
      <c r="F640" s="553" t="str">
        <f t="shared" si="57"/>
        <v>REALResistência de aquecimento para painel 100 W ‐220 V</v>
      </c>
      <c r="G640" s="609">
        <f>Y640</f>
        <v>0</v>
      </c>
      <c r="H640" s="315" t="s">
        <v>228</v>
      </c>
      <c r="I640" s="323">
        <v>0</v>
      </c>
      <c r="J640" s="323">
        <v>0</v>
      </c>
      <c r="K640" s="323">
        <v>0</v>
      </c>
      <c r="L640" s="323">
        <v>0</v>
      </c>
      <c r="M640" s="323"/>
      <c r="N640" s="323"/>
      <c r="O640" s="323"/>
      <c r="P640" s="323"/>
      <c r="Q640" s="323"/>
      <c r="R640" s="323"/>
      <c r="S640" s="323"/>
      <c r="T640" s="323"/>
      <c r="U640" s="323"/>
      <c r="V640" s="316">
        <f t="shared" si="58"/>
        <v>0</v>
      </c>
      <c r="W640" s="316">
        <v>101.23</v>
      </c>
      <c r="X640" s="316">
        <f t="shared" si="59"/>
        <v>0</v>
      </c>
      <c r="Y640" s="322">
        <f>X640/X639</f>
        <v>0</v>
      </c>
      <c r="Z640" s="572"/>
      <c r="AA640" s="567"/>
    </row>
    <row r="641" spans="1:27" s="311" customFormat="1" ht="15" customHeight="1" outlineLevel="1">
      <c r="A641" s="273">
        <v>637</v>
      </c>
      <c r="B641" s="273" t="s">
        <v>0</v>
      </c>
      <c r="C641" s="305" t="s">
        <v>901</v>
      </c>
      <c r="D641" s="306" t="s">
        <v>902</v>
      </c>
      <c r="E641" s="307" t="s">
        <v>901</v>
      </c>
      <c r="F641" s="553" t="str">
        <f t="shared" si="57"/>
        <v>PREVResistência de aquecimento para painel 60 W ‐220 V</v>
      </c>
      <c r="G641" s="611" t="s">
        <v>74</v>
      </c>
      <c r="H641" s="307" t="s">
        <v>228</v>
      </c>
      <c r="I641" s="321">
        <v>0.66666666666666674</v>
      </c>
      <c r="J641" s="321">
        <v>0.83333333333333337</v>
      </c>
      <c r="K641" s="321">
        <v>0.83333333333333337</v>
      </c>
      <c r="L641" s="321">
        <v>0.83333333333333337</v>
      </c>
      <c r="M641" s="321">
        <v>0.83333333333333337</v>
      </c>
      <c r="N641" s="321">
        <v>0.83333333333333337</v>
      </c>
      <c r="O641" s="321">
        <v>0.83333333333333337</v>
      </c>
      <c r="P641" s="321">
        <v>0.83333333333333337</v>
      </c>
      <c r="Q641" s="321">
        <v>0.83333333333333337</v>
      </c>
      <c r="R641" s="321">
        <v>0.83333333333333337</v>
      </c>
      <c r="S641" s="321">
        <v>0.83333333333333337</v>
      </c>
      <c r="T641" s="321">
        <v>0.83333333333333337</v>
      </c>
      <c r="U641" s="321">
        <v>0.16666666666666669</v>
      </c>
      <c r="V641" s="407">
        <f t="shared" si="58"/>
        <v>10</v>
      </c>
      <c r="W641" s="308">
        <v>101.23</v>
      </c>
      <c r="X641" s="308">
        <f t="shared" si="59"/>
        <v>1012.3000000000001</v>
      </c>
      <c r="Y641" s="322" t="s">
        <v>74</v>
      </c>
      <c r="Z641" s="575"/>
      <c r="AA641" s="567"/>
    </row>
    <row r="642" spans="1:27" s="318" customFormat="1" ht="15" customHeight="1" outlineLevel="1">
      <c r="A642" s="282">
        <v>638</v>
      </c>
      <c r="B642" s="282" t="s">
        <v>1</v>
      </c>
      <c r="C642" s="312" t="s">
        <v>901</v>
      </c>
      <c r="D642" s="313" t="s">
        <v>902</v>
      </c>
      <c r="E642" s="314" t="s">
        <v>901</v>
      </c>
      <c r="F642" s="553" t="str">
        <f t="shared" si="57"/>
        <v>REALResistência de aquecimento para painel 60 W ‐220 V</v>
      </c>
      <c r="G642" s="609">
        <f>Y642</f>
        <v>0</v>
      </c>
      <c r="H642" s="315" t="s">
        <v>228</v>
      </c>
      <c r="I642" s="323">
        <v>0</v>
      </c>
      <c r="J642" s="323">
        <v>0</v>
      </c>
      <c r="K642" s="323">
        <v>0</v>
      </c>
      <c r="L642" s="323">
        <v>0</v>
      </c>
      <c r="M642" s="323"/>
      <c r="N642" s="323"/>
      <c r="O642" s="323"/>
      <c r="P642" s="323"/>
      <c r="Q642" s="323"/>
      <c r="R642" s="323"/>
      <c r="S642" s="323"/>
      <c r="T642" s="323"/>
      <c r="U642" s="323"/>
      <c r="V642" s="316">
        <f t="shared" si="58"/>
        <v>0</v>
      </c>
      <c r="W642" s="316">
        <v>101.23</v>
      </c>
      <c r="X642" s="316">
        <f t="shared" si="59"/>
        <v>0</v>
      </c>
      <c r="Y642" s="322">
        <f>X642/X641</f>
        <v>0</v>
      </c>
      <c r="Z642" s="572"/>
      <c r="AA642" s="567"/>
    </row>
    <row r="643" spans="1:27" s="311" customFormat="1" ht="15" customHeight="1" outlineLevel="1">
      <c r="A643" s="273">
        <v>639</v>
      </c>
      <c r="B643" s="273" t="s">
        <v>0</v>
      </c>
      <c r="C643" s="305" t="s">
        <v>903</v>
      </c>
      <c r="D643" s="306" t="s">
        <v>904</v>
      </c>
      <c r="E643" s="307" t="s">
        <v>903</v>
      </c>
      <c r="F643" s="553" t="str">
        <f t="shared" si="57"/>
        <v>PREVResistência de aquecimento 110/220 Vca, 50/60 Hz, 100 W</v>
      </c>
      <c r="G643" s="611" t="s">
        <v>74</v>
      </c>
      <c r="H643" s="307" t="s">
        <v>228</v>
      </c>
      <c r="I643" s="321">
        <v>0.66666666666666674</v>
      </c>
      <c r="J643" s="321">
        <v>0.83333333333333337</v>
      </c>
      <c r="K643" s="321">
        <v>0.83333333333333337</v>
      </c>
      <c r="L643" s="321">
        <v>0.83333333333333337</v>
      </c>
      <c r="M643" s="321">
        <v>0.83333333333333337</v>
      </c>
      <c r="N643" s="321">
        <v>0.83333333333333337</v>
      </c>
      <c r="O643" s="321">
        <v>0.83333333333333337</v>
      </c>
      <c r="P643" s="321">
        <v>0.83333333333333337</v>
      </c>
      <c r="Q643" s="321">
        <v>0.83333333333333337</v>
      </c>
      <c r="R643" s="321">
        <v>0.83333333333333337</v>
      </c>
      <c r="S643" s="321">
        <v>0.83333333333333337</v>
      </c>
      <c r="T643" s="321">
        <v>0.83333333333333337</v>
      </c>
      <c r="U643" s="321">
        <v>0.16666666666666669</v>
      </c>
      <c r="V643" s="407">
        <f t="shared" si="58"/>
        <v>10</v>
      </c>
      <c r="W643" s="308">
        <v>101.23</v>
      </c>
      <c r="X643" s="308">
        <f t="shared" si="59"/>
        <v>1012.3000000000001</v>
      </c>
      <c r="Y643" s="322" t="s">
        <v>74</v>
      </c>
      <c r="Z643" s="575"/>
      <c r="AA643" s="567"/>
    </row>
    <row r="644" spans="1:27" s="318" customFormat="1" ht="15" customHeight="1" outlineLevel="1">
      <c r="A644" s="282">
        <v>640</v>
      </c>
      <c r="B644" s="282" t="s">
        <v>1</v>
      </c>
      <c r="C644" s="312" t="s">
        <v>903</v>
      </c>
      <c r="D644" s="313" t="s">
        <v>904</v>
      </c>
      <c r="E644" s="314" t="s">
        <v>903</v>
      </c>
      <c r="F644" s="553" t="str">
        <f t="shared" si="57"/>
        <v>REALResistência de aquecimento 110/220 Vca, 50/60 Hz, 100 W</v>
      </c>
      <c r="G644" s="609">
        <f>Y644</f>
        <v>0</v>
      </c>
      <c r="H644" s="315" t="s">
        <v>228</v>
      </c>
      <c r="I644" s="323">
        <v>0</v>
      </c>
      <c r="J644" s="323">
        <v>0</v>
      </c>
      <c r="K644" s="323">
        <v>0</v>
      </c>
      <c r="L644" s="323">
        <v>0</v>
      </c>
      <c r="M644" s="323"/>
      <c r="N644" s="323"/>
      <c r="O644" s="323"/>
      <c r="P644" s="323"/>
      <c r="Q644" s="323"/>
      <c r="R644" s="323"/>
      <c r="S644" s="323"/>
      <c r="T644" s="323"/>
      <c r="U644" s="323"/>
      <c r="V644" s="316">
        <f t="shared" si="58"/>
        <v>0</v>
      </c>
      <c r="W644" s="316">
        <v>101.23</v>
      </c>
      <c r="X644" s="316">
        <f t="shared" si="59"/>
        <v>0</v>
      </c>
      <c r="Y644" s="322">
        <f>X644/X643</f>
        <v>0</v>
      </c>
      <c r="Z644" s="572"/>
      <c r="AA644" s="567"/>
    </row>
    <row r="645" spans="1:27" s="311" customFormat="1" ht="15" customHeight="1" outlineLevel="1">
      <c r="A645" s="273">
        <v>641</v>
      </c>
      <c r="B645" s="273" t="s">
        <v>0</v>
      </c>
      <c r="C645" s="305" t="s">
        <v>905</v>
      </c>
      <c r="D645" s="306" t="s">
        <v>906</v>
      </c>
      <c r="E645" s="307" t="s">
        <v>905</v>
      </c>
      <c r="F645" s="553" t="str">
        <f t="shared" si="57"/>
        <v>PREVResistência tubular blindada em tubo de aço AISI 304 para desumidificação de painel com proteção metálica, 150 W‐ 110/220 V.</v>
      </c>
      <c r="G645" s="611" t="s">
        <v>74</v>
      </c>
      <c r="H645" s="307" t="s">
        <v>228</v>
      </c>
      <c r="I645" s="321">
        <v>0.66666666666666674</v>
      </c>
      <c r="J645" s="321">
        <v>0.83333333333333337</v>
      </c>
      <c r="K645" s="321">
        <v>0.83333333333333337</v>
      </c>
      <c r="L645" s="321">
        <v>0.83333333333333337</v>
      </c>
      <c r="M645" s="321">
        <v>0.83333333333333337</v>
      </c>
      <c r="N645" s="321">
        <v>0.83333333333333337</v>
      </c>
      <c r="O645" s="321">
        <v>0.83333333333333337</v>
      </c>
      <c r="P645" s="321">
        <v>0.83333333333333337</v>
      </c>
      <c r="Q645" s="321">
        <v>0.83333333333333337</v>
      </c>
      <c r="R645" s="321">
        <v>0.83333333333333337</v>
      </c>
      <c r="S645" s="321">
        <v>0.83333333333333337</v>
      </c>
      <c r="T645" s="321">
        <v>0.83333333333333337</v>
      </c>
      <c r="U645" s="321">
        <v>0.16666666666666669</v>
      </c>
      <c r="V645" s="407">
        <f t="shared" si="58"/>
        <v>10</v>
      </c>
      <c r="W645" s="308">
        <v>101.23</v>
      </c>
      <c r="X645" s="308">
        <f t="shared" si="59"/>
        <v>1012.3000000000001</v>
      </c>
      <c r="Y645" s="322" t="s">
        <v>74</v>
      </c>
      <c r="Z645" s="575"/>
      <c r="AA645" s="567"/>
    </row>
    <row r="646" spans="1:27" s="318" customFormat="1" ht="15" customHeight="1" outlineLevel="1">
      <c r="A646" s="282">
        <v>642</v>
      </c>
      <c r="B646" s="282" t="s">
        <v>1</v>
      </c>
      <c r="C646" s="312" t="s">
        <v>905</v>
      </c>
      <c r="D646" s="313" t="s">
        <v>906</v>
      </c>
      <c r="E646" s="314" t="s">
        <v>905</v>
      </c>
      <c r="F646" s="553" t="str">
        <f t="shared" si="57"/>
        <v>REALResistência tubular blindada em tubo de aço AISI 304 para desumidificação de painel com proteção metálica, 150 W‐ 110/220 V.</v>
      </c>
      <c r="G646" s="609">
        <f>Y646</f>
        <v>0</v>
      </c>
      <c r="H646" s="315" t="s">
        <v>228</v>
      </c>
      <c r="I646" s="323">
        <v>0</v>
      </c>
      <c r="J646" s="323">
        <v>0</v>
      </c>
      <c r="K646" s="323">
        <v>0</v>
      </c>
      <c r="L646" s="323">
        <v>0</v>
      </c>
      <c r="M646" s="323"/>
      <c r="N646" s="323"/>
      <c r="O646" s="323"/>
      <c r="P646" s="323"/>
      <c r="Q646" s="323"/>
      <c r="R646" s="323"/>
      <c r="S646" s="323"/>
      <c r="T646" s="323"/>
      <c r="U646" s="323"/>
      <c r="V646" s="316">
        <f t="shared" si="58"/>
        <v>0</v>
      </c>
      <c r="W646" s="316">
        <v>101.23</v>
      </c>
      <c r="X646" s="316">
        <f t="shared" si="59"/>
        <v>0</v>
      </c>
      <c r="Y646" s="322">
        <f>X646/X645</f>
        <v>0</v>
      </c>
      <c r="Z646" s="572"/>
      <c r="AA646" s="567"/>
    </row>
    <row r="647" spans="1:27" s="311" customFormat="1" ht="15" customHeight="1" outlineLevel="1">
      <c r="A647" s="273">
        <v>643</v>
      </c>
      <c r="B647" s="273" t="s">
        <v>0</v>
      </c>
      <c r="C647" s="305" t="s">
        <v>907</v>
      </c>
      <c r="D647" s="306" t="s">
        <v>908</v>
      </c>
      <c r="E647" s="307" t="s">
        <v>907</v>
      </c>
      <c r="F647" s="553" t="str">
        <f t="shared" si="57"/>
        <v>PREVResistência desumidificadora helicoidal com proteção metálica, 220 V, 150 W</v>
      </c>
      <c r="G647" s="611" t="s">
        <v>74</v>
      </c>
      <c r="H647" s="307" t="s">
        <v>228</v>
      </c>
      <c r="I647" s="321">
        <v>0.46399999999999997</v>
      </c>
      <c r="J647" s="321">
        <v>0.57999999999999996</v>
      </c>
      <c r="K647" s="321">
        <v>0.57999999999999996</v>
      </c>
      <c r="L647" s="321">
        <v>0.57999999999999996</v>
      </c>
      <c r="M647" s="321">
        <v>0.57999999999999996</v>
      </c>
      <c r="N647" s="321">
        <v>0.57999999999999996</v>
      </c>
      <c r="O647" s="321">
        <v>0.57999999999999996</v>
      </c>
      <c r="P647" s="321">
        <v>0.57999999999999996</v>
      </c>
      <c r="Q647" s="321">
        <v>0.59</v>
      </c>
      <c r="R647" s="321">
        <v>0.59</v>
      </c>
      <c r="S647" s="321">
        <v>0.59</v>
      </c>
      <c r="T647" s="321">
        <v>0.59</v>
      </c>
      <c r="U647" s="321">
        <v>0.11799999999999999</v>
      </c>
      <c r="V647" s="308">
        <f t="shared" si="58"/>
        <v>7.0019999999999998</v>
      </c>
      <c r="W647" s="308">
        <v>101.23</v>
      </c>
      <c r="X647" s="308">
        <f t="shared" si="59"/>
        <v>708.81245999999999</v>
      </c>
      <c r="Y647" s="322" t="s">
        <v>74</v>
      </c>
      <c r="Z647" s="575"/>
      <c r="AA647" s="567"/>
    </row>
    <row r="648" spans="1:27" s="318" customFormat="1" ht="15" customHeight="1" outlineLevel="1">
      <c r="A648" s="282">
        <v>644</v>
      </c>
      <c r="B648" s="282" t="s">
        <v>1</v>
      </c>
      <c r="C648" s="312" t="s">
        <v>907</v>
      </c>
      <c r="D648" s="313" t="s">
        <v>908</v>
      </c>
      <c r="E648" s="314" t="s">
        <v>907</v>
      </c>
      <c r="F648" s="553" t="str">
        <f t="shared" si="57"/>
        <v>REALResistência desumidificadora helicoidal com proteção metálica, 220 V, 150 W</v>
      </c>
      <c r="G648" s="609">
        <f>Y648</f>
        <v>0</v>
      </c>
      <c r="H648" s="315" t="s">
        <v>228</v>
      </c>
      <c r="I648" s="323">
        <v>0</v>
      </c>
      <c r="J648" s="323">
        <v>0</v>
      </c>
      <c r="K648" s="323">
        <v>0</v>
      </c>
      <c r="L648" s="323">
        <v>0</v>
      </c>
      <c r="M648" s="323"/>
      <c r="N648" s="323"/>
      <c r="O648" s="323"/>
      <c r="P648" s="323"/>
      <c r="Q648" s="323"/>
      <c r="R648" s="323"/>
      <c r="S648" s="323"/>
      <c r="T648" s="323"/>
      <c r="U648" s="323"/>
      <c r="V648" s="316">
        <f t="shared" si="58"/>
        <v>0</v>
      </c>
      <c r="W648" s="316">
        <v>101.23</v>
      </c>
      <c r="X648" s="316">
        <f t="shared" si="59"/>
        <v>0</v>
      </c>
      <c r="Y648" s="322">
        <f>X648/X647</f>
        <v>0</v>
      </c>
      <c r="Z648" s="572"/>
      <c r="AA648" s="567"/>
    </row>
    <row r="649" spans="1:27" s="311" customFormat="1" ht="15" customHeight="1" outlineLevel="1">
      <c r="A649" s="273">
        <v>645</v>
      </c>
      <c r="B649" s="273" t="s">
        <v>0</v>
      </c>
      <c r="C649" s="305" t="s">
        <v>909</v>
      </c>
      <c r="D649" s="306" t="s">
        <v>910</v>
      </c>
      <c r="E649" s="307" t="s">
        <v>909</v>
      </c>
      <c r="F649" s="553" t="str">
        <f t="shared" si="57"/>
        <v>PREVSinaleiro cor verde, tensão de 125 Vca/cc</v>
      </c>
      <c r="G649" s="611" t="s">
        <v>74</v>
      </c>
      <c r="H649" s="307" t="s">
        <v>228</v>
      </c>
      <c r="I649" s="321">
        <v>0.26400000000000001</v>
      </c>
      <c r="J649" s="321">
        <v>0.33</v>
      </c>
      <c r="K649" s="321">
        <v>0.33</v>
      </c>
      <c r="L649" s="321">
        <v>0.33</v>
      </c>
      <c r="M649" s="321">
        <v>0.33</v>
      </c>
      <c r="N649" s="321">
        <v>0.33</v>
      </c>
      <c r="O649" s="321">
        <v>0.33</v>
      </c>
      <c r="P649" s="321">
        <v>0.33</v>
      </c>
      <c r="Q649" s="321">
        <v>0.34</v>
      </c>
      <c r="R649" s="321">
        <v>0.34</v>
      </c>
      <c r="S649" s="321">
        <v>0.34</v>
      </c>
      <c r="T649" s="321">
        <v>0.34</v>
      </c>
      <c r="U649" s="321">
        <v>6.8000000000000005E-2</v>
      </c>
      <c r="V649" s="465">
        <v>4</v>
      </c>
      <c r="W649" s="308">
        <v>39.4</v>
      </c>
      <c r="X649" s="308">
        <f t="shared" si="59"/>
        <v>157.6</v>
      </c>
      <c r="Y649" s="322" t="s">
        <v>74</v>
      </c>
      <c r="Z649" s="575"/>
      <c r="AA649" s="567"/>
    </row>
    <row r="650" spans="1:27" s="318" customFormat="1" ht="15" customHeight="1" outlineLevel="1">
      <c r="A650" s="282">
        <v>646</v>
      </c>
      <c r="B650" s="282" t="s">
        <v>1</v>
      </c>
      <c r="C650" s="312" t="s">
        <v>909</v>
      </c>
      <c r="D650" s="313" t="s">
        <v>910</v>
      </c>
      <c r="E650" s="314" t="s">
        <v>909</v>
      </c>
      <c r="F650" s="553" t="str">
        <f t="shared" si="57"/>
        <v>REALSinaleiro cor verde, tensão de 125 Vca/cc</v>
      </c>
      <c r="G650" s="609">
        <f>Y650</f>
        <v>0</v>
      </c>
      <c r="H650" s="315" t="s">
        <v>228</v>
      </c>
      <c r="I650" s="323">
        <v>0</v>
      </c>
      <c r="J650" s="323">
        <v>0</v>
      </c>
      <c r="K650" s="323">
        <v>0</v>
      </c>
      <c r="L650" s="323">
        <v>0</v>
      </c>
      <c r="M650" s="323"/>
      <c r="N650" s="323"/>
      <c r="O650" s="323"/>
      <c r="P650" s="323"/>
      <c r="Q650" s="323"/>
      <c r="R650" s="323"/>
      <c r="S650" s="323"/>
      <c r="T650" s="323"/>
      <c r="U650" s="323"/>
      <c r="V650" s="466">
        <f>SUM(I650:U650)</f>
        <v>0</v>
      </c>
      <c r="W650" s="316">
        <v>39.4</v>
      </c>
      <c r="X650" s="316">
        <f t="shared" si="59"/>
        <v>0</v>
      </c>
      <c r="Y650" s="322">
        <f>X650/X649</f>
        <v>0</v>
      </c>
      <c r="Z650" s="572"/>
      <c r="AA650" s="567"/>
    </row>
    <row r="651" spans="1:27" s="311" customFormat="1" ht="15" customHeight="1" outlineLevel="1">
      <c r="A651" s="273">
        <v>647</v>
      </c>
      <c r="B651" s="273" t="s">
        <v>0</v>
      </c>
      <c r="C651" s="305" t="s">
        <v>911</v>
      </c>
      <c r="D651" s="306" t="s">
        <v>912</v>
      </c>
      <c r="E651" s="307" t="s">
        <v>911</v>
      </c>
      <c r="F651" s="553" t="str">
        <f t="shared" si="57"/>
        <v>PREVSinaleiro com led, aro frontal redondo, lente cor amarela, 125 Vcc</v>
      </c>
      <c r="G651" s="611" t="s">
        <v>74</v>
      </c>
      <c r="H651" s="307" t="s">
        <v>228</v>
      </c>
      <c r="I651" s="321">
        <v>0.8640000000000001</v>
      </c>
      <c r="J651" s="321">
        <v>1.08</v>
      </c>
      <c r="K651" s="321">
        <v>1.08</v>
      </c>
      <c r="L651" s="321">
        <v>1.08</v>
      </c>
      <c r="M651" s="321">
        <v>1.08</v>
      </c>
      <c r="N651" s="321">
        <v>1.08</v>
      </c>
      <c r="O651" s="321">
        <v>1.08</v>
      </c>
      <c r="P651" s="321">
        <v>1.08</v>
      </c>
      <c r="Q651" s="321">
        <v>1.0900000000000001</v>
      </c>
      <c r="R651" s="321">
        <v>1.0900000000000001</v>
      </c>
      <c r="S651" s="321">
        <v>1.0900000000000001</v>
      </c>
      <c r="T651" s="321">
        <v>1.0900000000000001</v>
      </c>
      <c r="U651" s="321">
        <v>0.21800000000000003</v>
      </c>
      <c r="V651" s="308">
        <v>13</v>
      </c>
      <c r="W651" s="308">
        <v>39.4</v>
      </c>
      <c r="X651" s="308">
        <f t="shared" si="59"/>
        <v>512.19999999999993</v>
      </c>
      <c r="Y651" s="322" t="s">
        <v>74</v>
      </c>
      <c r="Z651" s="575"/>
      <c r="AA651" s="567"/>
    </row>
    <row r="652" spans="1:27" s="318" customFormat="1" ht="15" customHeight="1" outlineLevel="1">
      <c r="A652" s="282">
        <v>648</v>
      </c>
      <c r="B652" s="282" t="s">
        <v>1</v>
      </c>
      <c r="C652" s="312" t="s">
        <v>911</v>
      </c>
      <c r="D652" s="313" t="s">
        <v>912</v>
      </c>
      <c r="E652" s="314" t="s">
        <v>911</v>
      </c>
      <c r="F652" s="553" t="str">
        <f t="shared" si="57"/>
        <v>REALSinaleiro com led, aro frontal redondo, lente cor amarela, 125 Vcc</v>
      </c>
      <c r="G652" s="609">
        <f>Y652</f>
        <v>0</v>
      </c>
      <c r="H652" s="315" t="s">
        <v>228</v>
      </c>
      <c r="I652" s="323">
        <v>0</v>
      </c>
      <c r="J652" s="323">
        <v>0</v>
      </c>
      <c r="K652" s="323">
        <v>0</v>
      </c>
      <c r="L652" s="323">
        <v>0</v>
      </c>
      <c r="M652" s="323"/>
      <c r="N652" s="323"/>
      <c r="O652" s="323"/>
      <c r="P652" s="323"/>
      <c r="Q652" s="323"/>
      <c r="R652" s="323"/>
      <c r="S652" s="323"/>
      <c r="T652" s="323"/>
      <c r="U652" s="323"/>
      <c r="V652" s="316">
        <f>SUM(I652:U652)</f>
        <v>0</v>
      </c>
      <c r="W652" s="316">
        <v>39.4</v>
      </c>
      <c r="X652" s="316">
        <f t="shared" si="59"/>
        <v>0</v>
      </c>
      <c r="Y652" s="322">
        <f>X652/X651</f>
        <v>0</v>
      </c>
      <c r="Z652" s="572"/>
      <c r="AA652" s="567"/>
    </row>
    <row r="653" spans="1:27" s="311" customFormat="1" ht="15" customHeight="1" outlineLevel="1">
      <c r="A653" s="273">
        <v>649</v>
      </c>
      <c r="B653" s="273" t="s">
        <v>0</v>
      </c>
      <c r="C653" s="305" t="s">
        <v>913</v>
      </c>
      <c r="D653" s="306" t="s">
        <v>914</v>
      </c>
      <c r="E653" s="307" t="s">
        <v>913</v>
      </c>
      <c r="F653" s="553" t="str">
        <f t="shared" si="57"/>
        <v>PREVSinaleiro com led, aro frontal redondo, lente cor incolor, 125 Vcc</v>
      </c>
      <c r="G653" s="611" t="s">
        <v>74</v>
      </c>
      <c r="H653" s="307" t="s">
        <v>228</v>
      </c>
      <c r="I653" s="321">
        <v>0.8640000000000001</v>
      </c>
      <c r="J653" s="321">
        <v>1.08</v>
      </c>
      <c r="K653" s="321">
        <v>1.08</v>
      </c>
      <c r="L653" s="321">
        <v>1.08</v>
      </c>
      <c r="M653" s="321">
        <v>1.08</v>
      </c>
      <c r="N653" s="321">
        <v>1.08</v>
      </c>
      <c r="O653" s="321">
        <v>1.08</v>
      </c>
      <c r="P653" s="321">
        <v>1.08</v>
      </c>
      <c r="Q653" s="321">
        <v>1.0900000000000001</v>
      </c>
      <c r="R653" s="321">
        <v>1.0900000000000001</v>
      </c>
      <c r="S653" s="321">
        <v>1.0900000000000001</v>
      </c>
      <c r="T653" s="321">
        <v>1.0900000000000001</v>
      </c>
      <c r="U653" s="321">
        <v>0.21800000000000003</v>
      </c>
      <c r="V653" s="308">
        <v>13</v>
      </c>
      <c r="W653" s="308">
        <v>39.4</v>
      </c>
      <c r="X653" s="308">
        <f t="shared" si="59"/>
        <v>512.19999999999993</v>
      </c>
      <c r="Y653" s="322" t="s">
        <v>74</v>
      </c>
      <c r="Z653" s="575"/>
      <c r="AA653" s="567"/>
    </row>
    <row r="654" spans="1:27" s="318" customFormat="1" ht="15" customHeight="1" outlineLevel="1">
      <c r="A654" s="282">
        <v>650</v>
      </c>
      <c r="B654" s="282" t="s">
        <v>1</v>
      </c>
      <c r="C654" s="312" t="s">
        <v>913</v>
      </c>
      <c r="D654" s="313" t="s">
        <v>914</v>
      </c>
      <c r="E654" s="314" t="s">
        <v>913</v>
      </c>
      <c r="F654" s="553" t="str">
        <f t="shared" si="57"/>
        <v>REALSinaleiro com led, aro frontal redondo, lente cor incolor, 125 Vcc</v>
      </c>
      <c r="G654" s="609">
        <f>Y654</f>
        <v>0</v>
      </c>
      <c r="H654" s="315" t="s">
        <v>228</v>
      </c>
      <c r="I654" s="323">
        <v>0</v>
      </c>
      <c r="J654" s="323">
        <v>0</v>
      </c>
      <c r="K654" s="323">
        <v>0</v>
      </c>
      <c r="L654" s="323">
        <v>0</v>
      </c>
      <c r="M654" s="323"/>
      <c r="N654" s="323"/>
      <c r="O654" s="323"/>
      <c r="P654" s="323"/>
      <c r="Q654" s="323"/>
      <c r="R654" s="323"/>
      <c r="S654" s="323"/>
      <c r="T654" s="323"/>
      <c r="U654" s="323"/>
      <c r="V654" s="316">
        <f>SUM(I654:U654)</f>
        <v>0</v>
      </c>
      <c r="W654" s="316">
        <v>39.4</v>
      </c>
      <c r="X654" s="316">
        <f t="shared" si="59"/>
        <v>0</v>
      </c>
      <c r="Y654" s="322">
        <f>X654/X653</f>
        <v>0</v>
      </c>
      <c r="Z654" s="572"/>
      <c r="AA654" s="567"/>
    </row>
    <row r="655" spans="1:27" s="311" customFormat="1" ht="15" customHeight="1" outlineLevel="1">
      <c r="A655" s="273">
        <v>651</v>
      </c>
      <c r="B655" s="273" t="s">
        <v>0</v>
      </c>
      <c r="C655" s="305" t="s">
        <v>915</v>
      </c>
      <c r="D655" s="306" t="s">
        <v>916</v>
      </c>
      <c r="E655" s="307" t="s">
        <v>915</v>
      </c>
      <c r="F655" s="553" t="str">
        <f t="shared" si="57"/>
        <v>PREVSinaleiro com led, aro frontal redondo, lente cor vermelha, 125 Vcc</v>
      </c>
      <c r="G655" s="611" t="s">
        <v>74</v>
      </c>
      <c r="H655" s="307" t="s">
        <v>228</v>
      </c>
      <c r="I655" s="321">
        <v>0.8640000000000001</v>
      </c>
      <c r="J655" s="321">
        <v>1.08</v>
      </c>
      <c r="K655" s="321">
        <v>1.08</v>
      </c>
      <c r="L655" s="321">
        <v>1.08</v>
      </c>
      <c r="M655" s="321">
        <v>1.08</v>
      </c>
      <c r="N655" s="321">
        <v>1.08</v>
      </c>
      <c r="O655" s="321">
        <v>1.08</v>
      </c>
      <c r="P655" s="321">
        <v>1.08</v>
      </c>
      <c r="Q655" s="321">
        <v>1.0900000000000001</v>
      </c>
      <c r="R655" s="321">
        <v>1.0900000000000001</v>
      </c>
      <c r="S655" s="321">
        <v>1.0900000000000001</v>
      </c>
      <c r="T655" s="321">
        <v>1.0900000000000001</v>
      </c>
      <c r="U655" s="321">
        <v>0.21800000000000003</v>
      </c>
      <c r="V655" s="308">
        <v>13</v>
      </c>
      <c r="W655" s="308">
        <v>39.4</v>
      </c>
      <c r="X655" s="308">
        <f t="shared" si="59"/>
        <v>512.19999999999993</v>
      </c>
      <c r="Y655" s="322" t="s">
        <v>74</v>
      </c>
      <c r="Z655" s="575"/>
      <c r="AA655" s="567"/>
    </row>
    <row r="656" spans="1:27" s="318" customFormat="1" ht="15" customHeight="1" outlineLevel="1">
      <c r="A656" s="282">
        <v>652</v>
      </c>
      <c r="B656" s="282" t="s">
        <v>1</v>
      </c>
      <c r="C656" s="312" t="s">
        <v>915</v>
      </c>
      <c r="D656" s="313" t="s">
        <v>916</v>
      </c>
      <c r="E656" s="314" t="s">
        <v>915</v>
      </c>
      <c r="F656" s="553" t="str">
        <f t="shared" si="57"/>
        <v>REALSinaleiro com led, aro frontal redondo, lente cor vermelha, 125 Vcc</v>
      </c>
      <c r="G656" s="609">
        <f>Y656</f>
        <v>0</v>
      </c>
      <c r="H656" s="315" t="s">
        <v>228</v>
      </c>
      <c r="I656" s="323">
        <v>0</v>
      </c>
      <c r="J656" s="323">
        <v>0</v>
      </c>
      <c r="K656" s="323">
        <v>0</v>
      </c>
      <c r="L656" s="323">
        <v>0</v>
      </c>
      <c r="M656" s="323"/>
      <c r="N656" s="323"/>
      <c r="O656" s="323"/>
      <c r="P656" s="323"/>
      <c r="Q656" s="323"/>
      <c r="R656" s="323"/>
      <c r="S656" s="323"/>
      <c r="T656" s="323"/>
      <c r="U656" s="323"/>
      <c r="V656" s="316">
        <f>SUM(I656:U656)</f>
        <v>0</v>
      </c>
      <c r="W656" s="316">
        <v>39.4</v>
      </c>
      <c r="X656" s="316">
        <f t="shared" si="59"/>
        <v>0</v>
      </c>
      <c r="Y656" s="322">
        <f>X656/X655</f>
        <v>0</v>
      </c>
      <c r="Z656" s="572"/>
      <c r="AA656" s="567"/>
    </row>
    <row r="657" spans="1:27" s="311" customFormat="1" ht="15" customHeight="1" outlineLevel="1">
      <c r="A657" s="273">
        <v>653</v>
      </c>
      <c r="B657" s="273" t="s">
        <v>0</v>
      </c>
      <c r="C657" s="305" t="s">
        <v>917</v>
      </c>
      <c r="D657" s="306" t="s">
        <v>918</v>
      </c>
      <c r="E657" s="307" t="s">
        <v>917</v>
      </c>
      <c r="F657" s="553" t="str">
        <f t="shared" si="57"/>
        <v>PREVSinaleiro com led, aro frontal redondo, lente cor verde, 125 Vcc</v>
      </c>
      <c r="G657" s="611" t="s">
        <v>74</v>
      </c>
      <c r="H657" s="307" t="s">
        <v>228</v>
      </c>
      <c r="I657" s="321">
        <v>0.8640000000000001</v>
      </c>
      <c r="J657" s="321">
        <v>1.08</v>
      </c>
      <c r="K657" s="321">
        <v>1.08</v>
      </c>
      <c r="L657" s="321">
        <v>1.08</v>
      </c>
      <c r="M657" s="321">
        <v>1.08</v>
      </c>
      <c r="N657" s="321">
        <v>1.08</v>
      </c>
      <c r="O657" s="321">
        <v>1.08</v>
      </c>
      <c r="P657" s="321">
        <v>1.08</v>
      </c>
      <c r="Q657" s="321">
        <v>1.0900000000000001</v>
      </c>
      <c r="R657" s="321">
        <v>1.0900000000000001</v>
      </c>
      <c r="S657" s="321">
        <v>1.0900000000000001</v>
      </c>
      <c r="T657" s="321">
        <v>1.0900000000000001</v>
      </c>
      <c r="U657" s="321">
        <v>0.21800000000000003</v>
      </c>
      <c r="V657" s="308">
        <v>13</v>
      </c>
      <c r="W657" s="308">
        <v>39.4</v>
      </c>
      <c r="X657" s="308">
        <f t="shared" si="59"/>
        <v>512.19999999999993</v>
      </c>
      <c r="Y657" s="322" t="s">
        <v>74</v>
      </c>
      <c r="Z657" s="575"/>
      <c r="AA657" s="567"/>
    </row>
    <row r="658" spans="1:27" s="318" customFormat="1" ht="15" customHeight="1" outlineLevel="1">
      <c r="A658" s="282">
        <v>654</v>
      </c>
      <c r="B658" s="282" t="s">
        <v>1</v>
      </c>
      <c r="C658" s="312" t="s">
        <v>917</v>
      </c>
      <c r="D658" s="313" t="s">
        <v>918</v>
      </c>
      <c r="E658" s="314" t="s">
        <v>917</v>
      </c>
      <c r="F658" s="553" t="str">
        <f t="shared" si="57"/>
        <v>REALSinaleiro com led, aro frontal redondo, lente cor verde, 125 Vcc</v>
      </c>
      <c r="G658" s="609">
        <f>Y658</f>
        <v>0</v>
      </c>
      <c r="H658" s="315" t="s">
        <v>228</v>
      </c>
      <c r="I658" s="323">
        <v>0</v>
      </c>
      <c r="J658" s="323">
        <v>0</v>
      </c>
      <c r="K658" s="323">
        <v>0</v>
      </c>
      <c r="L658" s="323">
        <v>0</v>
      </c>
      <c r="M658" s="323"/>
      <c r="N658" s="323"/>
      <c r="O658" s="323"/>
      <c r="P658" s="323"/>
      <c r="Q658" s="323"/>
      <c r="R658" s="323"/>
      <c r="S658" s="323"/>
      <c r="T658" s="323"/>
      <c r="U658" s="323"/>
      <c r="V658" s="316">
        <f>SUM(I658:U658)</f>
        <v>0</v>
      </c>
      <c r="W658" s="316">
        <v>39.4</v>
      </c>
      <c r="X658" s="316">
        <f t="shared" si="59"/>
        <v>0</v>
      </c>
      <c r="Y658" s="322">
        <f>X658/X657</f>
        <v>0</v>
      </c>
      <c r="Z658" s="572"/>
      <c r="AA658" s="567"/>
    </row>
    <row r="659" spans="1:27" s="311" customFormat="1" ht="15" customHeight="1" outlineLevel="1">
      <c r="A659" s="273">
        <v>655</v>
      </c>
      <c r="B659" s="273" t="s">
        <v>0</v>
      </c>
      <c r="C659" s="305" t="s">
        <v>919</v>
      </c>
      <c r="D659" s="306" t="s">
        <v>920</v>
      </c>
      <c r="E659" s="307" t="s">
        <v>919</v>
      </c>
      <c r="F659" s="553" t="str">
        <f t="shared" si="57"/>
        <v>PREVSinaleiro vermelho e ou amarelo, tensão de 125 Vcc</v>
      </c>
      <c r="G659" s="611" t="s">
        <v>74</v>
      </c>
      <c r="H659" s="307" t="s">
        <v>228</v>
      </c>
      <c r="I659" s="321">
        <v>0.8640000000000001</v>
      </c>
      <c r="J659" s="321">
        <v>1.08</v>
      </c>
      <c r="K659" s="321">
        <v>1.08</v>
      </c>
      <c r="L659" s="321">
        <v>1.08</v>
      </c>
      <c r="M659" s="321">
        <v>1.08</v>
      </c>
      <c r="N659" s="321">
        <v>1.08</v>
      </c>
      <c r="O659" s="321">
        <v>1.08</v>
      </c>
      <c r="P659" s="321">
        <v>1.08</v>
      </c>
      <c r="Q659" s="321">
        <v>1.0900000000000001</v>
      </c>
      <c r="R659" s="321">
        <v>1.0900000000000001</v>
      </c>
      <c r="S659" s="321">
        <v>1.0900000000000001</v>
      </c>
      <c r="T659" s="321">
        <v>1.0900000000000001</v>
      </c>
      <c r="U659" s="321">
        <v>0.21800000000000003</v>
      </c>
      <c r="V659" s="308">
        <v>13</v>
      </c>
      <c r="W659" s="308">
        <v>39.4</v>
      </c>
      <c r="X659" s="308">
        <f t="shared" si="59"/>
        <v>512.19999999999993</v>
      </c>
      <c r="Y659" s="322" t="s">
        <v>74</v>
      </c>
      <c r="Z659" s="575"/>
      <c r="AA659" s="567"/>
    </row>
    <row r="660" spans="1:27" s="318" customFormat="1" ht="15" customHeight="1" outlineLevel="1">
      <c r="A660" s="282">
        <v>656</v>
      </c>
      <c r="B660" s="282" t="s">
        <v>1</v>
      </c>
      <c r="C660" s="312" t="s">
        <v>919</v>
      </c>
      <c r="D660" s="313" t="s">
        <v>920</v>
      </c>
      <c r="E660" s="314" t="s">
        <v>919</v>
      </c>
      <c r="F660" s="553" t="str">
        <f t="shared" si="57"/>
        <v>REALSinaleiro vermelho e ou amarelo, tensão de 125 Vcc</v>
      </c>
      <c r="G660" s="609">
        <f>Y660</f>
        <v>0</v>
      </c>
      <c r="H660" s="315" t="s">
        <v>228</v>
      </c>
      <c r="I660" s="323">
        <v>0</v>
      </c>
      <c r="J660" s="323">
        <v>0</v>
      </c>
      <c r="K660" s="323">
        <v>0</v>
      </c>
      <c r="L660" s="323">
        <v>0</v>
      </c>
      <c r="M660" s="323"/>
      <c r="N660" s="323"/>
      <c r="O660" s="323"/>
      <c r="P660" s="323"/>
      <c r="Q660" s="323"/>
      <c r="R660" s="323"/>
      <c r="S660" s="323"/>
      <c r="T660" s="323"/>
      <c r="U660" s="323"/>
      <c r="V660" s="316">
        <f>SUM(I660:U660)</f>
        <v>0</v>
      </c>
      <c r="W660" s="316">
        <v>39.4</v>
      </c>
      <c r="X660" s="316">
        <f t="shared" si="59"/>
        <v>0</v>
      </c>
      <c r="Y660" s="322">
        <f>X660/X659</f>
        <v>0</v>
      </c>
      <c r="Z660" s="572"/>
      <c r="AA660" s="567"/>
    </row>
    <row r="661" spans="1:27" s="311" customFormat="1" ht="15" customHeight="1" outlineLevel="1">
      <c r="A661" s="273">
        <v>657</v>
      </c>
      <c r="B661" s="273" t="s">
        <v>0</v>
      </c>
      <c r="C661" s="305" t="s">
        <v>921</v>
      </c>
      <c r="D661" s="306" t="s">
        <v>922</v>
      </c>
      <c r="E661" s="307" t="s">
        <v>921</v>
      </c>
      <c r="F661" s="553" t="str">
        <f t="shared" si="57"/>
        <v>PREVTermostato 0° a 60 °C</v>
      </c>
      <c r="G661" s="611" t="s">
        <v>74</v>
      </c>
      <c r="H661" s="307" t="s">
        <v>228</v>
      </c>
      <c r="I661" s="321">
        <v>0.2</v>
      </c>
      <c r="J661" s="321">
        <v>0.25</v>
      </c>
      <c r="K661" s="321">
        <v>0.25</v>
      </c>
      <c r="L661" s="321">
        <v>0.25</v>
      </c>
      <c r="M661" s="321">
        <v>0.25</v>
      </c>
      <c r="N661" s="321">
        <v>0.25</v>
      </c>
      <c r="O661" s="321">
        <v>0.25</v>
      </c>
      <c r="P661" s="321">
        <v>0.25</v>
      </c>
      <c r="Q661" s="321">
        <v>0.25</v>
      </c>
      <c r="R661" s="321">
        <v>0.25</v>
      </c>
      <c r="S661" s="321">
        <v>0.25</v>
      </c>
      <c r="T661" s="321">
        <v>0.25</v>
      </c>
      <c r="U661" s="321">
        <v>0.05</v>
      </c>
      <c r="V661" s="308">
        <f>SUM(I661:U661)</f>
        <v>3</v>
      </c>
      <c r="W661" s="308">
        <v>82.32</v>
      </c>
      <c r="X661" s="308">
        <f t="shared" si="59"/>
        <v>246.95999999999998</v>
      </c>
      <c r="Y661" s="322" t="s">
        <v>74</v>
      </c>
      <c r="Z661" s="575"/>
      <c r="AA661" s="567"/>
    </row>
    <row r="662" spans="1:27" s="318" customFormat="1" ht="15" customHeight="1" outlineLevel="1">
      <c r="A662" s="282">
        <v>658</v>
      </c>
      <c r="B662" s="282" t="s">
        <v>1</v>
      </c>
      <c r="C662" s="312" t="s">
        <v>921</v>
      </c>
      <c r="D662" s="313" t="s">
        <v>922</v>
      </c>
      <c r="E662" s="314" t="s">
        <v>921</v>
      </c>
      <c r="F662" s="553" t="str">
        <f t="shared" si="57"/>
        <v>REALTermostato 0° a 60 °C</v>
      </c>
      <c r="G662" s="609">
        <f>Y662</f>
        <v>0</v>
      </c>
      <c r="H662" s="315" t="s">
        <v>228</v>
      </c>
      <c r="I662" s="323">
        <v>0</v>
      </c>
      <c r="J662" s="323">
        <v>0</v>
      </c>
      <c r="K662" s="323">
        <v>0</v>
      </c>
      <c r="L662" s="323">
        <v>0</v>
      </c>
      <c r="M662" s="323"/>
      <c r="N662" s="323"/>
      <c r="O662" s="323"/>
      <c r="P662" s="323"/>
      <c r="Q662" s="323"/>
      <c r="R662" s="323"/>
      <c r="S662" s="323"/>
      <c r="T662" s="323"/>
      <c r="U662" s="323"/>
      <c r="V662" s="316">
        <f>SUM(I662:U662)</f>
        <v>0</v>
      </c>
      <c r="W662" s="316">
        <v>82.32</v>
      </c>
      <c r="X662" s="316">
        <f t="shared" si="59"/>
        <v>0</v>
      </c>
      <c r="Y662" s="322">
        <f>X662/X661</f>
        <v>0</v>
      </c>
      <c r="Z662" s="572"/>
      <c r="AA662" s="567"/>
    </row>
    <row r="663" spans="1:27" s="311" customFormat="1" ht="15" customHeight="1">
      <c r="A663" s="273">
        <v>659</v>
      </c>
      <c r="B663" s="273" t="s">
        <v>0</v>
      </c>
      <c r="C663" s="289" t="s">
        <v>923</v>
      </c>
      <c r="D663" s="380" t="s">
        <v>924</v>
      </c>
      <c r="E663" s="291" t="s">
        <v>923</v>
      </c>
      <c r="F663" s="291"/>
      <c r="G663" s="610"/>
      <c r="H663" s="292"/>
      <c r="I663" s="396"/>
      <c r="J663" s="396"/>
      <c r="K663" s="396"/>
      <c r="L663" s="396"/>
      <c r="M663" s="396"/>
      <c r="N663" s="396"/>
      <c r="O663" s="396"/>
      <c r="P663" s="396"/>
      <c r="Q663" s="396"/>
      <c r="R663" s="396"/>
      <c r="S663" s="396"/>
      <c r="T663" s="396"/>
      <c r="U663" s="396"/>
      <c r="V663" s="319"/>
      <c r="W663" s="319"/>
      <c r="X663" s="370">
        <f>SUMIF(B665:B704,B663,X665:X704)</f>
        <v>469077.75533999997</v>
      </c>
      <c r="Y663" s="295" t="s">
        <v>74</v>
      </c>
      <c r="Z663" s="578"/>
      <c r="AA663" s="567"/>
    </row>
    <row r="664" spans="1:27" s="318" customFormat="1" ht="15" customHeight="1">
      <c r="A664" s="282">
        <v>660</v>
      </c>
      <c r="B664" s="282" t="s">
        <v>1</v>
      </c>
      <c r="C664" s="297" t="s">
        <v>923</v>
      </c>
      <c r="D664" s="381" t="s">
        <v>924</v>
      </c>
      <c r="E664" s="320" t="s">
        <v>923</v>
      </c>
      <c r="F664" s="320"/>
      <c r="G664" s="612"/>
      <c r="H664" s="300"/>
      <c r="I664" s="397"/>
      <c r="J664" s="397"/>
      <c r="K664" s="397"/>
      <c r="L664" s="397"/>
      <c r="M664" s="397"/>
      <c r="N664" s="397"/>
      <c r="O664" s="397"/>
      <c r="P664" s="397"/>
      <c r="Q664" s="397"/>
      <c r="R664" s="397"/>
      <c r="S664" s="397"/>
      <c r="T664" s="397"/>
      <c r="U664" s="397"/>
      <c r="V664" s="302">
        <v>0</v>
      </c>
      <c r="W664" s="302">
        <v>0</v>
      </c>
      <c r="X664" s="303">
        <f>SUMIF(B665:B704,B664,X665:X704)</f>
        <v>863.48</v>
      </c>
      <c r="Y664" s="295">
        <f>X664/X663</f>
        <v>1.8408035558499824E-3</v>
      </c>
      <c r="Z664" s="571"/>
      <c r="AA664" s="567"/>
    </row>
    <row r="665" spans="1:27" s="311" customFormat="1" ht="15" customHeight="1" outlineLevel="1">
      <c r="A665" s="273">
        <v>661</v>
      </c>
      <c r="B665" s="273" t="s">
        <v>0</v>
      </c>
      <c r="C665" s="305" t="s">
        <v>925</v>
      </c>
      <c r="D665" s="306" t="s">
        <v>926</v>
      </c>
      <c r="E665" s="307" t="s">
        <v>925</v>
      </c>
      <c r="F665" s="553" t="str">
        <f t="shared" ref="F665:F704" si="60">B665&amp;D665</f>
        <v>PREVCadeia de Ancoragem Dupla "AD" ‐ 1xCAA Grosbeak ‐ 20 kA ‐ 230kV</v>
      </c>
      <c r="G665" s="611" t="s">
        <v>74</v>
      </c>
      <c r="H665" s="307" t="s">
        <v>927</v>
      </c>
      <c r="I665" s="321">
        <v>0.8</v>
      </c>
      <c r="J665" s="321">
        <v>1</v>
      </c>
      <c r="K665" s="321">
        <v>1</v>
      </c>
      <c r="L665" s="321">
        <v>1</v>
      </c>
      <c r="M665" s="321">
        <v>1</v>
      </c>
      <c r="N665" s="321">
        <v>1</v>
      </c>
      <c r="O665" s="321">
        <v>1</v>
      </c>
      <c r="P665" s="321">
        <v>1</v>
      </c>
      <c r="Q665" s="321">
        <v>1</v>
      </c>
      <c r="R665" s="321">
        <v>1</v>
      </c>
      <c r="S665" s="321">
        <v>1</v>
      </c>
      <c r="T665" s="321">
        <v>1</v>
      </c>
      <c r="U665" s="321">
        <v>0.2</v>
      </c>
      <c r="V665" s="308">
        <f t="shared" ref="V665:V704" si="61">SUM(I665:U665)</f>
        <v>12</v>
      </c>
      <c r="W665" s="308">
        <v>6429.2</v>
      </c>
      <c r="X665" s="308">
        <f t="shared" ref="X665:X704" si="62">W665*V665</f>
        <v>77150.399999999994</v>
      </c>
      <c r="Y665" s="322" t="s">
        <v>74</v>
      </c>
      <c r="Z665" s="575"/>
      <c r="AA665" s="567"/>
    </row>
    <row r="666" spans="1:27" s="318" customFormat="1" ht="15" customHeight="1" outlineLevel="1">
      <c r="A666" s="282">
        <v>662</v>
      </c>
      <c r="B666" s="282" t="s">
        <v>1</v>
      </c>
      <c r="C666" s="312" t="s">
        <v>925</v>
      </c>
      <c r="D666" s="313" t="s">
        <v>926</v>
      </c>
      <c r="E666" s="314" t="s">
        <v>925</v>
      </c>
      <c r="F666" s="553" t="str">
        <f t="shared" si="60"/>
        <v>REALCadeia de Ancoragem Dupla "AD" ‐ 1xCAA Grosbeak ‐ 20 kA ‐ 230kV</v>
      </c>
      <c r="G666" s="609">
        <f>Y666</f>
        <v>0</v>
      </c>
      <c r="H666" s="315" t="s">
        <v>927</v>
      </c>
      <c r="I666" s="323">
        <v>0</v>
      </c>
      <c r="J666" s="323">
        <v>0</v>
      </c>
      <c r="K666" s="323">
        <v>0</v>
      </c>
      <c r="L666" s="323">
        <v>0</v>
      </c>
      <c r="M666" s="323"/>
      <c r="N666" s="323"/>
      <c r="O666" s="323"/>
      <c r="P666" s="323"/>
      <c r="Q666" s="323"/>
      <c r="R666" s="323"/>
      <c r="S666" s="323"/>
      <c r="T666" s="323"/>
      <c r="U666" s="323"/>
      <c r="V666" s="316">
        <f t="shared" si="61"/>
        <v>0</v>
      </c>
      <c r="W666" s="316">
        <v>6429.2</v>
      </c>
      <c r="X666" s="316">
        <f t="shared" si="62"/>
        <v>0</v>
      </c>
      <c r="Y666" s="322">
        <f>X666/X665</f>
        <v>0</v>
      </c>
      <c r="Z666" s="572"/>
      <c r="AA666" s="567"/>
    </row>
    <row r="667" spans="1:27" s="311" customFormat="1" ht="15" customHeight="1" outlineLevel="1">
      <c r="A667" s="273">
        <v>663</v>
      </c>
      <c r="B667" s="273" t="s">
        <v>0</v>
      </c>
      <c r="C667" s="305" t="s">
        <v>928</v>
      </c>
      <c r="D667" s="306" t="s">
        <v>929</v>
      </c>
      <c r="E667" s="307" t="s">
        <v>928</v>
      </c>
      <c r="F667" s="553" t="str">
        <f t="shared" si="60"/>
        <v>PREVCadeia de Ancoragem Dupla "AD" ‐ 1xCAA Grosbeak ‐ 40 kA ‐ 230kV</v>
      </c>
      <c r="G667" s="611" t="s">
        <v>74</v>
      </c>
      <c r="H667" s="307" t="s">
        <v>927</v>
      </c>
      <c r="I667" s="321">
        <v>0.8</v>
      </c>
      <c r="J667" s="321">
        <v>1</v>
      </c>
      <c r="K667" s="321">
        <v>1</v>
      </c>
      <c r="L667" s="321">
        <v>1</v>
      </c>
      <c r="M667" s="321">
        <v>1</v>
      </c>
      <c r="N667" s="321">
        <v>1</v>
      </c>
      <c r="O667" s="321">
        <v>1</v>
      </c>
      <c r="P667" s="321">
        <v>1</v>
      </c>
      <c r="Q667" s="321">
        <v>1</v>
      </c>
      <c r="R667" s="321">
        <v>1</v>
      </c>
      <c r="S667" s="321">
        <v>1</v>
      </c>
      <c r="T667" s="321">
        <v>1</v>
      </c>
      <c r="U667" s="321">
        <v>0.2</v>
      </c>
      <c r="V667" s="308">
        <f t="shared" si="61"/>
        <v>12</v>
      </c>
      <c r="W667" s="308">
        <v>6762.52</v>
      </c>
      <c r="X667" s="308">
        <f t="shared" si="62"/>
        <v>81150.240000000005</v>
      </c>
      <c r="Y667" s="322" t="s">
        <v>74</v>
      </c>
      <c r="Z667" s="575"/>
      <c r="AA667" s="567"/>
    </row>
    <row r="668" spans="1:27" s="318" customFormat="1" ht="15" customHeight="1" outlineLevel="1">
      <c r="A668" s="282">
        <v>664</v>
      </c>
      <c r="B668" s="282" t="s">
        <v>1</v>
      </c>
      <c r="C668" s="312" t="s">
        <v>928</v>
      </c>
      <c r="D668" s="313" t="s">
        <v>929</v>
      </c>
      <c r="E668" s="314" t="s">
        <v>928</v>
      </c>
      <c r="F668" s="553" t="str">
        <f t="shared" si="60"/>
        <v>REALCadeia de Ancoragem Dupla "AD" ‐ 1xCAA Grosbeak ‐ 40 kA ‐ 230kV</v>
      </c>
      <c r="G668" s="609">
        <f>Y668</f>
        <v>0</v>
      </c>
      <c r="H668" s="315" t="s">
        <v>927</v>
      </c>
      <c r="I668" s="323">
        <v>0</v>
      </c>
      <c r="J668" s="323">
        <v>0</v>
      </c>
      <c r="K668" s="323">
        <v>0</v>
      </c>
      <c r="L668" s="323">
        <v>0</v>
      </c>
      <c r="M668" s="323"/>
      <c r="N668" s="323"/>
      <c r="O668" s="323"/>
      <c r="P668" s="323"/>
      <c r="Q668" s="323"/>
      <c r="R668" s="323"/>
      <c r="S668" s="323"/>
      <c r="T668" s="323"/>
      <c r="U668" s="323"/>
      <c r="V668" s="316">
        <f t="shared" si="61"/>
        <v>0</v>
      </c>
      <c r="W668" s="316">
        <v>6762.52</v>
      </c>
      <c r="X668" s="316">
        <f t="shared" si="62"/>
        <v>0</v>
      </c>
      <c r="Y668" s="322">
        <f>X668/X667</f>
        <v>0</v>
      </c>
      <c r="Z668" s="572"/>
      <c r="AA668" s="567"/>
    </row>
    <row r="669" spans="1:27" s="311" customFormat="1" ht="15" customHeight="1" outlineLevel="1">
      <c r="A669" s="273">
        <v>665</v>
      </c>
      <c r="B669" s="273" t="s">
        <v>0</v>
      </c>
      <c r="C669" s="305" t="s">
        <v>930</v>
      </c>
      <c r="D669" s="306" t="s">
        <v>931</v>
      </c>
      <c r="E669" s="307" t="s">
        <v>930</v>
      </c>
      <c r="F669" s="553" t="str">
        <f t="shared" si="60"/>
        <v>PREVCadeia de Suspensão simples "SI" ‐ 1xCAA Grosbeak ‐ 20kA ‐ 230kV</v>
      </c>
      <c r="G669" s="611" t="s">
        <v>74</v>
      </c>
      <c r="H669" s="307" t="s">
        <v>927</v>
      </c>
      <c r="I669" s="321">
        <v>0.60000000000000009</v>
      </c>
      <c r="J669" s="321">
        <v>0.75</v>
      </c>
      <c r="K669" s="321">
        <v>0.75</v>
      </c>
      <c r="L669" s="321">
        <v>0.75</v>
      </c>
      <c r="M669" s="321">
        <v>0.75</v>
      </c>
      <c r="N669" s="321">
        <v>0.75</v>
      </c>
      <c r="O669" s="321">
        <v>0.75</v>
      </c>
      <c r="P669" s="321">
        <v>0.75</v>
      </c>
      <c r="Q669" s="321">
        <v>0.75</v>
      </c>
      <c r="R669" s="321">
        <v>0.75</v>
      </c>
      <c r="S669" s="321">
        <v>0.75</v>
      </c>
      <c r="T669" s="321">
        <v>0.75</v>
      </c>
      <c r="U669" s="321">
        <v>0.15000000000000002</v>
      </c>
      <c r="V669" s="308">
        <f t="shared" si="61"/>
        <v>9</v>
      </c>
      <c r="W669" s="308">
        <v>2513.42</v>
      </c>
      <c r="X669" s="308">
        <f t="shared" si="62"/>
        <v>22620.78</v>
      </c>
      <c r="Y669" s="322" t="s">
        <v>74</v>
      </c>
      <c r="Z669" s="575"/>
      <c r="AA669" s="567"/>
    </row>
    <row r="670" spans="1:27" s="318" customFormat="1" ht="15" customHeight="1" outlineLevel="1">
      <c r="A670" s="282">
        <v>666</v>
      </c>
      <c r="B670" s="282" t="s">
        <v>1</v>
      </c>
      <c r="C670" s="312" t="s">
        <v>930</v>
      </c>
      <c r="D670" s="313" t="s">
        <v>931</v>
      </c>
      <c r="E670" s="314" t="s">
        <v>930</v>
      </c>
      <c r="F670" s="553" t="str">
        <f t="shared" si="60"/>
        <v>REALCadeia de Suspensão simples "SI" ‐ 1xCAA Grosbeak ‐ 20kA ‐ 230kV</v>
      </c>
      <c r="G670" s="609">
        <f>Y670</f>
        <v>0</v>
      </c>
      <c r="H670" s="315" t="s">
        <v>927</v>
      </c>
      <c r="I670" s="323">
        <v>0</v>
      </c>
      <c r="J670" s="323">
        <v>0</v>
      </c>
      <c r="K670" s="323">
        <v>0</v>
      </c>
      <c r="L670" s="323">
        <v>0</v>
      </c>
      <c r="M670" s="323"/>
      <c r="N670" s="323"/>
      <c r="O670" s="323"/>
      <c r="P670" s="323"/>
      <c r="Q670" s="323"/>
      <c r="R670" s="323"/>
      <c r="S670" s="323"/>
      <c r="T670" s="323"/>
      <c r="U670" s="323"/>
      <c r="V670" s="316">
        <f t="shared" si="61"/>
        <v>0</v>
      </c>
      <c r="W670" s="316">
        <v>2513.42</v>
      </c>
      <c r="X670" s="316">
        <f t="shared" si="62"/>
        <v>0</v>
      </c>
      <c r="Y670" s="322">
        <f>X670/X669</f>
        <v>0</v>
      </c>
      <c r="Z670" s="572"/>
      <c r="AA670" s="567"/>
    </row>
    <row r="671" spans="1:27" s="311" customFormat="1" ht="15" customHeight="1" outlineLevel="1">
      <c r="A671" s="273">
        <v>667</v>
      </c>
      <c r="B671" s="273" t="s">
        <v>0</v>
      </c>
      <c r="C671" s="305" t="s">
        <v>932</v>
      </c>
      <c r="D671" s="306" t="s">
        <v>933</v>
      </c>
      <c r="E671" s="307" t="s">
        <v>932</v>
      </c>
      <c r="F671" s="553" t="str">
        <f t="shared" si="60"/>
        <v>PREVCadeia de Suspensão simples "SI" ‐ 1xCAA Grosbeak ‐ 40kA ‐ 230kV</v>
      </c>
      <c r="G671" s="611" t="s">
        <v>74</v>
      </c>
      <c r="H671" s="307" t="s">
        <v>927</v>
      </c>
      <c r="I671" s="321">
        <v>0.60000000000000009</v>
      </c>
      <c r="J671" s="321">
        <v>0.75</v>
      </c>
      <c r="K671" s="321">
        <v>0.75</v>
      </c>
      <c r="L671" s="321">
        <v>0.75</v>
      </c>
      <c r="M671" s="321">
        <v>0.75</v>
      </c>
      <c r="N671" s="321">
        <v>0.75</v>
      </c>
      <c r="O671" s="321">
        <v>0.75</v>
      </c>
      <c r="P671" s="321">
        <v>0.75</v>
      </c>
      <c r="Q671" s="321">
        <v>0.75</v>
      </c>
      <c r="R671" s="321">
        <v>0.75</v>
      </c>
      <c r="S671" s="321">
        <v>0.75</v>
      </c>
      <c r="T671" s="321">
        <v>0.75</v>
      </c>
      <c r="U671" s="321">
        <v>0.15000000000000002</v>
      </c>
      <c r="V671" s="308">
        <f t="shared" si="61"/>
        <v>9</v>
      </c>
      <c r="W671" s="308">
        <v>2632.46</v>
      </c>
      <c r="X671" s="308">
        <f t="shared" si="62"/>
        <v>23692.14</v>
      </c>
      <c r="Y671" s="322" t="s">
        <v>74</v>
      </c>
      <c r="Z671" s="575"/>
      <c r="AA671" s="567"/>
    </row>
    <row r="672" spans="1:27" s="318" customFormat="1" ht="15" customHeight="1" outlineLevel="1">
      <c r="A672" s="282">
        <v>668</v>
      </c>
      <c r="B672" s="282" t="s">
        <v>1</v>
      </c>
      <c r="C672" s="312" t="s">
        <v>932</v>
      </c>
      <c r="D672" s="313" t="s">
        <v>933</v>
      </c>
      <c r="E672" s="314" t="s">
        <v>932</v>
      </c>
      <c r="F672" s="553" t="str">
        <f t="shared" si="60"/>
        <v>REALCadeia de Suspensão simples "SI" ‐ 1xCAA Grosbeak ‐ 40kA ‐ 230kV</v>
      </c>
      <c r="G672" s="609">
        <f>Y672</f>
        <v>0</v>
      </c>
      <c r="H672" s="315" t="s">
        <v>927</v>
      </c>
      <c r="I672" s="323">
        <v>0</v>
      </c>
      <c r="J672" s="323">
        <v>0</v>
      </c>
      <c r="K672" s="323">
        <v>0</v>
      </c>
      <c r="L672" s="323">
        <v>0</v>
      </c>
      <c r="M672" s="323"/>
      <c r="N672" s="323"/>
      <c r="O672" s="323"/>
      <c r="P672" s="323"/>
      <c r="Q672" s="323"/>
      <c r="R672" s="323"/>
      <c r="S672" s="323"/>
      <c r="T672" s="323"/>
      <c r="U672" s="323"/>
      <c r="V672" s="316">
        <f t="shared" si="61"/>
        <v>0</v>
      </c>
      <c r="W672" s="316">
        <v>2632.46</v>
      </c>
      <c r="X672" s="316">
        <f t="shared" si="62"/>
        <v>0</v>
      </c>
      <c r="Y672" s="322">
        <f>X672/X671</f>
        <v>0</v>
      </c>
      <c r="Z672" s="572"/>
      <c r="AA672" s="567"/>
    </row>
    <row r="673" spans="1:27" s="311" customFormat="1" ht="15" customHeight="1" outlineLevel="1">
      <c r="A673" s="273">
        <v>669</v>
      </c>
      <c r="B673" s="273" t="s">
        <v>0</v>
      </c>
      <c r="C673" s="305" t="s">
        <v>934</v>
      </c>
      <c r="D673" s="306" t="s">
        <v>935</v>
      </c>
      <c r="E673" s="307" t="s">
        <v>934</v>
      </c>
      <c r="F673" s="553" t="str">
        <f t="shared" si="60"/>
        <v>PREVCadeia de Suspensão simples "SJ" ‐ 1xCAA Grosbeak ‐ 230kV</v>
      </c>
      <c r="G673" s="611" t="s">
        <v>74</v>
      </c>
      <c r="H673" s="307" t="s">
        <v>927</v>
      </c>
      <c r="I673" s="321">
        <v>0.13600000000000001</v>
      </c>
      <c r="J673" s="321">
        <v>0.17</v>
      </c>
      <c r="K673" s="321">
        <v>0.17</v>
      </c>
      <c r="L673" s="321">
        <v>0.17</v>
      </c>
      <c r="M673" s="321">
        <v>0.17</v>
      </c>
      <c r="N673" s="321">
        <v>0.17</v>
      </c>
      <c r="O673" s="321">
        <v>0.17</v>
      </c>
      <c r="P673" s="321">
        <v>0.17</v>
      </c>
      <c r="Q673" s="321">
        <v>0.16</v>
      </c>
      <c r="R673" s="321">
        <v>0.16</v>
      </c>
      <c r="S673" s="321">
        <v>0.16</v>
      </c>
      <c r="T673" s="321">
        <v>0.16</v>
      </c>
      <c r="U673" s="321">
        <v>3.2000000000000001E-2</v>
      </c>
      <c r="V673" s="308">
        <f t="shared" si="61"/>
        <v>1.9979999999999998</v>
      </c>
      <c r="W673" s="308">
        <v>2427.8000000000002</v>
      </c>
      <c r="X673" s="308">
        <f t="shared" si="62"/>
        <v>4850.7443999999996</v>
      </c>
      <c r="Y673" s="322" t="s">
        <v>74</v>
      </c>
      <c r="Z673" s="575"/>
      <c r="AA673" s="567"/>
    </row>
    <row r="674" spans="1:27" s="318" customFormat="1" ht="15" customHeight="1" outlineLevel="1">
      <c r="A674" s="282">
        <v>670</v>
      </c>
      <c r="B674" s="282" t="s">
        <v>1</v>
      </c>
      <c r="C674" s="312" t="s">
        <v>934</v>
      </c>
      <c r="D674" s="313" t="s">
        <v>935</v>
      </c>
      <c r="E674" s="314" t="s">
        <v>934</v>
      </c>
      <c r="F674" s="553" t="str">
        <f t="shared" si="60"/>
        <v>REALCadeia de Suspensão simples "SJ" ‐ 1xCAA Grosbeak ‐ 230kV</v>
      </c>
      <c r="G674" s="609">
        <f>Y674</f>
        <v>0</v>
      </c>
      <c r="H674" s="315" t="s">
        <v>927</v>
      </c>
      <c r="I674" s="323">
        <v>0</v>
      </c>
      <c r="J674" s="323">
        <v>0</v>
      </c>
      <c r="K674" s="323">
        <v>0</v>
      </c>
      <c r="L674" s="323">
        <v>0</v>
      </c>
      <c r="M674" s="323"/>
      <c r="N674" s="323"/>
      <c r="O674" s="323"/>
      <c r="P674" s="323"/>
      <c r="Q674" s="323"/>
      <c r="R674" s="323"/>
      <c r="S674" s="323"/>
      <c r="T674" s="323"/>
      <c r="U674" s="323"/>
      <c r="V674" s="316">
        <f t="shared" si="61"/>
        <v>0</v>
      </c>
      <c r="W674" s="316">
        <v>2427.8000000000002</v>
      </c>
      <c r="X674" s="316">
        <f t="shared" si="62"/>
        <v>0</v>
      </c>
      <c r="Y674" s="322">
        <f>X674/X673</f>
        <v>0</v>
      </c>
      <c r="Z674" s="572"/>
      <c r="AA674" s="567"/>
    </row>
    <row r="675" spans="1:27" s="311" customFormat="1" ht="15" customHeight="1" outlineLevel="1">
      <c r="A675" s="273">
        <v>671</v>
      </c>
      <c r="B675" s="273" t="s">
        <v>0</v>
      </c>
      <c r="C675" s="305" t="s">
        <v>936</v>
      </c>
      <c r="D675" s="306" t="s">
        <v>937</v>
      </c>
      <c r="E675" s="307" t="s">
        <v>936</v>
      </c>
      <c r="F675" s="553" t="str">
        <f t="shared" si="60"/>
        <v>PREVAmortecedor de vibração para cabo CAA 636MCM Ø25,16mm</v>
      </c>
      <c r="G675" s="611" t="s">
        <v>74</v>
      </c>
      <c r="H675" s="307" t="s">
        <v>927</v>
      </c>
      <c r="I675" s="321">
        <v>0.4</v>
      </c>
      <c r="J675" s="321">
        <v>0.5</v>
      </c>
      <c r="K675" s="321">
        <v>0.5</v>
      </c>
      <c r="L675" s="321">
        <v>0.5</v>
      </c>
      <c r="M675" s="321">
        <v>0.5</v>
      </c>
      <c r="N675" s="321">
        <v>0.5</v>
      </c>
      <c r="O675" s="321">
        <v>0.5</v>
      </c>
      <c r="P675" s="321">
        <v>0.5</v>
      </c>
      <c r="Q675" s="321">
        <v>0.5</v>
      </c>
      <c r="R675" s="321">
        <v>0.5</v>
      </c>
      <c r="S675" s="321">
        <v>0.5</v>
      </c>
      <c r="T675" s="321">
        <v>0.5</v>
      </c>
      <c r="U675" s="321">
        <v>0.1</v>
      </c>
      <c r="V675" s="308">
        <f t="shared" si="61"/>
        <v>6</v>
      </c>
      <c r="W675" s="308">
        <v>1371.05</v>
      </c>
      <c r="X675" s="308">
        <f t="shared" si="62"/>
        <v>8226.2999999999993</v>
      </c>
      <c r="Y675" s="322" t="s">
        <v>74</v>
      </c>
      <c r="Z675" s="575"/>
      <c r="AA675" s="567"/>
    </row>
    <row r="676" spans="1:27" s="318" customFormat="1" ht="15" customHeight="1" outlineLevel="1">
      <c r="A676" s="282">
        <v>672</v>
      </c>
      <c r="B676" s="282" t="s">
        <v>1</v>
      </c>
      <c r="C676" s="312" t="s">
        <v>936</v>
      </c>
      <c r="D676" s="313" t="s">
        <v>937</v>
      </c>
      <c r="E676" s="314" t="s">
        <v>936</v>
      </c>
      <c r="F676" s="553" t="str">
        <f t="shared" si="60"/>
        <v>REALAmortecedor de vibração para cabo CAA 636MCM Ø25,16mm</v>
      </c>
      <c r="G676" s="609">
        <f>Y676</f>
        <v>0</v>
      </c>
      <c r="H676" s="315" t="s">
        <v>927</v>
      </c>
      <c r="I676" s="323">
        <v>0</v>
      </c>
      <c r="J676" s="323">
        <v>0</v>
      </c>
      <c r="K676" s="323">
        <v>0</v>
      </c>
      <c r="L676" s="323">
        <v>0</v>
      </c>
      <c r="M676" s="323"/>
      <c r="N676" s="323"/>
      <c r="O676" s="323"/>
      <c r="P676" s="323"/>
      <c r="Q676" s="323"/>
      <c r="R676" s="323"/>
      <c r="S676" s="323"/>
      <c r="T676" s="323"/>
      <c r="U676" s="323"/>
      <c r="V676" s="316">
        <f t="shared" si="61"/>
        <v>0</v>
      </c>
      <c r="W676" s="316">
        <v>1371.05</v>
      </c>
      <c r="X676" s="316">
        <f t="shared" si="62"/>
        <v>0</v>
      </c>
      <c r="Y676" s="322">
        <f>X676/X675</f>
        <v>0</v>
      </c>
      <c r="Z676" s="572"/>
      <c r="AA676" s="567"/>
    </row>
    <row r="677" spans="1:27" s="311" customFormat="1" ht="15" customHeight="1" outlineLevel="1">
      <c r="A677" s="273">
        <v>673</v>
      </c>
      <c r="B677" s="273" t="s">
        <v>0</v>
      </c>
      <c r="C677" s="305" t="s">
        <v>938</v>
      </c>
      <c r="D677" s="306" t="s">
        <v>937</v>
      </c>
      <c r="E677" s="307" t="s">
        <v>938</v>
      </c>
      <c r="F677" s="553" t="str">
        <f t="shared" si="60"/>
        <v>PREVAmortecedor de vibração para cabo CAA 636MCM Ø25,16mm</v>
      </c>
      <c r="G677" s="611" t="s">
        <v>74</v>
      </c>
      <c r="H677" s="307" t="s">
        <v>927</v>
      </c>
      <c r="I677" s="321">
        <v>0.4</v>
      </c>
      <c r="J677" s="321">
        <v>0.5</v>
      </c>
      <c r="K677" s="321">
        <v>0.5</v>
      </c>
      <c r="L677" s="321">
        <v>0.5</v>
      </c>
      <c r="M677" s="321">
        <v>0.5</v>
      </c>
      <c r="N677" s="321">
        <v>0.5</v>
      </c>
      <c r="O677" s="321">
        <v>0.5</v>
      </c>
      <c r="P677" s="321">
        <v>0.5</v>
      </c>
      <c r="Q677" s="321">
        <v>0.5</v>
      </c>
      <c r="R677" s="321">
        <v>0.5</v>
      </c>
      <c r="S677" s="321">
        <v>0.5</v>
      </c>
      <c r="T677" s="321">
        <v>0.5</v>
      </c>
      <c r="U677" s="321">
        <v>0.1</v>
      </c>
      <c r="V677" s="308">
        <f t="shared" si="61"/>
        <v>6</v>
      </c>
      <c r="W677" s="308">
        <v>1371.05</v>
      </c>
      <c r="X677" s="308">
        <f t="shared" si="62"/>
        <v>8226.2999999999993</v>
      </c>
      <c r="Y677" s="322" t="s">
        <v>74</v>
      </c>
      <c r="Z677" s="575"/>
      <c r="AA677" s="567"/>
    </row>
    <row r="678" spans="1:27" s="318" customFormat="1" ht="15" customHeight="1" outlineLevel="1">
      <c r="A678" s="282">
        <v>674</v>
      </c>
      <c r="B678" s="282" t="s">
        <v>1</v>
      </c>
      <c r="C678" s="312" t="s">
        <v>938</v>
      </c>
      <c r="D678" s="313" t="s">
        <v>937</v>
      </c>
      <c r="E678" s="314" t="s">
        <v>938</v>
      </c>
      <c r="F678" s="553" t="str">
        <f t="shared" si="60"/>
        <v>REALAmortecedor de vibração para cabo CAA 636MCM Ø25,16mm</v>
      </c>
      <c r="G678" s="609">
        <f>Y678</f>
        <v>0</v>
      </c>
      <c r="H678" s="315" t="s">
        <v>927</v>
      </c>
      <c r="I678" s="323">
        <v>0</v>
      </c>
      <c r="J678" s="323">
        <v>0</v>
      </c>
      <c r="K678" s="323">
        <v>0</v>
      </c>
      <c r="L678" s="323">
        <v>0</v>
      </c>
      <c r="M678" s="323"/>
      <c r="N678" s="323"/>
      <c r="O678" s="323"/>
      <c r="P678" s="323"/>
      <c r="Q678" s="323"/>
      <c r="R678" s="323"/>
      <c r="S678" s="323"/>
      <c r="T678" s="323"/>
      <c r="U678" s="323"/>
      <c r="V678" s="316">
        <f t="shared" si="61"/>
        <v>0</v>
      </c>
      <c r="W678" s="316">
        <v>1371.05</v>
      </c>
      <c r="X678" s="316">
        <f t="shared" si="62"/>
        <v>0</v>
      </c>
      <c r="Y678" s="322">
        <f>X678/X677</f>
        <v>0</v>
      </c>
      <c r="Z678" s="572"/>
      <c r="AA678" s="567"/>
    </row>
    <row r="679" spans="1:27" s="311" customFormat="1" ht="15" customHeight="1" outlineLevel="1">
      <c r="A679" s="273">
        <v>675</v>
      </c>
      <c r="B679" s="273" t="s">
        <v>0</v>
      </c>
      <c r="C679" s="305" t="s">
        <v>939</v>
      </c>
      <c r="D679" s="306" t="s">
        <v>940</v>
      </c>
      <c r="E679" s="307" t="s">
        <v>939</v>
      </c>
      <c r="F679" s="553" t="str">
        <f t="shared" si="60"/>
        <v>PREVAmortecedor vibração para cabo de aço 3/8"</v>
      </c>
      <c r="G679" s="611" t="s">
        <v>74</v>
      </c>
      <c r="H679" s="307" t="s">
        <v>927</v>
      </c>
      <c r="I679" s="321">
        <v>0.4</v>
      </c>
      <c r="J679" s="321">
        <v>0.5</v>
      </c>
      <c r="K679" s="321">
        <v>0.5</v>
      </c>
      <c r="L679" s="321">
        <v>0.5</v>
      </c>
      <c r="M679" s="321">
        <v>0.5</v>
      </c>
      <c r="N679" s="321">
        <v>0.5</v>
      </c>
      <c r="O679" s="321">
        <v>0.5</v>
      </c>
      <c r="P679" s="321">
        <v>0.5</v>
      </c>
      <c r="Q679" s="321">
        <v>0.5</v>
      </c>
      <c r="R679" s="321">
        <v>0.5</v>
      </c>
      <c r="S679" s="321">
        <v>0.5</v>
      </c>
      <c r="T679" s="321">
        <v>0.5</v>
      </c>
      <c r="U679" s="321">
        <v>0.1</v>
      </c>
      <c r="V679" s="308">
        <f t="shared" si="61"/>
        <v>6</v>
      </c>
      <c r="W679" s="308">
        <v>738.27</v>
      </c>
      <c r="X679" s="308">
        <f t="shared" si="62"/>
        <v>4429.62</v>
      </c>
      <c r="Y679" s="322" t="s">
        <v>74</v>
      </c>
      <c r="Z679" s="575"/>
      <c r="AA679" s="567"/>
    </row>
    <row r="680" spans="1:27" s="318" customFormat="1" ht="15" customHeight="1" outlineLevel="1">
      <c r="A680" s="282">
        <v>676</v>
      </c>
      <c r="B680" s="282" t="s">
        <v>1</v>
      </c>
      <c r="C680" s="312" t="s">
        <v>939</v>
      </c>
      <c r="D680" s="313" t="s">
        <v>940</v>
      </c>
      <c r="E680" s="314" t="s">
        <v>939</v>
      </c>
      <c r="F680" s="553" t="str">
        <f t="shared" si="60"/>
        <v>REALAmortecedor vibração para cabo de aço 3/8"</v>
      </c>
      <c r="G680" s="609">
        <f>Y680</f>
        <v>0</v>
      </c>
      <c r="H680" s="315" t="s">
        <v>927</v>
      </c>
      <c r="I680" s="323">
        <v>0</v>
      </c>
      <c r="J680" s="323">
        <v>0</v>
      </c>
      <c r="K680" s="323">
        <v>0</v>
      </c>
      <c r="L680" s="323">
        <v>0</v>
      </c>
      <c r="M680" s="323"/>
      <c r="N680" s="323"/>
      <c r="O680" s="323"/>
      <c r="P680" s="323"/>
      <c r="Q680" s="323"/>
      <c r="R680" s="323"/>
      <c r="S680" s="323"/>
      <c r="T680" s="323"/>
      <c r="U680" s="323"/>
      <c r="V680" s="316">
        <f t="shared" si="61"/>
        <v>0</v>
      </c>
      <c r="W680" s="316">
        <v>738.27</v>
      </c>
      <c r="X680" s="316">
        <f t="shared" si="62"/>
        <v>0</v>
      </c>
      <c r="Y680" s="322">
        <f>X680/X679</f>
        <v>0</v>
      </c>
      <c r="Z680" s="572"/>
      <c r="AA680" s="567"/>
    </row>
    <row r="681" spans="1:27" s="311" customFormat="1" ht="15" customHeight="1" outlineLevel="1">
      <c r="A681" s="273">
        <v>677</v>
      </c>
      <c r="B681" s="273" t="s">
        <v>0</v>
      </c>
      <c r="C681" s="305" t="s">
        <v>941</v>
      </c>
      <c r="D681" s="306" t="s">
        <v>942</v>
      </c>
      <c r="E681" s="307" t="s">
        <v>941</v>
      </c>
      <c r="F681" s="553" t="str">
        <f t="shared" si="60"/>
        <v>PREVBarras de estais ‐ sistema GEWI 25mm</v>
      </c>
      <c r="G681" s="611" t="s">
        <v>74</v>
      </c>
      <c r="H681" s="307" t="s">
        <v>943</v>
      </c>
      <c r="I681" s="321">
        <v>1.3360000000000001</v>
      </c>
      <c r="J681" s="321">
        <v>1.67</v>
      </c>
      <c r="K681" s="321">
        <v>1.67</v>
      </c>
      <c r="L681" s="321">
        <v>1.67</v>
      </c>
      <c r="M681" s="321">
        <v>1.67</v>
      </c>
      <c r="N681" s="321">
        <v>1.67</v>
      </c>
      <c r="O681" s="321">
        <v>1.67</v>
      </c>
      <c r="P681" s="321">
        <v>1.67</v>
      </c>
      <c r="Q681" s="321">
        <v>1.66</v>
      </c>
      <c r="R681" s="321">
        <v>1.66</v>
      </c>
      <c r="S681" s="321">
        <v>1.66</v>
      </c>
      <c r="T681" s="321">
        <v>1.66</v>
      </c>
      <c r="U681" s="321">
        <v>0.33200000000000002</v>
      </c>
      <c r="V681" s="308">
        <f t="shared" si="61"/>
        <v>19.998000000000001</v>
      </c>
      <c r="W681" s="308">
        <v>1924.53</v>
      </c>
      <c r="X681" s="308">
        <f t="shared" si="62"/>
        <v>38486.750939999998</v>
      </c>
      <c r="Y681" s="322" t="s">
        <v>74</v>
      </c>
      <c r="Z681" s="575"/>
      <c r="AA681" s="567"/>
    </row>
    <row r="682" spans="1:27" s="318" customFormat="1" ht="15" customHeight="1" outlineLevel="1">
      <c r="A682" s="282">
        <v>678</v>
      </c>
      <c r="B682" s="282" t="s">
        <v>1</v>
      </c>
      <c r="C682" s="312" t="s">
        <v>941</v>
      </c>
      <c r="D682" s="313" t="s">
        <v>942</v>
      </c>
      <c r="E682" s="314" t="s">
        <v>941</v>
      </c>
      <c r="F682" s="553" t="str">
        <f t="shared" si="60"/>
        <v>REALBarras de estais ‐ sistema GEWI 25mm</v>
      </c>
      <c r="G682" s="609">
        <f>Y682</f>
        <v>0</v>
      </c>
      <c r="H682" s="315" t="s">
        <v>943</v>
      </c>
      <c r="I682" s="323">
        <v>0</v>
      </c>
      <c r="J682" s="323">
        <v>0</v>
      </c>
      <c r="K682" s="323">
        <v>0</v>
      </c>
      <c r="L682" s="323">
        <v>0</v>
      </c>
      <c r="M682" s="323"/>
      <c r="N682" s="323"/>
      <c r="O682" s="323"/>
      <c r="P682" s="323"/>
      <c r="Q682" s="323"/>
      <c r="R682" s="323"/>
      <c r="S682" s="323"/>
      <c r="T682" s="323"/>
      <c r="U682" s="323"/>
      <c r="V682" s="316">
        <f t="shared" si="61"/>
        <v>0</v>
      </c>
      <c r="W682" s="316">
        <v>1924.53</v>
      </c>
      <c r="X682" s="316">
        <f t="shared" si="62"/>
        <v>0</v>
      </c>
      <c r="Y682" s="322">
        <f>X682/X681</f>
        <v>0</v>
      </c>
      <c r="Z682" s="572"/>
      <c r="AA682" s="567"/>
    </row>
    <row r="683" spans="1:27" s="311" customFormat="1" ht="15" customHeight="1" outlineLevel="1">
      <c r="A683" s="273">
        <v>679</v>
      </c>
      <c r="B683" s="273" t="s">
        <v>0</v>
      </c>
      <c r="C683" s="305" t="s">
        <v>944</v>
      </c>
      <c r="D683" s="306" t="s">
        <v>945</v>
      </c>
      <c r="E683" s="307" t="s">
        <v>944</v>
      </c>
      <c r="F683" s="553" t="str">
        <f t="shared" si="60"/>
        <v>PREVConectores derivação em "T" ‐ Cabo/CaboCabo CA 900 a 1033,5MCM ou CABO</v>
      </c>
      <c r="G683" s="611" t="s">
        <v>74</v>
      </c>
      <c r="H683" s="307" t="s">
        <v>927</v>
      </c>
      <c r="I683" s="321">
        <v>0.4</v>
      </c>
      <c r="J683" s="321">
        <v>0.5</v>
      </c>
      <c r="K683" s="321">
        <v>0.5</v>
      </c>
      <c r="L683" s="321">
        <v>0.5</v>
      </c>
      <c r="M683" s="321">
        <v>0.5</v>
      </c>
      <c r="N683" s="321">
        <v>0.5</v>
      </c>
      <c r="O683" s="321">
        <v>0.5</v>
      </c>
      <c r="P683" s="321">
        <v>0.5</v>
      </c>
      <c r="Q683" s="321">
        <v>0.5</v>
      </c>
      <c r="R683" s="321">
        <v>0.5</v>
      </c>
      <c r="S683" s="321">
        <v>0.5</v>
      </c>
      <c r="T683" s="321">
        <v>0.5</v>
      </c>
      <c r="U683" s="321">
        <v>0.1</v>
      </c>
      <c r="V683" s="308">
        <f t="shared" si="61"/>
        <v>6</v>
      </c>
      <c r="W683" s="308">
        <v>402.19</v>
      </c>
      <c r="X683" s="308">
        <f t="shared" si="62"/>
        <v>2413.14</v>
      </c>
      <c r="Y683" s="322" t="s">
        <v>74</v>
      </c>
      <c r="Z683" s="575"/>
      <c r="AA683" s="567"/>
    </row>
    <row r="684" spans="1:27" s="318" customFormat="1" ht="15" customHeight="1" outlineLevel="1">
      <c r="A684" s="282">
        <v>680</v>
      </c>
      <c r="B684" s="282" t="s">
        <v>1</v>
      </c>
      <c r="C684" s="312" t="s">
        <v>944</v>
      </c>
      <c r="D684" s="313" t="s">
        <v>945</v>
      </c>
      <c r="E684" s="314" t="s">
        <v>944</v>
      </c>
      <c r="F684" s="553" t="str">
        <f t="shared" si="60"/>
        <v>REALConectores derivação em "T" ‐ Cabo/CaboCabo CA 900 a 1033,5MCM ou CABO</v>
      </c>
      <c r="G684" s="609">
        <f>Y684</f>
        <v>0</v>
      </c>
      <c r="H684" s="315" t="s">
        <v>927</v>
      </c>
      <c r="I684" s="323">
        <v>0</v>
      </c>
      <c r="J684" s="323">
        <v>0</v>
      </c>
      <c r="K684" s="323">
        <v>0</v>
      </c>
      <c r="L684" s="323">
        <v>0</v>
      </c>
      <c r="M684" s="323"/>
      <c r="N684" s="323"/>
      <c r="O684" s="323"/>
      <c r="P684" s="323"/>
      <c r="Q684" s="323"/>
      <c r="R684" s="323"/>
      <c r="S684" s="323"/>
      <c r="T684" s="323"/>
      <c r="U684" s="323"/>
      <c r="V684" s="316">
        <f t="shared" si="61"/>
        <v>0</v>
      </c>
      <c r="W684" s="316">
        <v>402.19</v>
      </c>
      <c r="X684" s="316">
        <f t="shared" si="62"/>
        <v>0</v>
      </c>
      <c r="Y684" s="322">
        <f>X684/X683</f>
        <v>0</v>
      </c>
      <c r="Z684" s="572"/>
      <c r="AA684" s="567"/>
    </row>
    <row r="685" spans="1:27" s="311" customFormat="1" ht="15" customHeight="1" outlineLevel="1">
      <c r="A685" s="273">
        <v>681</v>
      </c>
      <c r="B685" s="273" t="s">
        <v>0</v>
      </c>
      <c r="C685" s="305" t="s">
        <v>946</v>
      </c>
      <c r="D685" s="306" t="s">
        <v>947</v>
      </c>
      <c r="E685" s="307" t="s">
        <v>946</v>
      </c>
      <c r="F685" s="553" t="str">
        <f t="shared" si="60"/>
        <v>PREVConectores derivação em "T" ‐ Cabo/Cabo02 Cabos CA 874,5 a 1113MCM ou 02</v>
      </c>
      <c r="G685" s="611" t="s">
        <v>74</v>
      </c>
      <c r="H685" s="307" t="s">
        <v>927</v>
      </c>
      <c r="I685" s="321">
        <v>0.4</v>
      </c>
      <c r="J685" s="321">
        <v>0.5</v>
      </c>
      <c r="K685" s="321">
        <v>0.5</v>
      </c>
      <c r="L685" s="321">
        <v>0.5</v>
      </c>
      <c r="M685" s="321">
        <v>0.5</v>
      </c>
      <c r="N685" s="321">
        <v>0.5</v>
      </c>
      <c r="O685" s="321">
        <v>0.5</v>
      </c>
      <c r="P685" s="321">
        <v>0.5</v>
      </c>
      <c r="Q685" s="321">
        <v>0.5</v>
      </c>
      <c r="R685" s="321">
        <v>0.5</v>
      </c>
      <c r="S685" s="321">
        <v>0.5</v>
      </c>
      <c r="T685" s="321">
        <v>0.5</v>
      </c>
      <c r="U685" s="321">
        <v>0.1</v>
      </c>
      <c r="V685" s="308">
        <f t="shared" si="61"/>
        <v>6</v>
      </c>
      <c r="W685" s="308">
        <v>649.76</v>
      </c>
      <c r="X685" s="308">
        <f t="shared" si="62"/>
        <v>3898.56</v>
      </c>
      <c r="Y685" s="322" t="s">
        <v>74</v>
      </c>
      <c r="Z685" s="575"/>
      <c r="AA685" s="567"/>
    </row>
    <row r="686" spans="1:27" s="318" customFormat="1" ht="15" customHeight="1" outlineLevel="1">
      <c r="A686" s="282">
        <v>682</v>
      </c>
      <c r="B686" s="282" t="s">
        <v>1</v>
      </c>
      <c r="C686" s="312" t="s">
        <v>946</v>
      </c>
      <c r="D686" s="313" t="s">
        <v>947</v>
      </c>
      <c r="E686" s="314" t="s">
        <v>946</v>
      </c>
      <c r="F686" s="553" t="str">
        <f t="shared" si="60"/>
        <v>REALConectores derivação em "T" ‐ Cabo/Cabo02 Cabos CA 874,5 a 1113MCM ou 02</v>
      </c>
      <c r="G686" s="609">
        <f>Y686</f>
        <v>0</v>
      </c>
      <c r="H686" s="315" t="s">
        <v>927</v>
      </c>
      <c r="I686" s="323">
        <v>0</v>
      </c>
      <c r="J686" s="323">
        <v>0</v>
      </c>
      <c r="K686" s="323">
        <v>0</v>
      </c>
      <c r="L686" s="323">
        <v>0</v>
      </c>
      <c r="M686" s="323"/>
      <c r="N686" s="323"/>
      <c r="O686" s="323"/>
      <c r="P686" s="323"/>
      <c r="Q686" s="323"/>
      <c r="R686" s="323"/>
      <c r="S686" s="323"/>
      <c r="T686" s="323"/>
      <c r="U686" s="323"/>
      <c r="V686" s="316">
        <f t="shared" si="61"/>
        <v>0</v>
      </c>
      <c r="W686" s="316">
        <v>649.76</v>
      </c>
      <c r="X686" s="316">
        <f t="shared" si="62"/>
        <v>0</v>
      </c>
      <c r="Y686" s="322">
        <f>X686/X685</f>
        <v>0</v>
      </c>
      <c r="Z686" s="572"/>
      <c r="AA686" s="567"/>
    </row>
    <row r="687" spans="1:27" s="311" customFormat="1" ht="15" customHeight="1" outlineLevel="1">
      <c r="A687" s="273">
        <v>683</v>
      </c>
      <c r="B687" s="273" t="s">
        <v>0</v>
      </c>
      <c r="C687" s="305" t="s">
        <v>948</v>
      </c>
      <c r="D687" s="306" t="s">
        <v>949</v>
      </c>
      <c r="E687" s="307" t="s">
        <v>948</v>
      </c>
      <c r="F687" s="553" t="str">
        <f t="shared" si="60"/>
        <v>PREVConectores derivação em "T" ‐ Cabo/CaboCabo CAA 636MCM a 954MCM/ Cabo</v>
      </c>
      <c r="G687" s="611" t="s">
        <v>74</v>
      </c>
      <c r="H687" s="307" t="s">
        <v>927</v>
      </c>
      <c r="I687" s="321">
        <v>0.4</v>
      </c>
      <c r="J687" s="321">
        <v>0.5</v>
      </c>
      <c r="K687" s="321">
        <v>0.5</v>
      </c>
      <c r="L687" s="321">
        <v>0.5</v>
      </c>
      <c r="M687" s="321">
        <v>0.5</v>
      </c>
      <c r="N687" s="321">
        <v>0.5</v>
      </c>
      <c r="O687" s="321">
        <v>0.5</v>
      </c>
      <c r="P687" s="321">
        <v>0.5</v>
      </c>
      <c r="Q687" s="321">
        <v>0.5</v>
      </c>
      <c r="R687" s="321">
        <v>0.5</v>
      </c>
      <c r="S687" s="321">
        <v>0.5</v>
      </c>
      <c r="T687" s="321">
        <v>0.5</v>
      </c>
      <c r="U687" s="321">
        <v>0.1</v>
      </c>
      <c r="V687" s="308">
        <f t="shared" si="61"/>
        <v>6</v>
      </c>
      <c r="W687" s="308">
        <v>420.44</v>
      </c>
      <c r="X687" s="308">
        <f t="shared" si="62"/>
        <v>2522.64</v>
      </c>
      <c r="Y687" s="322" t="s">
        <v>74</v>
      </c>
      <c r="Z687" s="575"/>
      <c r="AA687" s="567"/>
    </row>
    <row r="688" spans="1:27" s="318" customFormat="1" ht="15" customHeight="1" outlineLevel="1">
      <c r="A688" s="282">
        <v>684</v>
      </c>
      <c r="B688" s="282" t="s">
        <v>1</v>
      </c>
      <c r="C688" s="312" t="s">
        <v>948</v>
      </c>
      <c r="D688" s="313" t="s">
        <v>949</v>
      </c>
      <c r="E688" s="314" t="s">
        <v>948</v>
      </c>
      <c r="F688" s="553" t="str">
        <f t="shared" si="60"/>
        <v>REALConectores derivação em "T" ‐ Cabo/CaboCabo CAA 636MCM a 954MCM/ Cabo</v>
      </c>
      <c r="G688" s="609">
        <f>Y688</f>
        <v>0</v>
      </c>
      <c r="H688" s="315" t="s">
        <v>927</v>
      </c>
      <c r="I688" s="323">
        <v>0</v>
      </c>
      <c r="J688" s="323">
        <v>0</v>
      </c>
      <c r="K688" s="323">
        <v>0</v>
      </c>
      <c r="L688" s="323">
        <v>0</v>
      </c>
      <c r="M688" s="323"/>
      <c r="N688" s="323"/>
      <c r="O688" s="323"/>
      <c r="P688" s="323"/>
      <c r="Q688" s="323"/>
      <c r="R688" s="323"/>
      <c r="S688" s="323"/>
      <c r="T688" s="323"/>
      <c r="U688" s="323"/>
      <c r="V688" s="316">
        <f t="shared" si="61"/>
        <v>0</v>
      </c>
      <c r="W688" s="316">
        <v>420.44</v>
      </c>
      <c r="X688" s="316">
        <f t="shared" si="62"/>
        <v>0</v>
      </c>
      <c r="Y688" s="322">
        <f>X688/X687</f>
        <v>0</v>
      </c>
      <c r="Z688" s="572"/>
      <c r="AA688" s="567"/>
    </row>
    <row r="689" spans="1:27" s="311" customFormat="1" ht="15" customHeight="1" outlineLevel="1">
      <c r="A689" s="273">
        <v>685</v>
      </c>
      <c r="B689" s="273" t="s">
        <v>0</v>
      </c>
      <c r="C689" s="305" t="s">
        <v>950</v>
      </c>
      <c r="D689" s="306" t="s">
        <v>951</v>
      </c>
      <c r="E689" s="307" t="s">
        <v>950</v>
      </c>
      <c r="F689" s="553" t="str">
        <f t="shared" si="60"/>
        <v>PREVEmenda Preformada CAA GROSBEAK ‐ diâmetro 25,15mm</v>
      </c>
      <c r="G689" s="611" t="s">
        <v>74</v>
      </c>
      <c r="H689" s="307" t="s">
        <v>927</v>
      </c>
      <c r="I689" s="321">
        <v>1.4000000000000001</v>
      </c>
      <c r="J689" s="321">
        <v>1.75</v>
      </c>
      <c r="K689" s="321">
        <v>1.75</v>
      </c>
      <c r="L689" s="321">
        <v>1.75</v>
      </c>
      <c r="M689" s="321">
        <v>1.75</v>
      </c>
      <c r="N689" s="321">
        <v>1.75</v>
      </c>
      <c r="O689" s="321">
        <v>1.75</v>
      </c>
      <c r="P689" s="321">
        <v>1.75</v>
      </c>
      <c r="Q689" s="321">
        <v>1.75</v>
      </c>
      <c r="R689" s="321">
        <v>1.75</v>
      </c>
      <c r="S689" s="321">
        <v>1.75</v>
      </c>
      <c r="T689" s="321">
        <v>1.75</v>
      </c>
      <c r="U689" s="321">
        <v>0.35000000000000003</v>
      </c>
      <c r="V689" s="308">
        <f t="shared" si="61"/>
        <v>21</v>
      </c>
      <c r="W689" s="308">
        <v>742.78</v>
      </c>
      <c r="X689" s="308">
        <f t="shared" si="62"/>
        <v>15598.38</v>
      </c>
      <c r="Y689" s="322" t="s">
        <v>74</v>
      </c>
      <c r="Z689" s="575"/>
      <c r="AA689" s="567"/>
    </row>
    <row r="690" spans="1:27" s="318" customFormat="1" ht="15" customHeight="1" outlineLevel="1">
      <c r="A690" s="282">
        <v>686</v>
      </c>
      <c r="B690" s="282" t="s">
        <v>1</v>
      </c>
      <c r="C690" s="312" t="s">
        <v>950</v>
      </c>
      <c r="D690" s="313" t="s">
        <v>951</v>
      </c>
      <c r="E690" s="314" t="s">
        <v>950</v>
      </c>
      <c r="F690" s="553" t="str">
        <f t="shared" si="60"/>
        <v>REALEmenda Preformada CAA GROSBEAK ‐ diâmetro 25,15mm</v>
      </c>
      <c r="G690" s="609">
        <f>Y690</f>
        <v>0</v>
      </c>
      <c r="H690" s="315" t="s">
        <v>927</v>
      </c>
      <c r="I690" s="323">
        <v>0</v>
      </c>
      <c r="J690" s="323">
        <v>0</v>
      </c>
      <c r="K690" s="323">
        <v>0</v>
      </c>
      <c r="L690" s="323">
        <v>0</v>
      </c>
      <c r="M690" s="323"/>
      <c r="N690" s="323"/>
      <c r="O690" s="323"/>
      <c r="P690" s="323"/>
      <c r="Q690" s="323"/>
      <c r="R690" s="323"/>
      <c r="S690" s="323"/>
      <c r="T690" s="323"/>
      <c r="U690" s="323"/>
      <c r="V690" s="316">
        <f t="shared" si="61"/>
        <v>0</v>
      </c>
      <c r="W690" s="316">
        <v>742.78</v>
      </c>
      <c r="X690" s="316">
        <f t="shared" si="62"/>
        <v>0</v>
      </c>
      <c r="Y690" s="322">
        <f>X690/X689</f>
        <v>0</v>
      </c>
      <c r="Z690" s="572"/>
      <c r="AA690" s="567"/>
    </row>
    <row r="691" spans="1:27" s="311" customFormat="1" ht="15" customHeight="1" outlineLevel="1">
      <c r="A691" s="273">
        <v>687</v>
      </c>
      <c r="B691" s="273" t="s">
        <v>0</v>
      </c>
      <c r="C691" s="305" t="s">
        <v>952</v>
      </c>
      <c r="D691" s="306" t="s">
        <v>953</v>
      </c>
      <c r="E691" s="307" t="s">
        <v>952</v>
      </c>
      <c r="F691" s="553" t="str">
        <f t="shared" si="60"/>
        <v>PREVEmenda Preformada Cabo Aço Galvanizado 3/8" (SM, HS, EHS)</v>
      </c>
      <c r="G691" s="611" t="s">
        <v>74</v>
      </c>
      <c r="H691" s="307" t="s">
        <v>927</v>
      </c>
      <c r="I691" s="321">
        <v>1.4000000000000001</v>
      </c>
      <c r="J691" s="321">
        <v>1.75</v>
      </c>
      <c r="K691" s="321">
        <v>1.75</v>
      </c>
      <c r="L691" s="321">
        <v>1.75</v>
      </c>
      <c r="M691" s="321">
        <v>1.75</v>
      </c>
      <c r="N691" s="321">
        <v>1.75</v>
      </c>
      <c r="O691" s="321">
        <v>1.75</v>
      </c>
      <c r="P691" s="321">
        <v>1.75</v>
      </c>
      <c r="Q691" s="321">
        <v>1.75</v>
      </c>
      <c r="R691" s="321">
        <v>1.75</v>
      </c>
      <c r="S691" s="321">
        <v>1.75</v>
      </c>
      <c r="T691" s="321">
        <v>1.75</v>
      </c>
      <c r="U691" s="321">
        <v>0.35000000000000003</v>
      </c>
      <c r="V691" s="308">
        <f t="shared" si="61"/>
        <v>21</v>
      </c>
      <c r="W691" s="308">
        <v>40.590000000000003</v>
      </c>
      <c r="X691" s="308">
        <f t="shared" si="62"/>
        <v>852.3900000000001</v>
      </c>
      <c r="Y691" s="322" t="s">
        <v>74</v>
      </c>
      <c r="Z691" s="575"/>
      <c r="AA691" s="567"/>
    </row>
    <row r="692" spans="1:27" s="318" customFormat="1" ht="15" customHeight="1" outlineLevel="1">
      <c r="A692" s="282">
        <v>688</v>
      </c>
      <c r="B692" s="282" t="s">
        <v>1</v>
      </c>
      <c r="C692" s="312" t="s">
        <v>952</v>
      </c>
      <c r="D692" s="313" t="s">
        <v>953</v>
      </c>
      <c r="E692" s="314" t="s">
        <v>952</v>
      </c>
      <c r="F692" s="553" t="str">
        <f t="shared" si="60"/>
        <v>REALEmenda Preformada Cabo Aço Galvanizado 3/8" (SM, HS, EHS)</v>
      </c>
      <c r="G692" s="609">
        <f>Y692</f>
        <v>0</v>
      </c>
      <c r="H692" s="315" t="s">
        <v>927</v>
      </c>
      <c r="I692" s="323">
        <v>0</v>
      </c>
      <c r="J692" s="323">
        <v>0</v>
      </c>
      <c r="K692" s="323">
        <v>0</v>
      </c>
      <c r="L692" s="323">
        <v>0</v>
      </c>
      <c r="M692" s="323"/>
      <c r="N692" s="323"/>
      <c r="O692" s="323"/>
      <c r="P692" s="323"/>
      <c r="Q692" s="323"/>
      <c r="R692" s="323"/>
      <c r="S692" s="323"/>
      <c r="T692" s="323"/>
      <c r="U692" s="323"/>
      <c r="V692" s="316">
        <f t="shared" si="61"/>
        <v>0</v>
      </c>
      <c r="W692" s="316">
        <v>40.590000000000003</v>
      </c>
      <c r="X692" s="316">
        <f t="shared" si="62"/>
        <v>0</v>
      </c>
      <c r="Y692" s="322">
        <f>X692/X691</f>
        <v>0</v>
      </c>
      <c r="Z692" s="572"/>
      <c r="AA692" s="567"/>
    </row>
    <row r="693" spans="1:27" s="311" customFormat="1" ht="15" customHeight="1" outlineLevel="1">
      <c r="A693" s="273">
        <v>689</v>
      </c>
      <c r="B693" s="273" t="s">
        <v>0</v>
      </c>
      <c r="C693" s="305" t="s">
        <v>954</v>
      </c>
      <c r="D693" s="306" t="s">
        <v>955</v>
      </c>
      <c r="E693" s="307" t="s">
        <v>954</v>
      </c>
      <c r="F693" s="553" t="str">
        <f t="shared" si="60"/>
        <v>PREVEmenda Preformada Cabo Dotterel ‐ diâmetro 15,42mm ‐ 178,9MCM</v>
      </c>
      <c r="G693" s="611" t="s">
        <v>74</v>
      </c>
      <c r="H693" s="307" t="s">
        <v>927</v>
      </c>
      <c r="I693" s="321">
        <v>1.4000000000000001</v>
      </c>
      <c r="J693" s="321">
        <v>1.75</v>
      </c>
      <c r="K693" s="321">
        <v>1.75</v>
      </c>
      <c r="L693" s="321">
        <v>1.75</v>
      </c>
      <c r="M693" s="321">
        <v>1.75</v>
      </c>
      <c r="N693" s="321">
        <v>1.75</v>
      </c>
      <c r="O693" s="321">
        <v>1.75</v>
      </c>
      <c r="P693" s="321">
        <v>1.75</v>
      </c>
      <c r="Q693" s="321">
        <v>1.75</v>
      </c>
      <c r="R693" s="321">
        <v>1.75</v>
      </c>
      <c r="S693" s="321">
        <v>1.75</v>
      </c>
      <c r="T693" s="321">
        <v>1.75</v>
      </c>
      <c r="U693" s="321">
        <v>0.35000000000000003</v>
      </c>
      <c r="V693" s="308">
        <f t="shared" si="61"/>
        <v>21</v>
      </c>
      <c r="W693" s="308">
        <v>208.53</v>
      </c>
      <c r="X693" s="308">
        <f t="shared" si="62"/>
        <v>4379.13</v>
      </c>
      <c r="Y693" s="322" t="s">
        <v>74</v>
      </c>
      <c r="Z693" s="575"/>
      <c r="AA693" s="567"/>
    </row>
    <row r="694" spans="1:27" s="318" customFormat="1" ht="15" customHeight="1" outlineLevel="1">
      <c r="A694" s="282">
        <v>690</v>
      </c>
      <c r="B694" s="282" t="s">
        <v>1</v>
      </c>
      <c r="C694" s="312" t="s">
        <v>954</v>
      </c>
      <c r="D694" s="313" t="s">
        <v>955</v>
      </c>
      <c r="E694" s="314" t="s">
        <v>954</v>
      </c>
      <c r="F694" s="553" t="str">
        <f t="shared" si="60"/>
        <v>REALEmenda Preformada Cabo Dotterel ‐ diâmetro 15,42mm ‐ 178,9MCM</v>
      </c>
      <c r="G694" s="609">
        <f>Y694</f>
        <v>0</v>
      </c>
      <c r="H694" s="315" t="s">
        <v>927</v>
      </c>
      <c r="I694" s="323">
        <v>0</v>
      </c>
      <c r="J694" s="323">
        <v>0</v>
      </c>
      <c r="K694" s="323">
        <v>0</v>
      </c>
      <c r="L694" s="323">
        <v>0</v>
      </c>
      <c r="M694" s="323"/>
      <c r="N694" s="323"/>
      <c r="O694" s="323"/>
      <c r="P694" s="323"/>
      <c r="Q694" s="323"/>
      <c r="R694" s="323"/>
      <c r="S694" s="323"/>
      <c r="T694" s="323"/>
      <c r="U694" s="323"/>
      <c r="V694" s="316">
        <f t="shared" si="61"/>
        <v>0</v>
      </c>
      <c r="W694" s="316">
        <v>208.53</v>
      </c>
      <c r="X694" s="316">
        <f t="shared" si="62"/>
        <v>0</v>
      </c>
      <c r="Y694" s="322">
        <f>X694/X693</f>
        <v>0</v>
      </c>
      <c r="Z694" s="572"/>
      <c r="AA694" s="567"/>
    </row>
    <row r="695" spans="1:27" s="311" customFormat="1" ht="15" customHeight="1" outlineLevel="1">
      <c r="A695" s="273">
        <v>691</v>
      </c>
      <c r="B695" s="273" t="s">
        <v>0</v>
      </c>
      <c r="C695" s="305" t="s">
        <v>956</v>
      </c>
      <c r="D695" s="306" t="s">
        <v>957</v>
      </c>
      <c r="E695" s="307" t="s">
        <v>956</v>
      </c>
      <c r="F695" s="553" t="str">
        <f t="shared" si="60"/>
        <v>PREVHaste de aterramento</v>
      </c>
      <c r="G695" s="611" t="s">
        <v>74</v>
      </c>
      <c r="H695" s="307" t="s">
        <v>927</v>
      </c>
      <c r="I695" s="321">
        <v>0.8</v>
      </c>
      <c r="J695" s="321">
        <v>1</v>
      </c>
      <c r="K695" s="321">
        <v>1</v>
      </c>
      <c r="L695" s="321">
        <v>1</v>
      </c>
      <c r="M695" s="321">
        <v>1</v>
      </c>
      <c r="N695" s="321">
        <v>1</v>
      </c>
      <c r="O695" s="321">
        <v>1</v>
      </c>
      <c r="P695" s="321">
        <v>1</v>
      </c>
      <c r="Q695" s="321">
        <v>1</v>
      </c>
      <c r="R695" s="321">
        <v>1</v>
      </c>
      <c r="S695" s="321">
        <v>1</v>
      </c>
      <c r="T695" s="321">
        <v>1</v>
      </c>
      <c r="U695" s="321">
        <v>0.2</v>
      </c>
      <c r="V695" s="308">
        <f t="shared" si="61"/>
        <v>12</v>
      </c>
      <c r="W695" s="308">
        <v>233.55</v>
      </c>
      <c r="X695" s="308">
        <f t="shared" si="62"/>
        <v>2802.6000000000004</v>
      </c>
      <c r="Y695" s="322" t="s">
        <v>74</v>
      </c>
      <c r="Z695" s="575"/>
      <c r="AA695" s="567"/>
    </row>
    <row r="696" spans="1:27" s="318" customFormat="1" ht="15" customHeight="1" outlineLevel="1">
      <c r="A696" s="282">
        <v>692</v>
      </c>
      <c r="B696" s="282" t="s">
        <v>1</v>
      </c>
      <c r="C696" s="312" t="s">
        <v>956</v>
      </c>
      <c r="D696" s="313" t="s">
        <v>957</v>
      </c>
      <c r="E696" s="314" t="s">
        <v>956</v>
      </c>
      <c r="F696" s="553" t="str">
        <f t="shared" si="60"/>
        <v>REALHaste de aterramento</v>
      </c>
      <c r="G696" s="609">
        <f>Y696</f>
        <v>0</v>
      </c>
      <c r="H696" s="315" t="s">
        <v>927</v>
      </c>
      <c r="I696" s="323">
        <v>0</v>
      </c>
      <c r="J696" s="323">
        <v>0</v>
      </c>
      <c r="K696" s="323">
        <v>0</v>
      </c>
      <c r="L696" s="323">
        <v>0</v>
      </c>
      <c r="M696" s="323"/>
      <c r="N696" s="323"/>
      <c r="O696" s="323"/>
      <c r="P696" s="323"/>
      <c r="Q696" s="323"/>
      <c r="R696" s="323"/>
      <c r="S696" s="323"/>
      <c r="T696" s="323"/>
      <c r="U696" s="323"/>
      <c r="V696" s="316">
        <f t="shared" si="61"/>
        <v>0</v>
      </c>
      <c r="W696" s="316">
        <v>233.55</v>
      </c>
      <c r="X696" s="316">
        <f t="shared" si="62"/>
        <v>0</v>
      </c>
      <c r="Y696" s="322">
        <f>X696/X695</f>
        <v>0</v>
      </c>
      <c r="Z696" s="572"/>
      <c r="AA696" s="567"/>
    </row>
    <row r="697" spans="1:27" s="311" customFormat="1" ht="15" customHeight="1" outlineLevel="1">
      <c r="A697" s="273">
        <v>693</v>
      </c>
      <c r="B697" s="273" t="s">
        <v>0</v>
      </c>
      <c r="C697" s="305" t="s">
        <v>958</v>
      </c>
      <c r="D697" s="306" t="s">
        <v>959</v>
      </c>
      <c r="E697" s="307" t="s">
        <v>958</v>
      </c>
      <c r="F697" s="553" t="str">
        <f t="shared" si="60"/>
        <v>PREVGrampo de terra duplo</v>
      </c>
      <c r="G697" s="611" t="s">
        <v>74</v>
      </c>
      <c r="H697" s="307" t="s">
        <v>927</v>
      </c>
      <c r="I697" s="321">
        <v>0.8</v>
      </c>
      <c r="J697" s="321">
        <v>1</v>
      </c>
      <c r="K697" s="321">
        <v>1</v>
      </c>
      <c r="L697" s="321">
        <v>1</v>
      </c>
      <c r="M697" s="321">
        <v>1</v>
      </c>
      <c r="N697" s="321">
        <v>1</v>
      </c>
      <c r="O697" s="321">
        <v>1</v>
      </c>
      <c r="P697" s="321">
        <v>1</v>
      </c>
      <c r="Q697" s="321">
        <v>1</v>
      </c>
      <c r="R697" s="321">
        <v>1</v>
      </c>
      <c r="S697" s="321">
        <v>1</v>
      </c>
      <c r="T697" s="321">
        <v>1</v>
      </c>
      <c r="U697" s="321">
        <v>0.2</v>
      </c>
      <c r="V697" s="308">
        <f t="shared" si="61"/>
        <v>12</v>
      </c>
      <c r="W697" s="308">
        <v>89.66</v>
      </c>
      <c r="X697" s="308">
        <f t="shared" si="62"/>
        <v>1075.92</v>
      </c>
      <c r="Y697" s="322" t="s">
        <v>74</v>
      </c>
      <c r="Z697" s="575"/>
      <c r="AA697" s="567"/>
    </row>
    <row r="698" spans="1:27" s="318" customFormat="1" ht="15" customHeight="1" outlineLevel="1">
      <c r="A698" s="282">
        <v>694</v>
      </c>
      <c r="B698" s="282" t="s">
        <v>1</v>
      </c>
      <c r="C698" s="312" t="s">
        <v>958</v>
      </c>
      <c r="D698" s="313" t="s">
        <v>959</v>
      </c>
      <c r="E698" s="314" t="s">
        <v>958</v>
      </c>
      <c r="F698" s="553" t="str">
        <f t="shared" si="60"/>
        <v>REALGrampo de terra duplo</v>
      </c>
      <c r="G698" s="609">
        <f>Y698</f>
        <v>0.33333333333333331</v>
      </c>
      <c r="H698" s="315" t="s">
        <v>927</v>
      </c>
      <c r="I698" s="323">
        <v>1</v>
      </c>
      <c r="J698" s="323">
        <v>1</v>
      </c>
      <c r="K698" s="323">
        <v>1</v>
      </c>
      <c r="L698" s="323">
        <v>1</v>
      </c>
      <c r="M698" s="323"/>
      <c r="N698" s="323"/>
      <c r="O698" s="323"/>
      <c r="P698" s="323"/>
      <c r="Q698" s="323"/>
      <c r="R698" s="323"/>
      <c r="S698" s="323"/>
      <c r="T698" s="323"/>
      <c r="U698" s="323"/>
      <c r="V698" s="316">
        <f t="shared" si="61"/>
        <v>4</v>
      </c>
      <c r="W698" s="316">
        <v>89.66</v>
      </c>
      <c r="X698" s="316">
        <f t="shared" si="62"/>
        <v>358.64</v>
      </c>
      <c r="Y698" s="322">
        <f>X698/X697</f>
        <v>0.33333333333333331</v>
      </c>
      <c r="Z698" s="572"/>
      <c r="AA698" s="567"/>
    </row>
    <row r="699" spans="1:27" s="311" customFormat="1" ht="15" customHeight="1" outlineLevel="1">
      <c r="A699" s="273">
        <v>695</v>
      </c>
      <c r="B699" s="273" t="s">
        <v>0</v>
      </c>
      <c r="C699" s="305" t="s">
        <v>960</v>
      </c>
      <c r="D699" s="306" t="s">
        <v>961</v>
      </c>
      <c r="E699" s="307" t="s">
        <v>960</v>
      </c>
      <c r="F699" s="553" t="str">
        <f t="shared" si="60"/>
        <v>PREVGrampo de terra duplo EM BRONZE</v>
      </c>
      <c r="G699" s="611" t="s">
        <v>74</v>
      </c>
      <c r="H699" s="307" t="s">
        <v>927</v>
      </c>
      <c r="I699" s="321">
        <v>0.8</v>
      </c>
      <c r="J699" s="321">
        <v>1</v>
      </c>
      <c r="K699" s="321">
        <v>1</v>
      </c>
      <c r="L699" s="321">
        <v>1</v>
      </c>
      <c r="M699" s="321">
        <v>1</v>
      </c>
      <c r="N699" s="321">
        <v>1</v>
      </c>
      <c r="O699" s="321">
        <v>1</v>
      </c>
      <c r="P699" s="321">
        <v>1</v>
      </c>
      <c r="Q699" s="321">
        <v>1</v>
      </c>
      <c r="R699" s="321">
        <v>1</v>
      </c>
      <c r="S699" s="321">
        <v>1</v>
      </c>
      <c r="T699" s="321">
        <v>1</v>
      </c>
      <c r="U699" s="321">
        <v>0.2</v>
      </c>
      <c r="V699" s="308">
        <f t="shared" si="61"/>
        <v>12</v>
      </c>
      <c r="W699" s="308">
        <v>126.21</v>
      </c>
      <c r="X699" s="308">
        <f t="shared" si="62"/>
        <v>1514.52</v>
      </c>
      <c r="Y699" s="322" t="s">
        <v>74</v>
      </c>
      <c r="Z699" s="575"/>
      <c r="AA699" s="567"/>
    </row>
    <row r="700" spans="1:27" s="318" customFormat="1" ht="15" customHeight="1" outlineLevel="1">
      <c r="A700" s="282">
        <v>696</v>
      </c>
      <c r="B700" s="282" t="s">
        <v>1</v>
      </c>
      <c r="C700" s="312" t="s">
        <v>960</v>
      </c>
      <c r="D700" s="313" t="s">
        <v>961</v>
      </c>
      <c r="E700" s="314" t="s">
        <v>960</v>
      </c>
      <c r="F700" s="553" t="str">
        <f t="shared" si="60"/>
        <v>REALGrampo de terra duplo EM BRONZE</v>
      </c>
      <c r="G700" s="609">
        <f>Y700</f>
        <v>0.33333333333333331</v>
      </c>
      <c r="H700" s="315" t="s">
        <v>927</v>
      </c>
      <c r="I700" s="323">
        <v>1</v>
      </c>
      <c r="J700" s="323">
        <v>1</v>
      </c>
      <c r="K700" s="323">
        <v>1</v>
      </c>
      <c r="L700" s="323">
        <v>1</v>
      </c>
      <c r="M700" s="323"/>
      <c r="N700" s="323"/>
      <c r="O700" s="323"/>
      <c r="P700" s="323"/>
      <c r="Q700" s="323"/>
      <c r="R700" s="323"/>
      <c r="S700" s="323"/>
      <c r="T700" s="323"/>
      <c r="U700" s="323"/>
      <c r="V700" s="316">
        <f t="shared" si="61"/>
        <v>4</v>
      </c>
      <c r="W700" s="316">
        <v>126.21</v>
      </c>
      <c r="X700" s="316">
        <f t="shared" si="62"/>
        <v>504.84</v>
      </c>
      <c r="Y700" s="322">
        <f>X700/X699</f>
        <v>0.33333333333333331</v>
      </c>
      <c r="Z700" s="572"/>
      <c r="AA700" s="567"/>
    </row>
    <row r="701" spans="1:27" s="311" customFormat="1" ht="15" customHeight="1" outlineLevel="1">
      <c r="A701" s="273">
        <v>697</v>
      </c>
      <c r="B701" s="273" t="s">
        <v>0</v>
      </c>
      <c r="C701" s="305" t="s">
        <v>962</v>
      </c>
      <c r="D701" s="306" t="s">
        <v>963</v>
      </c>
      <c r="E701" s="307" t="s">
        <v>962</v>
      </c>
      <c r="F701" s="553" t="str">
        <f t="shared" si="60"/>
        <v>PREVLuva de compressão de cobre</v>
      </c>
      <c r="G701" s="611" t="s">
        <v>74</v>
      </c>
      <c r="H701" s="307" t="s">
        <v>927</v>
      </c>
      <c r="I701" s="321">
        <v>0.8</v>
      </c>
      <c r="J701" s="321">
        <v>1</v>
      </c>
      <c r="K701" s="321">
        <v>1</v>
      </c>
      <c r="L701" s="321">
        <v>1</v>
      </c>
      <c r="M701" s="321">
        <v>1</v>
      </c>
      <c r="N701" s="321">
        <v>1</v>
      </c>
      <c r="O701" s="321">
        <v>1</v>
      </c>
      <c r="P701" s="321">
        <v>1</v>
      </c>
      <c r="Q701" s="321">
        <v>1</v>
      </c>
      <c r="R701" s="321">
        <v>1</v>
      </c>
      <c r="S701" s="321">
        <v>1</v>
      </c>
      <c r="T701" s="321">
        <v>1</v>
      </c>
      <c r="U701" s="321">
        <v>0.2</v>
      </c>
      <c r="V701" s="308">
        <f t="shared" si="61"/>
        <v>12</v>
      </c>
      <c r="W701" s="308">
        <v>4.0999999999999996</v>
      </c>
      <c r="X701" s="308">
        <f t="shared" si="62"/>
        <v>49.199999999999996</v>
      </c>
      <c r="Y701" s="322" t="s">
        <v>74</v>
      </c>
      <c r="Z701" s="575"/>
      <c r="AA701" s="567"/>
    </row>
    <row r="702" spans="1:27" s="318" customFormat="1" ht="15" customHeight="1" outlineLevel="1">
      <c r="A702" s="282">
        <v>698</v>
      </c>
      <c r="B702" s="282" t="s">
        <v>1</v>
      </c>
      <c r="C702" s="312" t="s">
        <v>962</v>
      </c>
      <c r="D702" s="313" t="s">
        <v>963</v>
      </c>
      <c r="E702" s="314" t="s">
        <v>962</v>
      </c>
      <c r="F702" s="553" t="str">
        <f t="shared" si="60"/>
        <v>REALLuva de compressão de cobre</v>
      </c>
      <c r="G702" s="609">
        <f>Y702</f>
        <v>0</v>
      </c>
      <c r="H702" s="315" t="s">
        <v>927</v>
      </c>
      <c r="I702" s="323">
        <v>0</v>
      </c>
      <c r="J702" s="323">
        <v>0</v>
      </c>
      <c r="K702" s="323">
        <v>0</v>
      </c>
      <c r="L702" s="323">
        <v>0</v>
      </c>
      <c r="M702" s="323"/>
      <c r="N702" s="323"/>
      <c r="O702" s="323"/>
      <c r="P702" s="323"/>
      <c r="Q702" s="323"/>
      <c r="R702" s="323"/>
      <c r="S702" s="323"/>
      <c r="T702" s="323"/>
      <c r="U702" s="323"/>
      <c r="V702" s="316">
        <f t="shared" si="61"/>
        <v>0</v>
      </c>
      <c r="W702" s="316">
        <v>4.0999999999999996</v>
      </c>
      <c r="X702" s="316">
        <f t="shared" si="62"/>
        <v>0</v>
      </c>
      <c r="Y702" s="322">
        <f>X702/X701</f>
        <v>0</v>
      </c>
      <c r="Z702" s="572"/>
      <c r="AA702" s="567"/>
    </row>
    <row r="703" spans="1:27" s="311" customFormat="1" ht="15" customHeight="1" outlineLevel="1">
      <c r="A703" s="273">
        <v>699</v>
      </c>
      <c r="B703" s="273" t="s">
        <v>0</v>
      </c>
      <c r="C703" s="305" t="s">
        <v>964</v>
      </c>
      <c r="D703" s="306" t="s">
        <v>965</v>
      </c>
      <c r="E703" s="307" t="s">
        <v>964</v>
      </c>
      <c r="F703" s="553" t="str">
        <f t="shared" si="60"/>
        <v>PREVCabo OPGW 13,4 mm com 24 fibras ópticas</v>
      </c>
      <c r="G703" s="611" t="s">
        <v>74</v>
      </c>
      <c r="H703" s="307" t="s">
        <v>733</v>
      </c>
      <c r="I703" s="321">
        <v>340</v>
      </c>
      <c r="J703" s="321">
        <v>425</v>
      </c>
      <c r="K703" s="321">
        <v>425</v>
      </c>
      <c r="L703" s="321">
        <v>425</v>
      </c>
      <c r="M703" s="321">
        <v>425</v>
      </c>
      <c r="N703" s="321">
        <v>425</v>
      </c>
      <c r="O703" s="321">
        <v>425</v>
      </c>
      <c r="P703" s="321">
        <v>425</v>
      </c>
      <c r="Q703" s="321">
        <v>425</v>
      </c>
      <c r="R703" s="321">
        <v>425</v>
      </c>
      <c r="S703" s="321">
        <v>425</v>
      </c>
      <c r="T703" s="321">
        <v>425</v>
      </c>
      <c r="U703" s="321">
        <v>85</v>
      </c>
      <c r="V703" s="308">
        <f t="shared" si="61"/>
        <v>5100</v>
      </c>
      <c r="W703" s="308">
        <v>32.380000000000003</v>
      </c>
      <c r="X703" s="308">
        <f t="shared" si="62"/>
        <v>165138</v>
      </c>
      <c r="Y703" s="322" t="s">
        <v>74</v>
      </c>
      <c r="Z703" s="575"/>
      <c r="AA703" s="567"/>
    </row>
    <row r="704" spans="1:27" s="318" customFormat="1" ht="15" customHeight="1" outlineLevel="1">
      <c r="A704" s="282">
        <v>700</v>
      </c>
      <c r="B704" s="282" t="s">
        <v>1</v>
      </c>
      <c r="C704" s="312" t="s">
        <v>964</v>
      </c>
      <c r="D704" s="313" t="s">
        <v>965</v>
      </c>
      <c r="E704" s="314" t="s">
        <v>964</v>
      </c>
      <c r="F704" s="553" t="str">
        <f t="shared" si="60"/>
        <v>REALCabo OPGW 13,4 mm com 24 fibras ópticas</v>
      </c>
      <c r="G704" s="609">
        <f>Y704</f>
        <v>0</v>
      </c>
      <c r="H704" s="315" t="s">
        <v>733</v>
      </c>
      <c r="I704" s="323">
        <v>0</v>
      </c>
      <c r="J704" s="323">
        <v>0</v>
      </c>
      <c r="K704" s="323">
        <v>0</v>
      </c>
      <c r="L704" s="323">
        <v>0</v>
      </c>
      <c r="M704" s="323"/>
      <c r="N704" s="323"/>
      <c r="O704" s="323"/>
      <c r="P704" s="323"/>
      <c r="Q704" s="323"/>
      <c r="R704" s="323"/>
      <c r="S704" s="323"/>
      <c r="T704" s="323"/>
      <c r="U704" s="323"/>
      <c r="V704" s="316">
        <f t="shared" si="61"/>
        <v>0</v>
      </c>
      <c r="W704" s="316">
        <v>32.380000000000003</v>
      </c>
      <c r="X704" s="316">
        <f t="shared" si="62"/>
        <v>0</v>
      </c>
      <c r="Y704" s="322">
        <f>X704/X703</f>
        <v>0</v>
      </c>
      <c r="Z704" s="572"/>
      <c r="AA704" s="567"/>
    </row>
    <row r="705" spans="1:27" s="311" customFormat="1" ht="15" customHeight="1">
      <c r="A705" s="273">
        <v>701</v>
      </c>
      <c r="B705" s="273" t="s">
        <v>0</v>
      </c>
      <c r="C705" s="289" t="s">
        <v>966</v>
      </c>
      <c r="D705" s="382" t="s">
        <v>967</v>
      </c>
      <c r="E705" s="291" t="s">
        <v>966</v>
      </c>
      <c r="F705" s="291"/>
      <c r="G705" s="610"/>
      <c r="H705" s="292"/>
      <c r="I705" s="396"/>
      <c r="J705" s="396"/>
      <c r="K705" s="396"/>
      <c r="L705" s="396"/>
      <c r="M705" s="396"/>
      <c r="N705" s="396"/>
      <c r="O705" s="396"/>
      <c r="P705" s="396"/>
      <c r="Q705" s="396"/>
      <c r="R705" s="396"/>
      <c r="S705" s="396"/>
      <c r="T705" s="396"/>
      <c r="U705" s="396"/>
      <c r="V705" s="319"/>
      <c r="W705" s="319"/>
      <c r="X705" s="370">
        <f>SUMIF(B707:B742,B705,X707:X742)</f>
        <v>15042.960000000003</v>
      </c>
      <c r="Y705" s="295" t="s">
        <v>74</v>
      </c>
      <c r="Z705" s="578"/>
      <c r="AA705" s="567"/>
    </row>
    <row r="706" spans="1:27" s="318" customFormat="1" ht="15" customHeight="1">
      <c r="A706" s="282">
        <v>702</v>
      </c>
      <c r="B706" s="282" t="s">
        <v>1</v>
      </c>
      <c r="C706" s="297" t="s">
        <v>966</v>
      </c>
      <c r="D706" s="383" t="s">
        <v>967</v>
      </c>
      <c r="E706" s="320" t="s">
        <v>966</v>
      </c>
      <c r="F706" s="320"/>
      <c r="G706" s="612"/>
      <c r="H706" s="300"/>
      <c r="I706" s="397"/>
      <c r="J706" s="397"/>
      <c r="K706" s="397"/>
      <c r="L706" s="397"/>
      <c r="M706" s="397"/>
      <c r="N706" s="397"/>
      <c r="O706" s="397"/>
      <c r="P706" s="397"/>
      <c r="Q706" s="397"/>
      <c r="R706" s="397"/>
      <c r="S706" s="397"/>
      <c r="T706" s="397"/>
      <c r="U706" s="397"/>
      <c r="V706" s="302">
        <v>0</v>
      </c>
      <c r="W706" s="302">
        <v>0</v>
      </c>
      <c r="X706" s="303">
        <f>SUMIF(B707:B742,B706,X707:X742)</f>
        <v>1442.53</v>
      </c>
      <c r="Y706" s="295">
        <f>X706/X705</f>
        <v>9.5894026175699448E-2</v>
      </c>
      <c r="Z706" s="571"/>
      <c r="AA706" s="567"/>
    </row>
    <row r="707" spans="1:27" s="311" customFormat="1" ht="15" customHeight="1" outlineLevel="1">
      <c r="A707" s="273">
        <v>703</v>
      </c>
      <c r="B707" s="273" t="s">
        <v>0</v>
      </c>
      <c r="C707" s="305" t="s">
        <v>968</v>
      </c>
      <c r="D707" s="306" t="s">
        <v>969</v>
      </c>
      <c r="E707" s="307" t="s">
        <v>968</v>
      </c>
      <c r="F707" s="553" t="str">
        <f t="shared" ref="F707:F742" si="63">B707&amp;D707</f>
        <v>PREVAlicate Amperímetro (mod. 381 CA/CC True‐rms 1000V CAT III (ou similar)</v>
      </c>
      <c r="G707" s="611" t="s">
        <v>74</v>
      </c>
      <c r="H707" s="307" t="s">
        <v>247</v>
      </c>
      <c r="I707" s="321">
        <v>7.2</v>
      </c>
      <c r="J707" s="321">
        <v>9</v>
      </c>
      <c r="K707" s="321">
        <v>9</v>
      </c>
      <c r="L707" s="321">
        <v>9</v>
      </c>
      <c r="M707" s="321">
        <v>9</v>
      </c>
      <c r="N707" s="321">
        <v>9</v>
      </c>
      <c r="O707" s="321">
        <v>9</v>
      </c>
      <c r="P707" s="321">
        <v>9</v>
      </c>
      <c r="Q707" s="321">
        <v>9</v>
      </c>
      <c r="R707" s="321">
        <v>9</v>
      </c>
      <c r="S707" s="321">
        <v>9</v>
      </c>
      <c r="T707" s="321">
        <v>9</v>
      </c>
      <c r="U707" s="321">
        <v>1.8</v>
      </c>
      <c r="V707" s="308">
        <f t="shared" ref="V707:V742" si="64">SUM(I707:U707)</f>
        <v>108</v>
      </c>
      <c r="W707" s="308">
        <v>7.54</v>
      </c>
      <c r="X707" s="308">
        <f t="shared" ref="X707:X742" si="65">W707*V707</f>
        <v>814.32</v>
      </c>
      <c r="Y707" s="322" t="s">
        <v>74</v>
      </c>
      <c r="Z707" s="575"/>
      <c r="AA707" s="567"/>
    </row>
    <row r="708" spans="1:27" s="318" customFormat="1" ht="15" customHeight="1" outlineLevel="1">
      <c r="A708" s="282">
        <v>704</v>
      </c>
      <c r="B708" s="282" t="s">
        <v>1</v>
      </c>
      <c r="C708" s="312" t="s">
        <v>968</v>
      </c>
      <c r="D708" s="313" t="s">
        <v>969</v>
      </c>
      <c r="E708" s="314" t="s">
        <v>968</v>
      </c>
      <c r="F708" s="553" t="str">
        <f t="shared" si="63"/>
        <v>REALAlicate Amperímetro (mod. 381 CA/CC True‐rms 1000V CAT III (ou similar)</v>
      </c>
      <c r="G708" s="609">
        <f>Y708</f>
        <v>3.518518518518518E-2</v>
      </c>
      <c r="H708" s="315" t="s">
        <v>247</v>
      </c>
      <c r="I708" s="323">
        <v>0.8</v>
      </c>
      <c r="J708" s="323">
        <v>1</v>
      </c>
      <c r="K708" s="323">
        <v>1</v>
      </c>
      <c r="L708" s="323">
        <v>1</v>
      </c>
      <c r="M708" s="323"/>
      <c r="N708" s="323"/>
      <c r="O708" s="323"/>
      <c r="P708" s="323"/>
      <c r="Q708" s="323"/>
      <c r="R708" s="323"/>
      <c r="S708" s="323"/>
      <c r="T708" s="323"/>
      <c r="U708" s="323"/>
      <c r="V708" s="316">
        <f t="shared" si="64"/>
        <v>3.8</v>
      </c>
      <c r="W708" s="316">
        <v>7.54</v>
      </c>
      <c r="X708" s="316">
        <f t="shared" si="65"/>
        <v>28.651999999999997</v>
      </c>
      <c r="Y708" s="322">
        <f>X708/X707</f>
        <v>3.518518518518518E-2</v>
      </c>
      <c r="Z708" s="572"/>
      <c r="AA708" s="567"/>
    </row>
    <row r="709" spans="1:27" s="311" customFormat="1" ht="15" customHeight="1" outlineLevel="1">
      <c r="A709" s="273">
        <v>705</v>
      </c>
      <c r="B709" s="273" t="s">
        <v>0</v>
      </c>
      <c r="C709" s="305" t="s">
        <v>970</v>
      </c>
      <c r="D709" s="306" t="s">
        <v>971</v>
      </c>
      <c r="E709" s="307" t="s">
        <v>970</v>
      </c>
      <c r="F709" s="553" t="str">
        <f t="shared" si="63"/>
        <v>PREVAlicate amperímetro CA/CC de 600V, digital, CAT III FLUKE 305</v>
      </c>
      <c r="G709" s="611" t="s">
        <v>74</v>
      </c>
      <c r="H709" s="307" t="s">
        <v>247</v>
      </c>
      <c r="I709" s="321">
        <v>7.2</v>
      </c>
      <c r="J709" s="321">
        <v>9</v>
      </c>
      <c r="K709" s="321">
        <v>9</v>
      </c>
      <c r="L709" s="321">
        <v>9</v>
      </c>
      <c r="M709" s="321">
        <v>9</v>
      </c>
      <c r="N709" s="321">
        <v>9</v>
      </c>
      <c r="O709" s="321">
        <v>9</v>
      </c>
      <c r="P709" s="321">
        <v>9</v>
      </c>
      <c r="Q709" s="321">
        <v>9</v>
      </c>
      <c r="R709" s="321">
        <v>9</v>
      </c>
      <c r="S709" s="321">
        <v>9</v>
      </c>
      <c r="T709" s="321">
        <v>9</v>
      </c>
      <c r="U709" s="321">
        <v>1.8</v>
      </c>
      <c r="V709" s="308">
        <f t="shared" si="64"/>
        <v>108</v>
      </c>
      <c r="W709" s="308">
        <v>0.66</v>
      </c>
      <c r="X709" s="308">
        <f t="shared" si="65"/>
        <v>71.28</v>
      </c>
      <c r="Y709" s="322" t="s">
        <v>74</v>
      </c>
      <c r="Z709" s="575"/>
      <c r="AA709" s="567"/>
    </row>
    <row r="710" spans="1:27" s="318" customFormat="1" ht="15" customHeight="1" outlineLevel="1">
      <c r="A710" s="282">
        <v>706</v>
      </c>
      <c r="B710" s="282" t="s">
        <v>1</v>
      </c>
      <c r="C710" s="312" t="s">
        <v>970</v>
      </c>
      <c r="D710" s="313" t="s">
        <v>971</v>
      </c>
      <c r="E710" s="314" t="s">
        <v>970</v>
      </c>
      <c r="F710" s="553" t="str">
        <f t="shared" si="63"/>
        <v>REALAlicate amperímetro CA/CC de 600V, digital, CAT III FLUKE 305</v>
      </c>
      <c r="G710" s="609">
        <f>Y710</f>
        <v>0.2</v>
      </c>
      <c r="H710" s="315" t="s">
        <v>247</v>
      </c>
      <c r="I710" s="323">
        <v>1.6</v>
      </c>
      <c r="J710" s="323">
        <v>2</v>
      </c>
      <c r="K710" s="323">
        <v>9</v>
      </c>
      <c r="L710" s="323">
        <v>9</v>
      </c>
      <c r="M710" s="323"/>
      <c r="N710" s="323"/>
      <c r="O710" s="323"/>
      <c r="P710" s="323"/>
      <c r="Q710" s="323"/>
      <c r="R710" s="323"/>
      <c r="S710" s="323"/>
      <c r="T710" s="323"/>
      <c r="U710" s="323"/>
      <c r="V710" s="316">
        <f t="shared" si="64"/>
        <v>21.6</v>
      </c>
      <c r="W710" s="316">
        <v>0.66</v>
      </c>
      <c r="X710" s="316">
        <f t="shared" si="65"/>
        <v>14.256000000000002</v>
      </c>
      <c r="Y710" s="322">
        <f>X710/X709</f>
        <v>0.2</v>
      </c>
      <c r="Z710" s="572"/>
      <c r="AA710" s="567"/>
    </row>
    <row r="711" spans="1:27" s="311" customFormat="1" ht="15" customHeight="1" outlineLevel="1">
      <c r="A711" s="273">
        <v>707</v>
      </c>
      <c r="B711" s="273" t="s">
        <v>0</v>
      </c>
      <c r="C711" s="305" t="s">
        <v>972</v>
      </c>
      <c r="D711" s="306" t="s">
        <v>973</v>
      </c>
      <c r="E711" s="307" t="s">
        <v>972</v>
      </c>
      <c r="F711" s="553" t="str">
        <f t="shared" si="63"/>
        <v>PREVAlicate Medidor de qualidade de energia (mod. Fluke 345 ou similar)</v>
      </c>
      <c r="G711" s="611" t="s">
        <v>74</v>
      </c>
      <c r="H711" s="307" t="s">
        <v>247</v>
      </c>
      <c r="I711" s="321">
        <v>5.6000000000000005</v>
      </c>
      <c r="J711" s="321">
        <v>7</v>
      </c>
      <c r="K711" s="321">
        <v>7</v>
      </c>
      <c r="L711" s="321">
        <v>7</v>
      </c>
      <c r="M711" s="321">
        <v>7</v>
      </c>
      <c r="N711" s="321">
        <v>7</v>
      </c>
      <c r="O711" s="321">
        <v>7</v>
      </c>
      <c r="P711" s="321">
        <v>7</v>
      </c>
      <c r="Q711" s="321">
        <v>7</v>
      </c>
      <c r="R711" s="321">
        <v>7</v>
      </c>
      <c r="S711" s="321">
        <v>7</v>
      </c>
      <c r="T711" s="321">
        <v>7</v>
      </c>
      <c r="U711" s="321">
        <v>1.4000000000000001</v>
      </c>
      <c r="V711" s="308">
        <f t="shared" si="64"/>
        <v>84</v>
      </c>
      <c r="W711" s="308">
        <v>35.090000000000003</v>
      </c>
      <c r="X711" s="308">
        <f t="shared" si="65"/>
        <v>2947.5600000000004</v>
      </c>
      <c r="Y711" s="322" t="s">
        <v>74</v>
      </c>
      <c r="Z711" s="575"/>
      <c r="AA711" s="567"/>
    </row>
    <row r="712" spans="1:27" s="318" customFormat="1" ht="15" customHeight="1" outlineLevel="1">
      <c r="A712" s="282">
        <v>708</v>
      </c>
      <c r="B712" s="282" t="s">
        <v>1</v>
      </c>
      <c r="C712" s="312" t="s">
        <v>972</v>
      </c>
      <c r="D712" s="313" t="s">
        <v>973</v>
      </c>
      <c r="E712" s="314" t="s">
        <v>972</v>
      </c>
      <c r="F712" s="553" t="str">
        <f t="shared" si="63"/>
        <v>REALAlicate Medidor de qualidade de energia (mod. Fluke 345 ou similar)</v>
      </c>
      <c r="G712" s="609">
        <f>Y712</f>
        <v>0</v>
      </c>
      <c r="H712" s="315" t="s">
        <v>247</v>
      </c>
      <c r="I712" s="323">
        <v>0</v>
      </c>
      <c r="J712" s="323">
        <v>0</v>
      </c>
      <c r="K712" s="323">
        <v>0</v>
      </c>
      <c r="L712" s="323">
        <v>0</v>
      </c>
      <c r="M712" s="323"/>
      <c r="N712" s="323"/>
      <c r="O712" s="323"/>
      <c r="P712" s="323"/>
      <c r="Q712" s="323"/>
      <c r="R712" s="323"/>
      <c r="S712" s="323"/>
      <c r="T712" s="323"/>
      <c r="U712" s="323"/>
      <c r="V712" s="316">
        <f t="shared" si="64"/>
        <v>0</v>
      </c>
      <c r="W712" s="316">
        <v>35.090000000000003</v>
      </c>
      <c r="X712" s="316">
        <f t="shared" si="65"/>
        <v>0</v>
      </c>
      <c r="Y712" s="322">
        <f>X712/X711</f>
        <v>0</v>
      </c>
      <c r="Z712" s="572"/>
      <c r="AA712" s="567"/>
    </row>
    <row r="713" spans="1:27" s="311" customFormat="1" ht="15" customHeight="1" outlineLevel="1">
      <c r="A713" s="273">
        <v>709</v>
      </c>
      <c r="B713" s="273" t="s">
        <v>0</v>
      </c>
      <c r="C713" s="305" t="s">
        <v>974</v>
      </c>
      <c r="D713" s="306" t="s">
        <v>975</v>
      </c>
      <c r="E713" s="307" t="s">
        <v>974</v>
      </c>
      <c r="F713" s="553" t="str">
        <f t="shared" si="63"/>
        <v>PREVCalibrador de processos multifunção digital (mod. Fluke 725 ou similar)</v>
      </c>
      <c r="G713" s="611" t="s">
        <v>74</v>
      </c>
      <c r="H713" s="307" t="s">
        <v>247</v>
      </c>
      <c r="I713" s="321">
        <v>5.6000000000000005</v>
      </c>
      <c r="J713" s="321">
        <v>7</v>
      </c>
      <c r="K713" s="321">
        <v>7</v>
      </c>
      <c r="L713" s="321">
        <v>7</v>
      </c>
      <c r="M713" s="321">
        <v>7</v>
      </c>
      <c r="N713" s="321">
        <v>7</v>
      </c>
      <c r="O713" s="321">
        <v>7</v>
      </c>
      <c r="P713" s="321">
        <v>7</v>
      </c>
      <c r="Q713" s="321">
        <v>7</v>
      </c>
      <c r="R713" s="321">
        <v>7</v>
      </c>
      <c r="S713" s="321">
        <v>7</v>
      </c>
      <c r="T713" s="321">
        <v>7</v>
      </c>
      <c r="U713" s="321">
        <v>1.4000000000000001</v>
      </c>
      <c r="V713" s="308">
        <f t="shared" si="64"/>
        <v>84</v>
      </c>
      <c r="W713" s="308">
        <v>63.1</v>
      </c>
      <c r="X713" s="308">
        <f t="shared" si="65"/>
        <v>5300.4000000000005</v>
      </c>
      <c r="Y713" s="322" t="s">
        <v>74</v>
      </c>
      <c r="Z713" s="575"/>
      <c r="AA713" s="567"/>
    </row>
    <row r="714" spans="1:27" s="318" customFormat="1" ht="15" customHeight="1" outlineLevel="1">
      <c r="A714" s="282">
        <v>710</v>
      </c>
      <c r="B714" s="282" t="s">
        <v>1</v>
      </c>
      <c r="C714" s="312" t="s">
        <v>974</v>
      </c>
      <c r="D714" s="313" t="s">
        <v>975</v>
      </c>
      <c r="E714" s="314" t="s">
        <v>974</v>
      </c>
      <c r="F714" s="553" t="str">
        <f t="shared" si="63"/>
        <v>REALCalibrador de processos multifunção digital (mod. Fluke 725 ou similar)</v>
      </c>
      <c r="G714" s="609">
        <f>Y714</f>
        <v>0</v>
      </c>
      <c r="H714" s="315" t="s">
        <v>247</v>
      </c>
      <c r="I714" s="323">
        <v>0</v>
      </c>
      <c r="J714" s="323">
        <v>0</v>
      </c>
      <c r="K714" s="323">
        <v>0</v>
      </c>
      <c r="L714" s="323">
        <v>0</v>
      </c>
      <c r="M714" s="323"/>
      <c r="N714" s="323"/>
      <c r="O714" s="323"/>
      <c r="P714" s="323"/>
      <c r="Q714" s="323"/>
      <c r="R714" s="323"/>
      <c r="S714" s="323"/>
      <c r="T714" s="323"/>
      <c r="U714" s="323"/>
      <c r="V714" s="316">
        <f t="shared" si="64"/>
        <v>0</v>
      </c>
      <c r="W714" s="316">
        <v>63.1</v>
      </c>
      <c r="X714" s="316">
        <f t="shared" si="65"/>
        <v>0</v>
      </c>
      <c r="Y714" s="322">
        <f>X714/X713</f>
        <v>0</v>
      </c>
      <c r="Z714" s="572"/>
      <c r="AA714" s="567"/>
    </row>
    <row r="715" spans="1:27" s="311" customFormat="1" ht="15" customHeight="1" outlineLevel="1">
      <c r="A715" s="273">
        <v>711</v>
      </c>
      <c r="B715" s="273" t="s">
        <v>0</v>
      </c>
      <c r="C715" s="305" t="s">
        <v>976</v>
      </c>
      <c r="D715" s="306" t="s">
        <v>977</v>
      </c>
      <c r="E715" s="307" t="s">
        <v>976</v>
      </c>
      <c r="F715" s="553" t="str">
        <f t="shared" si="63"/>
        <v>PREVFasímetro, digital, categoria IV, 40~700Vca, 600V</v>
      </c>
      <c r="G715" s="611" t="s">
        <v>74</v>
      </c>
      <c r="H715" s="307" t="s">
        <v>247</v>
      </c>
      <c r="I715" s="321">
        <v>7.2</v>
      </c>
      <c r="J715" s="321">
        <v>9</v>
      </c>
      <c r="K715" s="321">
        <v>9</v>
      </c>
      <c r="L715" s="321">
        <v>9</v>
      </c>
      <c r="M715" s="321">
        <v>9</v>
      </c>
      <c r="N715" s="321">
        <v>9</v>
      </c>
      <c r="O715" s="321">
        <v>9</v>
      </c>
      <c r="P715" s="321">
        <v>9</v>
      </c>
      <c r="Q715" s="321">
        <v>9</v>
      </c>
      <c r="R715" s="321">
        <v>9</v>
      </c>
      <c r="S715" s="321">
        <v>9</v>
      </c>
      <c r="T715" s="321">
        <v>9</v>
      </c>
      <c r="U715" s="321">
        <v>1.8</v>
      </c>
      <c r="V715" s="308">
        <f t="shared" si="64"/>
        <v>108</v>
      </c>
      <c r="W715" s="308">
        <v>1.6</v>
      </c>
      <c r="X715" s="308">
        <f t="shared" si="65"/>
        <v>172.8</v>
      </c>
      <c r="Y715" s="322" t="s">
        <v>74</v>
      </c>
      <c r="Z715" s="575"/>
      <c r="AA715" s="567"/>
    </row>
    <row r="716" spans="1:27" s="318" customFormat="1" ht="15" customHeight="1" outlineLevel="1">
      <c r="A716" s="282">
        <v>712</v>
      </c>
      <c r="B716" s="282" t="s">
        <v>1</v>
      </c>
      <c r="C716" s="312" t="s">
        <v>976</v>
      </c>
      <c r="D716" s="313" t="s">
        <v>977</v>
      </c>
      <c r="E716" s="314" t="s">
        <v>976</v>
      </c>
      <c r="F716" s="553" t="str">
        <f t="shared" si="63"/>
        <v>REALFasímetro, digital, categoria IV, 40~700Vca, 600V</v>
      </c>
      <c r="G716" s="609">
        <f>Y716</f>
        <v>3.518518518518518E-2</v>
      </c>
      <c r="H716" s="315" t="s">
        <v>247</v>
      </c>
      <c r="I716" s="323">
        <v>0.79999999999999993</v>
      </c>
      <c r="J716" s="323">
        <v>1</v>
      </c>
      <c r="K716" s="323">
        <v>1</v>
      </c>
      <c r="L716" s="323">
        <v>1</v>
      </c>
      <c r="M716" s="323"/>
      <c r="N716" s="323"/>
      <c r="O716" s="323"/>
      <c r="P716" s="323"/>
      <c r="Q716" s="323"/>
      <c r="R716" s="323"/>
      <c r="S716" s="323"/>
      <c r="T716" s="323"/>
      <c r="U716" s="323"/>
      <c r="V716" s="316">
        <f t="shared" si="64"/>
        <v>3.8</v>
      </c>
      <c r="W716" s="316">
        <v>1.6</v>
      </c>
      <c r="X716" s="316">
        <f t="shared" si="65"/>
        <v>6.08</v>
      </c>
      <c r="Y716" s="322">
        <f>X716/X715</f>
        <v>3.518518518518518E-2</v>
      </c>
      <c r="Z716" s="572"/>
      <c r="AA716" s="567"/>
    </row>
    <row r="717" spans="1:27" s="311" customFormat="1" ht="15" customHeight="1" outlineLevel="1">
      <c r="A717" s="273">
        <v>713</v>
      </c>
      <c r="B717" s="273" t="s">
        <v>0</v>
      </c>
      <c r="C717" s="305" t="s">
        <v>978</v>
      </c>
      <c r="D717" s="306" t="s">
        <v>979</v>
      </c>
      <c r="E717" s="307" t="s">
        <v>978</v>
      </c>
      <c r="F717" s="553" t="str">
        <f t="shared" si="63"/>
        <v>PREVFreqüencímetro gitital de bancada , 1GHz de 8 dígitos</v>
      </c>
      <c r="G717" s="611" t="s">
        <v>74</v>
      </c>
      <c r="H717" s="307" t="s">
        <v>247</v>
      </c>
      <c r="I717" s="321">
        <v>1.6</v>
      </c>
      <c r="J717" s="321">
        <v>2</v>
      </c>
      <c r="K717" s="321">
        <v>2</v>
      </c>
      <c r="L717" s="321">
        <v>2</v>
      </c>
      <c r="M717" s="321">
        <v>2</v>
      </c>
      <c r="N717" s="321">
        <v>2</v>
      </c>
      <c r="O717" s="321">
        <v>2</v>
      </c>
      <c r="P717" s="321">
        <v>2</v>
      </c>
      <c r="Q717" s="321">
        <v>2</v>
      </c>
      <c r="R717" s="321">
        <v>2</v>
      </c>
      <c r="S717" s="321">
        <v>2</v>
      </c>
      <c r="T717" s="321">
        <v>2</v>
      </c>
      <c r="U717" s="321">
        <v>0.4</v>
      </c>
      <c r="V717" s="308">
        <f t="shared" si="64"/>
        <v>24</v>
      </c>
      <c r="W717" s="308">
        <v>1.82</v>
      </c>
      <c r="X717" s="308">
        <f t="shared" si="65"/>
        <v>43.68</v>
      </c>
      <c r="Y717" s="322" t="s">
        <v>74</v>
      </c>
      <c r="Z717" s="575"/>
      <c r="AA717" s="567"/>
    </row>
    <row r="718" spans="1:27" s="318" customFormat="1" ht="15" customHeight="1" outlineLevel="1">
      <c r="A718" s="282">
        <v>714</v>
      </c>
      <c r="B718" s="282" t="s">
        <v>1</v>
      </c>
      <c r="C718" s="312" t="s">
        <v>978</v>
      </c>
      <c r="D718" s="313" t="s">
        <v>979</v>
      </c>
      <c r="E718" s="314" t="s">
        <v>978</v>
      </c>
      <c r="F718" s="553" t="str">
        <f t="shared" si="63"/>
        <v>REALFreqüencímetro gitital de bancada , 1GHz de 8 dígitos</v>
      </c>
      <c r="G718" s="609">
        <f>Y718</f>
        <v>0</v>
      </c>
      <c r="H718" s="315" t="s">
        <v>247</v>
      </c>
      <c r="I718" s="323">
        <v>0</v>
      </c>
      <c r="J718" s="323">
        <v>0</v>
      </c>
      <c r="K718" s="323">
        <v>0</v>
      </c>
      <c r="L718" s="323">
        <v>0</v>
      </c>
      <c r="M718" s="323"/>
      <c r="N718" s="323"/>
      <c r="O718" s="323"/>
      <c r="P718" s="323"/>
      <c r="Q718" s="323"/>
      <c r="R718" s="323"/>
      <c r="S718" s="323"/>
      <c r="T718" s="323"/>
      <c r="U718" s="323"/>
      <c r="V718" s="316">
        <f t="shared" si="64"/>
        <v>0</v>
      </c>
      <c r="W718" s="316">
        <v>1.82</v>
      </c>
      <c r="X718" s="316">
        <f t="shared" si="65"/>
        <v>0</v>
      </c>
      <c r="Y718" s="322">
        <f>X718/X717</f>
        <v>0</v>
      </c>
      <c r="Z718" s="572"/>
      <c r="AA718" s="567"/>
    </row>
    <row r="719" spans="1:27" s="311" customFormat="1" ht="15" customHeight="1" outlineLevel="1">
      <c r="A719" s="273">
        <v>715</v>
      </c>
      <c r="B719" s="273" t="s">
        <v>0</v>
      </c>
      <c r="C719" s="305" t="s">
        <v>980</v>
      </c>
      <c r="D719" s="306" t="s">
        <v>981</v>
      </c>
      <c r="E719" s="307" t="s">
        <v>980</v>
      </c>
      <c r="F719" s="553" t="str">
        <f t="shared" si="63"/>
        <v>PREVMedidor de distância, laser, amplitude de medição 1mm a 80m</v>
      </c>
      <c r="G719" s="611" t="s">
        <v>74</v>
      </c>
      <c r="H719" s="307" t="s">
        <v>247</v>
      </c>
      <c r="I719" s="321">
        <v>1.6</v>
      </c>
      <c r="J719" s="321">
        <v>2</v>
      </c>
      <c r="K719" s="321">
        <v>2</v>
      </c>
      <c r="L719" s="321">
        <v>2</v>
      </c>
      <c r="M719" s="321">
        <v>2</v>
      </c>
      <c r="N719" s="321">
        <v>2</v>
      </c>
      <c r="O719" s="321">
        <v>2</v>
      </c>
      <c r="P719" s="321">
        <v>2</v>
      </c>
      <c r="Q719" s="321">
        <v>2</v>
      </c>
      <c r="R719" s="321">
        <v>2</v>
      </c>
      <c r="S719" s="321">
        <v>2</v>
      </c>
      <c r="T719" s="321">
        <v>2</v>
      </c>
      <c r="U719" s="321">
        <v>0.4</v>
      </c>
      <c r="V719" s="308">
        <f t="shared" si="64"/>
        <v>24</v>
      </c>
      <c r="W719" s="308">
        <v>1.69</v>
      </c>
      <c r="X719" s="308">
        <f t="shared" si="65"/>
        <v>40.56</v>
      </c>
      <c r="Y719" s="322" t="s">
        <v>74</v>
      </c>
      <c r="Z719" s="575"/>
      <c r="AA719" s="567"/>
    </row>
    <row r="720" spans="1:27" s="318" customFormat="1" ht="15" customHeight="1" outlineLevel="1">
      <c r="A720" s="282">
        <v>716</v>
      </c>
      <c r="B720" s="282" t="s">
        <v>1</v>
      </c>
      <c r="C720" s="312" t="s">
        <v>980</v>
      </c>
      <c r="D720" s="313" t="s">
        <v>981</v>
      </c>
      <c r="E720" s="314" t="s">
        <v>980</v>
      </c>
      <c r="F720" s="553" t="str">
        <f t="shared" si="63"/>
        <v>REALMedidor de distância, laser, amplitude de medição 1mm a 80m</v>
      </c>
      <c r="G720" s="609">
        <f>Y720</f>
        <v>0.24166666666666664</v>
      </c>
      <c r="H720" s="315" t="s">
        <v>247</v>
      </c>
      <c r="I720" s="323">
        <v>0.79999999999999993</v>
      </c>
      <c r="J720" s="323">
        <v>1</v>
      </c>
      <c r="K720" s="323">
        <v>2</v>
      </c>
      <c r="L720" s="323">
        <v>2</v>
      </c>
      <c r="M720" s="323"/>
      <c r="N720" s="323"/>
      <c r="O720" s="323"/>
      <c r="P720" s="323"/>
      <c r="Q720" s="323"/>
      <c r="R720" s="323"/>
      <c r="S720" s="323"/>
      <c r="T720" s="323"/>
      <c r="U720" s="323"/>
      <c r="V720" s="316">
        <f t="shared" si="64"/>
        <v>5.8</v>
      </c>
      <c r="W720" s="316">
        <v>1.69</v>
      </c>
      <c r="X720" s="316">
        <f t="shared" si="65"/>
        <v>9.8019999999999996</v>
      </c>
      <c r="Y720" s="322">
        <f>X720/X719</f>
        <v>0.24166666666666664</v>
      </c>
      <c r="Z720" s="572"/>
      <c r="AA720" s="567"/>
    </row>
    <row r="721" spans="1:27" s="311" customFormat="1" ht="15" customHeight="1" outlineLevel="1">
      <c r="A721" s="273">
        <v>717</v>
      </c>
      <c r="B721" s="273" t="s">
        <v>0</v>
      </c>
      <c r="C721" s="305" t="s">
        <v>982</v>
      </c>
      <c r="D721" s="306" t="s">
        <v>983</v>
      </c>
      <c r="E721" s="307" t="s">
        <v>982</v>
      </c>
      <c r="F721" s="553" t="str">
        <f t="shared" si="63"/>
        <v>PREVMedidor de resistência de aterramento e resistividade do solo (Faixa de medição de 0,02Ω a 300KΩ; Alcance de até 2 K Ω) com 02 pinças</v>
      </c>
      <c r="G721" s="611" t="s">
        <v>74</v>
      </c>
      <c r="H721" s="307" t="s">
        <v>247</v>
      </c>
      <c r="I721" s="321">
        <v>1.6</v>
      </c>
      <c r="J721" s="321">
        <v>2</v>
      </c>
      <c r="K721" s="321">
        <v>2</v>
      </c>
      <c r="L721" s="321">
        <v>2</v>
      </c>
      <c r="M721" s="321">
        <v>2</v>
      </c>
      <c r="N721" s="321">
        <v>2</v>
      </c>
      <c r="O721" s="321">
        <v>2</v>
      </c>
      <c r="P721" s="321">
        <v>2</v>
      </c>
      <c r="Q721" s="321">
        <v>2</v>
      </c>
      <c r="R721" s="321">
        <v>2</v>
      </c>
      <c r="S721" s="321">
        <v>2</v>
      </c>
      <c r="T721" s="321">
        <v>2</v>
      </c>
      <c r="U721" s="321">
        <v>0.4</v>
      </c>
      <c r="V721" s="308">
        <f t="shared" si="64"/>
        <v>24</v>
      </c>
      <c r="W721" s="308">
        <v>6.66</v>
      </c>
      <c r="X721" s="308">
        <f t="shared" si="65"/>
        <v>159.84</v>
      </c>
      <c r="Y721" s="322" t="s">
        <v>74</v>
      </c>
      <c r="Z721" s="575"/>
      <c r="AA721" s="567"/>
    </row>
    <row r="722" spans="1:27" s="318" customFormat="1" ht="15" customHeight="1" outlineLevel="1">
      <c r="A722" s="282">
        <v>718</v>
      </c>
      <c r="B722" s="282" t="s">
        <v>1</v>
      </c>
      <c r="C722" s="312" t="s">
        <v>982</v>
      </c>
      <c r="D722" s="313" t="s">
        <v>983</v>
      </c>
      <c r="E722" s="314" t="s">
        <v>982</v>
      </c>
      <c r="F722" s="553" t="str">
        <f t="shared" si="63"/>
        <v>REALMedidor de resistência de aterramento e resistividade do solo (Faixa de medição de 0,02Ω a 300KΩ; Alcance de até 2 K Ω) com 02 pinças</v>
      </c>
      <c r="G722" s="609">
        <f>Y722</f>
        <v>0.24166666666666667</v>
      </c>
      <c r="H722" s="315" t="s">
        <v>247</v>
      </c>
      <c r="I722" s="323">
        <v>0.8</v>
      </c>
      <c r="J722" s="323">
        <v>1</v>
      </c>
      <c r="K722" s="323">
        <v>2</v>
      </c>
      <c r="L722" s="323">
        <v>2</v>
      </c>
      <c r="M722" s="323"/>
      <c r="N722" s="323"/>
      <c r="O722" s="323"/>
      <c r="P722" s="323"/>
      <c r="Q722" s="323"/>
      <c r="R722" s="323"/>
      <c r="S722" s="323"/>
      <c r="T722" s="323"/>
      <c r="U722" s="323"/>
      <c r="V722" s="316">
        <f t="shared" si="64"/>
        <v>5.8</v>
      </c>
      <c r="W722" s="316">
        <v>6.66</v>
      </c>
      <c r="X722" s="316">
        <f t="shared" si="65"/>
        <v>38.628</v>
      </c>
      <c r="Y722" s="322">
        <f>X722/X721</f>
        <v>0.24166666666666667</v>
      </c>
      <c r="Z722" s="572"/>
      <c r="AA722" s="567"/>
    </row>
    <row r="723" spans="1:27" s="311" customFormat="1" ht="15" customHeight="1" outlineLevel="1">
      <c r="A723" s="273">
        <v>719</v>
      </c>
      <c r="B723" s="273" t="s">
        <v>0</v>
      </c>
      <c r="C723" s="305" t="s">
        <v>984</v>
      </c>
      <c r="D723" s="306" t="s">
        <v>985</v>
      </c>
      <c r="E723" s="307" t="s">
        <v>984</v>
      </c>
      <c r="F723" s="553" t="str">
        <f t="shared" si="63"/>
        <v>PREVMedidor de vazão portátil tipo Clamp‐on</v>
      </c>
      <c r="G723" s="611" t="s">
        <v>74</v>
      </c>
      <c r="H723" s="307" t="s">
        <v>247</v>
      </c>
      <c r="I723" s="321">
        <v>1.6</v>
      </c>
      <c r="J723" s="321">
        <v>2</v>
      </c>
      <c r="K723" s="321">
        <v>2</v>
      </c>
      <c r="L723" s="321">
        <v>2</v>
      </c>
      <c r="M723" s="321">
        <v>2</v>
      </c>
      <c r="N723" s="321">
        <v>2</v>
      </c>
      <c r="O723" s="321">
        <v>2</v>
      </c>
      <c r="P723" s="321">
        <v>2</v>
      </c>
      <c r="Q723" s="321">
        <v>2</v>
      </c>
      <c r="R723" s="321">
        <v>2</v>
      </c>
      <c r="S723" s="321">
        <v>2</v>
      </c>
      <c r="T723" s="321">
        <v>2</v>
      </c>
      <c r="U723" s="321">
        <v>0.4</v>
      </c>
      <c r="V723" s="308">
        <f t="shared" si="64"/>
        <v>24</v>
      </c>
      <c r="W723" s="308">
        <v>30.79</v>
      </c>
      <c r="X723" s="308">
        <f t="shared" si="65"/>
        <v>738.96</v>
      </c>
      <c r="Y723" s="322" t="s">
        <v>74</v>
      </c>
      <c r="Z723" s="575"/>
      <c r="AA723" s="567"/>
    </row>
    <row r="724" spans="1:27" s="318" customFormat="1" ht="15" customHeight="1" outlineLevel="1">
      <c r="A724" s="282">
        <v>720</v>
      </c>
      <c r="B724" s="282" t="s">
        <v>1</v>
      </c>
      <c r="C724" s="312" t="s">
        <v>984</v>
      </c>
      <c r="D724" s="313" t="s">
        <v>985</v>
      </c>
      <c r="E724" s="314" t="s">
        <v>984</v>
      </c>
      <c r="F724" s="553" t="str">
        <f t="shared" si="63"/>
        <v>REALMedidor de vazão portátil tipo Clamp‐on</v>
      </c>
      <c r="G724" s="609">
        <f>Y724</f>
        <v>0</v>
      </c>
      <c r="H724" s="315" t="s">
        <v>247</v>
      </c>
      <c r="I724" s="323">
        <v>0</v>
      </c>
      <c r="J724" s="323">
        <v>0</v>
      </c>
      <c r="K724" s="323">
        <v>0</v>
      </c>
      <c r="L724" s="323">
        <v>0</v>
      </c>
      <c r="M724" s="323"/>
      <c r="N724" s="323"/>
      <c r="O724" s="323"/>
      <c r="P724" s="323"/>
      <c r="Q724" s="323"/>
      <c r="R724" s="323"/>
      <c r="S724" s="323"/>
      <c r="T724" s="323"/>
      <c r="U724" s="323"/>
      <c r="V724" s="316">
        <f t="shared" si="64"/>
        <v>0</v>
      </c>
      <c r="W724" s="316">
        <v>30.79</v>
      </c>
      <c r="X724" s="316">
        <f t="shared" si="65"/>
        <v>0</v>
      </c>
      <c r="Y724" s="322">
        <f>X724/X723</f>
        <v>0</v>
      </c>
      <c r="Z724" s="572"/>
      <c r="AA724" s="567"/>
    </row>
    <row r="725" spans="1:27" s="311" customFormat="1" ht="15" customHeight="1" outlineLevel="1">
      <c r="A725" s="273">
        <v>721</v>
      </c>
      <c r="B725" s="273" t="s">
        <v>0</v>
      </c>
      <c r="C725" s="305" t="s">
        <v>986</v>
      </c>
      <c r="D725" s="306" t="s">
        <v>987</v>
      </c>
      <c r="E725" s="307" t="s">
        <v>986</v>
      </c>
      <c r="F725" s="553" t="str">
        <f t="shared" si="63"/>
        <v>PREVMegôhmetro digital de 5 kV, alcance de até 1 TΩ, Interface USB, IP54</v>
      </c>
      <c r="G725" s="611" t="s">
        <v>74</v>
      </c>
      <c r="H725" s="307" t="s">
        <v>247</v>
      </c>
      <c r="I725" s="321">
        <v>2.4000000000000004</v>
      </c>
      <c r="J725" s="321">
        <v>3</v>
      </c>
      <c r="K725" s="321">
        <v>3</v>
      </c>
      <c r="L725" s="321">
        <v>3</v>
      </c>
      <c r="M725" s="321">
        <v>3</v>
      </c>
      <c r="N725" s="321">
        <v>3</v>
      </c>
      <c r="O725" s="321">
        <v>3</v>
      </c>
      <c r="P725" s="321">
        <v>3</v>
      </c>
      <c r="Q725" s="321">
        <v>3</v>
      </c>
      <c r="R725" s="321">
        <v>3</v>
      </c>
      <c r="S725" s="321">
        <v>3</v>
      </c>
      <c r="T725" s="321">
        <v>3</v>
      </c>
      <c r="U725" s="321">
        <v>0.60000000000000009</v>
      </c>
      <c r="V725" s="308">
        <f t="shared" si="64"/>
        <v>36</v>
      </c>
      <c r="W725" s="308">
        <v>4.7699999999999996</v>
      </c>
      <c r="X725" s="308">
        <f t="shared" si="65"/>
        <v>171.71999999999997</v>
      </c>
      <c r="Y725" s="322" t="s">
        <v>74</v>
      </c>
      <c r="Z725" s="575"/>
      <c r="AA725" s="567"/>
    </row>
    <row r="726" spans="1:27" s="318" customFormat="1" ht="15" customHeight="1" outlineLevel="1">
      <c r="A726" s="282">
        <v>722</v>
      </c>
      <c r="B726" s="282" t="s">
        <v>1</v>
      </c>
      <c r="C726" s="312" t="s">
        <v>986</v>
      </c>
      <c r="D726" s="313" t="s">
        <v>987</v>
      </c>
      <c r="E726" s="314">
        <v>40246</v>
      </c>
      <c r="F726" s="553" t="str">
        <f t="shared" si="63"/>
        <v>REALMegôhmetro digital de 5 kV, alcance de até 1 TΩ, Interface USB, IP54</v>
      </c>
      <c r="G726" s="609">
        <f>Y726</f>
        <v>0.31666666666666671</v>
      </c>
      <c r="H726" s="315" t="s">
        <v>247</v>
      </c>
      <c r="I726" s="323">
        <v>2.4</v>
      </c>
      <c r="J726" s="323">
        <v>3</v>
      </c>
      <c r="K726" s="323">
        <v>3</v>
      </c>
      <c r="L726" s="323">
        <v>3</v>
      </c>
      <c r="M726" s="323"/>
      <c r="N726" s="323"/>
      <c r="O726" s="323"/>
      <c r="P726" s="323"/>
      <c r="Q726" s="323"/>
      <c r="R726" s="323"/>
      <c r="S726" s="323"/>
      <c r="T726" s="323"/>
      <c r="U726" s="323"/>
      <c r="V726" s="316">
        <f t="shared" si="64"/>
        <v>11.4</v>
      </c>
      <c r="W726" s="316">
        <v>4.7699999999999996</v>
      </c>
      <c r="X726" s="316">
        <f t="shared" si="65"/>
        <v>54.378</v>
      </c>
      <c r="Y726" s="322">
        <f>X726/X725</f>
        <v>0.31666666666666671</v>
      </c>
      <c r="Z726" s="572"/>
      <c r="AA726" s="567"/>
    </row>
    <row r="727" spans="1:27" s="311" customFormat="1" ht="15" customHeight="1" outlineLevel="1">
      <c r="A727" s="273">
        <v>723</v>
      </c>
      <c r="B727" s="273" t="s">
        <v>0</v>
      </c>
      <c r="C727" s="305" t="s">
        <v>988</v>
      </c>
      <c r="D727" s="306" t="s">
        <v>989</v>
      </c>
      <c r="E727" s="307" t="s">
        <v>988</v>
      </c>
      <c r="F727" s="553" t="str">
        <f t="shared" si="63"/>
        <v>PREVMultímetro digital, tensão DC/AC 50,000 mV a 1000V, 0,4% (True/RMS), frequencia 99,999Hz a 999,99KHz "FLUKE‐87‐V" com pontas prova TWIST GUARD</v>
      </c>
      <c r="G727" s="611" t="s">
        <v>74</v>
      </c>
      <c r="H727" s="307" t="s">
        <v>247</v>
      </c>
      <c r="I727" s="321">
        <v>7.2</v>
      </c>
      <c r="J727" s="321">
        <v>9</v>
      </c>
      <c r="K727" s="321">
        <v>9</v>
      </c>
      <c r="L727" s="321">
        <v>9</v>
      </c>
      <c r="M727" s="321">
        <v>9</v>
      </c>
      <c r="N727" s="321">
        <v>9</v>
      </c>
      <c r="O727" s="321">
        <v>9</v>
      </c>
      <c r="P727" s="321">
        <v>9</v>
      </c>
      <c r="Q727" s="321">
        <v>9</v>
      </c>
      <c r="R727" s="321">
        <v>9</v>
      </c>
      <c r="S727" s="321">
        <v>9</v>
      </c>
      <c r="T727" s="321">
        <v>9</v>
      </c>
      <c r="U727" s="321">
        <v>1.8</v>
      </c>
      <c r="V727" s="308">
        <f t="shared" si="64"/>
        <v>108</v>
      </c>
      <c r="W727" s="308">
        <v>5.0999999999999996</v>
      </c>
      <c r="X727" s="308">
        <f t="shared" si="65"/>
        <v>550.79999999999995</v>
      </c>
      <c r="Y727" s="322" t="s">
        <v>74</v>
      </c>
      <c r="Z727" s="575"/>
      <c r="AA727" s="567"/>
    </row>
    <row r="728" spans="1:27" s="318" customFormat="1" ht="15" customHeight="1" outlineLevel="1">
      <c r="A728" s="282">
        <v>724</v>
      </c>
      <c r="B728" s="282" t="s">
        <v>1</v>
      </c>
      <c r="C728" s="312" t="s">
        <v>988</v>
      </c>
      <c r="D728" s="313" t="s">
        <v>989</v>
      </c>
      <c r="E728" s="314">
        <v>40611</v>
      </c>
      <c r="F728" s="553" t="str">
        <f t="shared" si="63"/>
        <v>REALMultímetro digital, tensão DC/AC 50,000 mV a 1000V, 0,4% (True/RMS), frequencia 99,999Hz a 999,99KHz "FLUKE‐87‐V" com pontas prova TWIST GUARD</v>
      </c>
      <c r="G728" s="609">
        <f>Y728</f>
        <v>0.31666666666666671</v>
      </c>
      <c r="H728" s="315" t="s">
        <v>247</v>
      </c>
      <c r="I728" s="323">
        <v>7.2</v>
      </c>
      <c r="J728" s="323">
        <v>9</v>
      </c>
      <c r="K728" s="323">
        <v>9</v>
      </c>
      <c r="L728" s="323">
        <v>9</v>
      </c>
      <c r="M728" s="323"/>
      <c r="N728" s="323"/>
      <c r="O728" s="323"/>
      <c r="P728" s="323"/>
      <c r="Q728" s="323"/>
      <c r="R728" s="323"/>
      <c r="S728" s="323"/>
      <c r="T728" s="323"/>
      <c r="U728" s="323"/>
      <c r="V728" s="316">
        <f t="shared" si="64"/>
        <v>34.200000000000003</v>
      </c>
      <c r="W728" s="316">
        <v>5.0999999999999996</v>
      </c>
      <c r="X728" s="316">
        <f t="shared" si="65"/>
        <v>174.42000000000002</v>
      </c>
      <c r="Y728" s="322">
        <f>X728/X727</f>
        <v>0.31666666666666671</v>
      </c>
      <c r="Z728" s="572"/>
      <c r="AA728" s="567"/>
    </row>
    <row r="729" spans="1:27" s="311" customFormat="1" ht="15" customHeight="1" outlineLevel="1">
      <c r="A729" s="273">
        <v>725</v>
      </c>
      <c r="B729" s="273" t="s">
        <v>0</v>
      </c>
      <c r="C729" s="305" t="s">
        <v>990</v>
      </c>
      <c r="D729" s="306" t="s">
        <v>991</v>
      </c>
      <c r="E729" s="307" t="s">
        <v>990</v>
      </c>
      <c r="F729" s="553" t="str">
        <f t="shared" si="63"/>
        <v>PREVMultímetro digital para teste de equipotencialização (medições de baixas resistências), 100V, 10A, 0,1 Ω a 50 Ω</v>
      </c>
      <c r="G729" s="611" t="s">
        <v>74</v>
      </c>
      <c r="H729" s="307" t="s">
        <v>247</v>
      </c>
      <c r="I729" s="321">
        <v>7.2</v>
      </c>
      <c r="J729" s="321">
        <v>9</v>
      </c>
      <c r="K729" s="321">
        <v>9</v>
      </c>
      <c r="L729" s="321">
        <v>9</v>
      </c>
      <c r="M729" s="321">
        <v>9</v>
      </c>
      <c r="N729" s="321">
        <v>9</v>
      </c>
      <c r="O729" s="321">
        <v>9</v>
      </c>
      <c r="P729" s="321">
        <v>9</v>
      </c>
      <c r="Q729" s="321">
        <v>9</v>
      </c>
      <c r="R729" s="321">
        <v>9</v>
      </c>
      <c r="S729" s="321">
        <v>9</v>
      </c>
      <c r="T729" s="321">
        <v>9</v>
      </c>
      <c r="U729" s="321">
        <v>1.8</v>
      </c>
      <c r="V729" s="308">
        <f t="shared" si="64"/>
        <v>108</v>
      </c>
      <c r="W729" s="308">
        <v>20.6</v>
      </c>
      <c r="X729" s="308">
        <f t="shared" si="65"/>
        <v>2224.8000000000002</v>
      </c>
      <c r="Y729" s="322" t="s">
        <v>74</v>
      </c>
      <c r="Z729" s="575"/>
      <c r="AA729" s="567"/>
    </row>
    <row r="730" spans="1:27" s="318" customFormat="1" ht="15" customHeight="1" outlineLevel="1">
      <c r="A730" s="282">
        <v>726</v>
      </c>
      <c r="B730" s="282" t="s">
        <v>1</v>
      </c>
      <c r="C730" s="312" t="s">
        <v>990</v>
      </c>
      <c r="D730" s="313" t="s">
        <v>991</v>
      </c>
      <c r="E730" s="314">
        <v>40977</v>
      </c>
      <c r="F730" s="553" t="str">
        <f t="shared" si="63"/>
        <v>REALMultímetro digital para teste de equipotencialização (medições de baixas resistências), 100V, 10A, 0,1 Ω a 50 Ω</v>
      </c>
      <c r="G730" s="609">
        <f>Y730</f>
        <v>0.31666666666666671</v>
      </c>
      <c r="H730" s="315" t="s">
        <v>247</v>
      </c>
      <c r="I730" s="323">
        <v>7.200000000000002</v>
      </c>
      <c r="J730" s="323">
        <v>9</v>
      </c>
      <c r="K730" s="323">
        <v>9</v>
      </c>
      <c r="L730" s="323">
        <v>9</v>
      </c>
      <c r="M730" s="323"/>
      <c r="N730" s="323"/>
      <c r="O730" s="323"/>
      <c r="P730" s="323"/>
      <c r="Q730" s="323"/>
      <c r="R730" s="323"/>
      <c r="S730" s="323"/>
      <c r="T730" s="323"/>
      <c r="U730" s="323"/>
      <c r="V730" s="316">
        <f t="shared" si="64"/>
        <v>34.200000000000003</v>
      </c>
      <c r="W730" s="316">
        <v>20.6</v>
      </c>
      <c r="X730" s="316">
        <f t="shared" si="65"/>
        <v>704.5200000000001</v>
      </c>
      <c r="Y730" s="322">
        <f>X730/X729</f>
        <v>0.31666666666666671</v>
      </c>
      <c r="Z730" s="572"/>
      <c r="AA730" s="567"/>
    </row>
    <row r="731" spans="1:27" s="311" customFormat="1" ht="15" customHeight="1" outlineLevel="1">
      <c r="A731" s="273">
        <v>727</v>
      </c>
      <c r="B731" s="273" t="s">
        <v>0</v>
      </c>
      <c r="C731" s="305" t="s">
        <v>992</v>
      </c>
      <c r="D731" s="306" t="s">
        <v>993</v>
      </c>
      <c r="E731" s="307" t="s">
        <v>992</v>
      </c>
      <c r="F731" s="553" t="str">
        <f t="shared" si="63"/>
        <v>PREVOsciloscópio portátil com frequência de trabalho de 100Mhz, LCD Colorido 7”, CAT II 600V</v>
      </c>
      <c r="G731" s="611" t="s">
        <v>74</v>
      </c>
      <c r="H731" s="307" t="s">
        <v>247</v>
      </c>
      <c r="I731" s="321">
        <v>1.6</v>
      </c>
      <c r="J731" s="321">
        <v>2</v>
      </c>
      <c r="K731" s="321">
        <v>2</v>
      </c>
      <c r="L731" s="321">
        <v>2</v>
      </c>
      <c r="M731" s="321">
        <v>2</v>
      </c>
      <c r="N731" s="321">
        <v>2</v>
      </c>
      <c r="O731" s="321">
        <v>2</v>
      </c>
      <c r="P731" s="321">
        <v>2</v>
      </c>
      <c r="Q731" s="321">
        <v>2</v>
      </c>
      <c r="R731" s="321">
        <v>2</v>
      </c>
      <c r="S731" s="321">
        <v>2</v>
      </c>
      <c r="T731" s="321">
        <v>2</v>
      </c>
      <c r="U731" s="321">
        <v>0.4</v>
      </c>
      <c r="V731" s="308">
        <f t="shared" si="64"/>
        <v>24</v>
      </c>
      <c r="W731" s="308">
        <v>40.82</v>
      </c>
      <c r="X731" s="308">
        <f t="shared" si="65"/>
        <v>979.68000000000006</v>
      </c>
      <c r="Y731" s="322" t="s">
        <v>74</v>
      </c>
      <c r="Z731" s="575"/>
      <c r="AA731" s="567"/>
    </row>
    <row r="732" spans="1:27" s="318" customFormat="1" ht="15" customHeight="1" outlineLevel="1">
      <c r="A732" s="282">
        <v>728</v>
      </c>
      <c r="B732" s="282" t="s">
        <v>1</v>
      </c>
      <c r="C732" s="312" t="s">
        <v>992</v>
      </c>
      <c r="D732" s="313" t="s">
        <v>993</v>
      </c>
      <c r="E732" s="314">
        <v>41342</v>
      </c>
      <c r="F732" s="553" t="str">
        <f t="shared" si="63"/>
        <v>REALOsciloscópio portátil com frequência de trabalho de 100Mhz, LCD Colorido 7”, CAT II 600V</v>
      </c>
      <c r="G732" s="609">
        <f>Y732</f>
        <v>0.3166666666666666</v>
      </c>
      <c r="H732" s="315" t="s">
        <v>247</v>
      </c>
      <c r="I732" s="323">
        <v>1.5999999999999999</v>
      </c>
      <c r="J732" s="323">
        <v>2</v>
      </c>
      <c r="K732" s="323">
        <v>2</v>
      </c>
      <c r="L732" s="323">
        <v>2</v>
      </c>
      <c r="M732" s="323"/>
      <c r="N732" s="323"/>
      <c r="O732" s="323"/>
      <c r="P732" s="323"/>
      <c r="Q732" s="323"/>
      <c r="R732" s="323"/>
      <c r="S732" s="323"/>
      <c r="T732" s="323"/>
      <c r="U732" s="323"/>
      <c r="V732" s="316">
        <f t="shared" si="64"/>
        <v>7.6</v>
      </c>
      <c r="W732" s="316">
        <v>40.82</v>
      </c>
      <c r="X732" s="316">
        <f t="shared" si="65"/>
        <v>310.23199999999997</v>
      </c>
      <c r="Y732" s="322">
        <f>X732/X731</f>
        <v>0.3166666666666666</v>
      </c>
      <c r="Z732" s="572"/>
      <c r="AA732" s="567"/>
    </row>
    <row r="733" spans="1:27" s="311" customFormat="1" ht="15" customHeight="1" outlineLevel="1">
      <c r="A733" s="273">
        <v>729</v>
      </c>
      <c r="B733" s="273" t="s">
        <v>0</v>
      </c>
      <c r="C733" s="305" t="s">
        <v>994</v>
      </c>
      <c r="D733" s="306" t="s">
        <v>995</v>
      </c>
      <c r="E733" s="307" t="s">
        <v>994</v>
      </c>
      <c r="F733" s="553" t="str">
        <f t="shared" si="63"/>
        <v>PREVPower Meter (Medidor Potência Fibra Óptica) potência 1310 nm, 1490 nm e 1550 nm + Caneta Laser 10w</v>
      </c>
      <c r="G733" s="611" t="s">
        <v>74</v>
      </c>
      <c r="H733" s="307" t="s">
        <v>247</v>
      </c>
      <c r="I733" s="321">
        <v>5.6000000000000005</v>
      </c>
      <c r="J733" s="321">
        <v>7</v>
      </c>
      <c r="K733" s="321">
        <v>7</v>
      </c>
      <c r="L733" s="321">
        <v>7</v>
      </c>
      <c r="M733" s="321">
        <v>7</v>
      </c>
      <c r="N733" s="321">
        <v>7</v>
      </c>
      <c r="O733" s="321">
        <v>7</v>
      </c>
      <c r="P733" s="321">
        <v>7</v>
      </c>
      <c r="Q733" s="321">
        <v>7</v>
      </c>
      <c r="R733" s="321">
        <v>7</v>
      </c>
      <c r="S733" s="321">
        <v>7</v>
      </c>
      <c r="T733" s="321">
        <v>7</v>
      </c>
      <c r="U733" s="321">
        <v>1.4000000000000001</v>
      </c>
      <c r="V733" s="308">
        <f t="shared" si="64"/>
        <v>84</v>
      </c>
      <c r="W733" s="308">
        <v>0.75</v>
      </c>
      <c r="X733" s="308">
        <f t="shared" si="65"/>
        <v>63</v>
      </c>
      <c r="Y733" s="322" t="s">
        <v>74</v>
      </c>
      <c r="Z733" s="575"/>
      <c r="AA733" s="567"/>
    </row>
    <row r="734" spans="1:27" s="318" customFormat="1" ht="15" customHeight="1" outlineLevel="1">
      <c r="A734" s="282">
        <v>730</v>
      </c>
      <c r="B734" s="282" t="s">
        <v>1</v>
      </c>
      <c r="C734" s="312" t="s">
        <v>994</v>
      </c>
      <c r="D734" s="313" t="s">
        <v>995</v>
      </c>
      <c r="E734" s="314" t="s">
        <v>994</v>
      </c>
      <c r="F734" s="553" t="str">
        <f t="shared" si="63"/>
        <v>REALPower Meter (Medidor Potência Fibra Óptica) potência 1310 nm, 1490 nm e 1550 nm + Caneta Laser 10w</v>
      </c>
      <c r="G734" s="609">
        <f>Y734</f>
        <v>0.16666666666666666</v>
      </c>
      <c r="H734" s="315" t="s">
        <v>247</v>
      </c>
      <c r="I734" s="323">
        <v>0</v>
      </c>
      <c r="J734" s="323">
        <v>0</v>
      </c>
      <c r="K734" s="323">
        <v>7</v>
      </c>
      <c r="L734" s="323">
        <v>7</v>
      </c>
      <c r="M734" s="323"/>
      <c r="N734" s="323"/>
      <c r="O734" s="323"/>
      <c r="P734" s="323"/>
      <c r="Q734" s="323"/>
      <c r="R734" s="323"/>
      <c r="S734" s="323"/>
      <c r="T734" s="323"/>
      <c r="U734" s="323"/>
      <c r="V734" s="316">
        <f t="shared" si="64"/>
        <v>14</v>
      </c>
      <c r="W734" s="316">
        <v>0.75</v>
      </c>
      <c r="X734" s="316">
        <f t="shared" si="65"/>
        <v>10.5</v>
      </c>
      <c r="Y734" s="322">
        <f>X734/X733</f>
        <v>0.16666666666666666</v>
      </c>
      <c r="Z734" s="572"/>
      <c r="AA734" s="567"/>
    </row>
    <row r="735" spans="1:27" s="311" customFormat="1" ht="15" customHeight="1" outlineLevel="1">
      <c r="A735" s="273">
        <v>731</v>
      </c>
      <c r="B735" s="273" t="s">
        <v>0</v>
      </c>
      <c r="C735" s="305" t="s">
        <v>996</v>
      </c>
      <c r="D735" s="306" t="s">
        <v>997</v>
      </c>
      <c r="E735" s="307" t="s">
        <v>996</v>
      </c>
      <c r="F735" s="553" t="str">
        <f t="shared" si="63"/>
        <v>PREVTermômetro mira laser escala de ‐30ºC a 500ºc</v>
      </c>
      <c r="G735" s="611" t="s">
        <v>74</v>
      </c>
      <c r="H735" s="307" t="s">
        <v>247</v>
      </c>
      <c r="I735" s="321">
        <v>7.2</v>
      </c>
      <c r="J735" s="321">
        <v>9</v>
      </c>
      <c r="K735" s="321">
        <v>9</v>
      </c>
      <c r="L735" s="321">
        <v>9</v>
      </c>
      <c r="M735" s="321">
        <v>9</v>
      </c>
      <c r="N735" s="321">
        <v>9</v>
      </c>
      <c r="O735" s="321">
        <v>9</v>
      </c>
      <c r="P735" s="321">
        <v>9</v>
      </c>
      <c r="Q735" s="321">
        <v>9</v>
      </c>
      <c r="R735" s="321">
        <v>9</v>
      </c>
      <c r="S735" s="321">
        <v>9</v>
      </c>
      <c r="T735" s="321">
        <v>9</v>
      </c>
      <c r="U735" s="321">
        <v>1.8</v>
      </c>
      <c r="V735" s="308">
        <f t="shared" si="64"/>
        <v>108</v>
      </c>
      <c r="W735" s="308">
        <v>1.03</v>
      </c>
      <c r="X735" s="308">
        <f t="shared" si="65"/>
        <v>111.24000000000001</v>
      </c>
      <c r="Y735" s="322" t="s">
        <v>74</v>
      </c>
      <c r="Z735" s="575"/>
      <c r="AA735" s="567"/>
    </row>
    <row r="736" spans="1:27" s="318" customFormat="1" ht="15" customHeight="1" outlineLevel="1">
      <c r="A736" s="282">
        <v>732</v>
      </c>
      <c r="B736" s="282" t="s">
        <v>1</v>
      </c>
      <c r="C736" s="312" t="s">
        <v>996</v>
      </c>
      <c r="D736" s="313" t="s">
        <v>997</v>
      </c>
      <c r="E736" s="314">
        <v>42072</v>
      </c>
      <c r="F736" s="553" t="str">
        <f t="shared" si="63"/>
        <v>REALTermômetro mira laser escala de ‐30ºC a 500ºc</v>
      </c>
      <c r="G736" s="609">
        <f>Y736</f>
        <v>0.23333333333333331</v>
      </c>
      <c r="H736" s="315" t="s">
        <v>247</v>
      </c>
      <c r="I736" s="323">
        <v>3.2</v>
      </c>
      <c r="J736" s="323">
        <v>4</v>
      </c>
      <c r="K736" s="323">
        <v>9</v>
      </c>
      <c r="L736" s="323">
        <v>9</v>
      </c>
      <c r="M736" s="323"/>
      <c r="N736" s="323"/>
      <c r="O736" s="323"/>
      <c r="P736" s="323"/>
      <c r="Q736" s="323"/>
      <c r="R736" s="323"/>
      <c r="S736" s="323"/>
      <c r="T736" s="323"/>
      <c r="U736" s="323"/>
      <c r="V736" s="316">
        <f t="shared" si="64"/>
        <v>25.2</v>
      </c>
      <c r="W736" s="316">
        <v>1.03</v>
      </c>
      <c r="X736" s="316">
        <f t="shared" si="65"/>
        <v>25.956</v>
      </c>
      <c r="Y736" s="322">
        <f>X736/X735</f>
        <v>0.23333333333333331</v>
      </c>
      <c r="Z736" s="572"/>
      <c r="AA736" s="567"/>
    </row>
    <row r="737" spans="1:27" s="311" customFormat="1" ht="15" customHeight="1" outlineLevel="1">
      <c r="A737" s="273">
        <v>733</v>
      </c>
      <c r="B737" s="273" t="s">
        <v>0</v>
      </c>
      <c r="C737" s="305" t="s">
        <v>998</v>
      </c>
      <c r="D737" s="306" t="s">
        <v>999</v>
      </c>
      <c r="E737" s="307" t="s">
        <v>998</v>
      </c>
      <c r="F737" s="553" t="str">
        <f t="shared" si="63"/>
        <v>PREVTermovisor ‐20ºC a 350ºC, com camera de 5 megapixels, visor LCD de 3,5 polegadas</v>
      </c>
      <c r="G737" s="611" t="s">
        <v>74</v>
      </c>
      <c r="H737" s="307" t="s">
        <v>247</v>
      </c>
      <c r="I737" s="321">
        <v>2.4000000000000004</v>
      </c>
      <c r="J737" s="321">
        <v>3</v>
      </c>
      <c r="K737" s="321">
        <v>3</v>
      </c>
      <c r="L737" s="321">
        <v>3</v>
      </c>
      <c r="M737" s="321">
        <v>3</v>
      </c>
      <c r="N737" s="321">
        <v>3</v>
      </c>
      <c r="O737" s="321">
        <v>3</v>
      </c>
      <c r="P737" s="321">
        <v>3</v>
      </c>
      <c r="Q737" s="321">
        <v>3</v>
      </c>
      <c r="R737" s="321">
        <v>3</v>
      </c>
      <c r="S737" s="321">
        <v>3</v>
      </c>
      <c r="T737" s="321">
        <v>3</v>
      </c>
      <c r="U737" s="321">
        <v>0.60000000000000009</v>
      </c>
      <c r="V737" s="308">
        <f t="shared" si="64"/>
        <v>36</v>
      </c>
      <c r="W737" s="308">
        <v>7.01</v>
      </c>
      <c r="X737" s="308">
        <f t="shared" si="65"/>
        <v>252.35999999999999</v>
      </c>
      <c r="Y737" s="322" t="s">
        <v>74</v>
      </c>
      <c r="Z737" s="575"/>
      <c r="AA737" s="567"/>
    </row>
    <row r="738" spans="1:27" s="318" customFormat="1" ht="15" customHeight="1" outlineLevel="1">
      <c r="A738" s="282">
        <v>734</v>
      </c>
      <c r="B738" s="282" t="s">
        <v>1</v>
      </c>
      <c r="C738" s="312" t="s">
        <v>998</v>
      </c>
      <c r="D738" s="313" t="s">
        <v>999</v>
      </c>
      <c r="E738" s="314">
        <v>42438</v>
      </c>
      <c r="F738" s="553" t="str">
        <f t="shared" si="63"/>
        <v>REALTermovisor ‐20ºC a 350ºC, com camera de 5 megapixels, visor LCD de 3,5 polegadas</v>
      </c>
      <c r="G738" s="609">
        <f>Y738</f>
        <v>0.21666666666666667</v>
      </c>
      <c r="H738" s="315" t="s">
        <v>247</v>
      </c>
      <c r="I738" s="323">
        <v>0.79999999999999993</v>
      </c>
      <c r="J738" s="323">
        <v>1</v>
      </c>
      <c r="K738" s="323">
        <v>3</v>
      </c>
      <c r="L738" s="323">
        <v>3</v>
      </c>
      <c r="M738" s="323"/>
      <c r="N738" s="323"/>
      <c r="O738" s="323"/>
      <c r="P738" s="323"/>
      <c r="Q738" s="323"/>
      <c r="R738" s="323"/>
      <c r="S738" s="323"/>
      <c r="T738" s="323"/>
      <c r="U738" s="323"/>
      <c r="V738" s="316">
        <f t="shared" si="64"/>
        <v>7.8</v>
      </c>
      <c r="W738" s="316">
        <v>7.01</v>
      </c>
      <c r="X738" s="316">
        <f t="shared" si="65"/>
        <v>54.677999999999997</v>
      </c>
      <c r="Y738" s="322">
        <f>X738/X737</f>
        <v>0.21666666666666667</v>
      </c>
      <c r="Z738" s="572"/>
      <c r="AA738" s="567"/>
    </row>
    <row r="739" spans="1:27" s="311" customFormat="1" ht="15" customHeight="1" outlineLevel="1">
      <c r="A739" s="273">
        <v>735</v>
      </c>
      <c r="B739" s="273" t="s">
        <v>0</v>
      </c>
      <c r="C739" s="305" t="s">
        <v>1000</v>
      </c>
      <c r="D739" s="306" t="s">
        <v>1001</v>
      </c>
      <c r="E739" s="307" t="s">
        <v>1000</v>
      </c>
      <c r="F739" s="553" t="str">
        <f t="shared" si="63"/>
        <v>PREVTestador de cabos RJ45 / 11, frequencia 200kHz, display LCD 3 ½ digitos, 600V</v>
      </c>
      <c r="G739" s="611" t="s">
        <v>74</v>
      </c>
      <c r="H739" s="307" t="s">
        <v>247</v>
      </c>
      <c r="I739" s="321">
        <v>5.6000000000000005</v>
      </c>
      <c r="J739" s="321">
        <v>7</v>
      </c>
      <c r="K739" s="321">
        <v>7</v>
      </c>
      <c r="L739" s="321">
        <v>7</v>
      </c>
      <c r="M739" s="321">
        <v>7</v>
      </c>
      <c r="N739" s="321">
        <v>7</v>
      </c>
      <c r="O739" s="321">
        <v>7</v>
      </c>
      <c r="P739" s="321">
        <v>7</v>
      </c>
      <c r="Q739" s="321">
        <v>7</v>
      </c>
      <c r="R739" s="321">
        <v>7</v>
      </c>
      <c r="S739" s="321">
        <v>7</v>
      </c>
      <c r="T739" s="321">
        <v>7</v>
      </c>
      <c r="U739" s="321">
        <v>1.4000000000000001</v>
      </c>
      <c r="V739" s="308">
        <f t="shared" si="64"/>
        <v>84</v>
      </c>
      <c r="W739" s="308">
        <v>0.66</v>
      </c>
      <c r="X739" s="308">
        <f t="shared" si="65"/>
        <v>55.440000000000005</v>
      </c>
      <c r="Y739" s="322" t="s">
        <v>74</v>
      </c>
      <c r="Z739" s="575"/>
      <c r="AA739" s="567"/>
    </row>
    <row r="740" spans="1:27" s="318" customFormat="1" ht="15" customHeight="1" outlineLevel="1">
      <c r="A740" s="282">
        <v>736</v>
      </c>
      <c r="B740" s="282" t="s">
        <v>1</v>
      </c>
      <c r="C740" s="312" t="s">
        <v>1000</v>
      </c>
      <c r="D740" s="313" t="s">
        <v>1001</v>
      </c>
      <c r="E740" s="314">
        <v>42803</v>
      </c>
      <c r="F740" s="553" t="str">
        <f t="shared" si="63"/>
        <v>REALTestador de cabos RJ45 / 11, frequencia 200kHz, display LCD 3 ½ digitos, 600V</v>
      </c>
      <c r="G740" s="609">
        <f>Y740</f>
        <v>0.18809523809523809</v>
      </c>
      <c r="H740" s="315" t="s">
        <v>247</v>
      </c>
      <c r="I740" s="323">
        <v>0.8</v>
      </c>
      <c r="J740" s="323">
        <v>1</v>
      </c>
      <c r="K740" s="323">
        <v>7</v>
      </c>
      <c r="L740" s="323">
        <v>7</v>
      </c>
      <c r="M740" s="323"/>
      <c r="N740" s="323"/>
      <c r="O740" s="323"/>
      <c r="P740" s="323"/>
      <c r="Q740" s="323"/>
      <c r="R740" s="323"/>
      <c r="S740" s="323"/>
      <c r="T740" s="323"/>
      <c r="U740" s="323"/>
      <c r="V740" s="316">
        <f t="shared" si="64"/>
        <v>15.8</v>
      </c>
      <c r="W740" s="316">
        <v>0.66</v>
      </c>
      <c r="X740" s="316">
        <f t="shared" si="65"/>
        <v>10.428000000000001</v>
      </c>
      <c r="Y740" s="322">
        <f>X740/X739</f>
        <v>0.18809523809523809</v>
      </c>
      <c r="Z740" s="572"/>
      <c r="AA740" s="567"/>
    </row>
    <row r="741" spans="1:27" s="311" customFormat="1" ht="15" customHeight="1" outlineLevel="1">
      <c r="A741" s="273">
        <v>737</v>
      </c>
      <c r="B741" s="273" t="s">
        <v>0</v>
      </c>
      <c r="C741" s="305" t="s">
        <v>1002</v>
      </c>
      <c r="D741" s="663" t="s">
        <v>1003</v>
      </c>
      <c r="E741" s="307" t="s">
        <v>1002</v>
      </c>
      <c r="F741" s="553" t="str">
        <f t="shared" si="63"/>
        <v>PREVVerificador elétrico de tensão 1000V, sem contato com cabo (mod. T6‐1000 Fluke ou similar)</v>
      </c>
      <c r="G741" s="611" t="s">
        <v>74</v>
      </c>
      <c r="H741" s="307" t="s">
        <v>247</v>
      </c>
      <c r="I741" s="321">
        <v>7.2</v>
      </c>
      <c r="J741" s="321">
        <v>9</v>
      </c>
      <c r="K741" s="321">
        <v>9</v>
      </c>
      <c r="L741" s="321">
        <v>9</v>
      </c>
      <c r="M741" s="321">
        <v>9</v>
      </c>
      <c r="N741" s="321">
        <v>9</v>
      </c>
      <c r="O741" s="321">
        <v>9</v>
      </c>
      <c r="P741" s="321">
        <v>9</v>
      </c>
      <c r="Q741" s="321">
        <v>9</v>
      </c>
      <c r="R741" s="321">
        <v>9</v>
      </c>
      <c r="S741" s="321">
        <v>9</v>
      </c>
      <c r="T741" s="321">
        <v>9</v>
      </c>
      <c r="U741" s="321">
        <v>1.8</v>
      </c>
      <c r="V741" s="308">
        <f t="shared" si="64"/>
        <v>108</v>
      </c>
      <c r="W741" s="308">
        <v>3.19</v>
      </c>
      <c r="X741" s="308">
        <f t="shared" si="65"/>
        <v>344.52</v>
      </c>
      <c r="Y741" s="322" t="s">
        <v>74</v>
      </c>
      <c r="Z741" s="575"/>
      <c r="AA741" s="567"/>
    </row>
    <row r="742" spans="1:27" s="318" customFormat="1" ht="15" customHeight="1" outlineLevel="1">
      <c r="A742" s="282">
        <v>738</v>
      </c>
      <c r="B742" s="282" t="s">
        <v>1</v>
      </c>
      <c r="C742" s="312" t="s">
        <v>1002</v>
      </c>
      <c r="D742" s="313" t="s">
        <v>1003</v>
      </c>
      <c r="E742" s="314" t="s">
        <v>1002</v>
      </c>
      <c r="F742" s="553" t="str">
        <f t="shared" si="63"/>
        <v>REALVerificador elétrico de tensão 1000V, sem contato com cabo (mod. T6‐1000 Fluke ou similar)</v>
      </c>
      <c r="G742" s="609">
        <f>Y742</f>
        <v>0</v>
      </c>
      <c r="H742" s="315" t="s">
        <v>247</v>
      </c>
      <c r="I742" s="323">
        <v>0</v>
      </c>
      <c r="J742" s="323">
        <v>0</v>
      </c>
      <c r="K742" s="323">
        <v>0</v>
      </c>
      <c r="L742" s="323">
        <v>0</v>
      </c>
      <c r="M742" s="323"/>
      <c r="N742" s="323"/>
      <c r="O742" s="323"/>
      <c r="P742" s="323"/>
      <c r="Q742" s="323"/>
      <c r="R742" s="323"/>
      <c r="S742" s="323"/>
      <c r="T742" s="323"/>
      <c r="U742" s="323"/>
      <c r="V742" s="316">
        <f t="shared" si="64"/>
        <v>0</v>
      </c>
      <c r="W742" s="316">
        <v>3.19</v>
      </c>
      <c r="X742" s="316">
        <f t="shared" si="65"/>
        <v>0</v>
      </c>
      <c r="Y742" s="322">
        <f>X742/X741</f>
        <v>0</v>
      </c>
      <c r="Z742" s="572"/>
      <c r="AA742" s="567"/>
    </row>
    <row r="743" spans="1:27" s="311" customFormat="1" ht="15" customHeight="1">
      <c r="A743" s="273">
        <v>739</v>
      </c>
      <c r="B743" s="273" t="s">
        <v>0</v>
      </c>
      <c r="C743" s="289" t="s">
        <v>1004</v>
      </c>
      <c r="D743" s="289" t="s">
        <v>1005</v>
      </c>
      <c r="E743" s="291" t="s">
        <v>1004</v>
      </c>
      <c r="F743" s="291"/>
      <c r="G743" s="610"/>
      <c r="H743" s="292"/>
      <c r="I743" s="396"/>
      <c r="J743" s="396"/>
      <c r="K743" s="396"/>
      <c r="L743" s="396"/>
      <c r="M743" s="396"/>
      <c r="N743" s="396"/>
      <c r="O743" s="396"/>
      <c r="P743" s="396"/>
      <c r="Q743" s="396"/>
      <c r="R743" s="396"/>
      <c r="S743" s="396"/>
      <c r="T743" s="396"/>
      <c r="U743" s="396"/>
      <c r="V743" s="319"/>
      <c r="W743" s="319"/>
      <c r="X743" s="370">
        <f>SUMIF(B745:B818,B743,X745:X818)</f>
        <v>190208.19589999996</v>
      </c>
      <c r="Y743" s="295" t="s">
        <v>74</v>
      </c>
      <c r="Z743" s="578"/>
      <c r="AA743" s="567"/>
    </row>
    <row r="744" spans="1:27" s="318" customFormat="1" ht="15" customHeight="1">
      <c r="A744" s="282">
        <v>740</v>
      </c>
      <c r="B744" s="282" t="s">
        <v>1</v>
      </c>
      <c r="C744" s="297" t="s">
        <v>1004</v>
      </c>
      <c r="D744" s="297" t="s">
        <v>1005</v>
      </c>
      <c r="E744" s="320" t="s">
        <v>1004</v>
      </c>
      <c r="F744" s="320"/>
      <c r="G744" s="612"/>
      <c r="H744" s="300"/>
      <c r="I744" s="397"/>
      <c r="J744" s="397"/>
      <c r="K744" s="397"/>
      <c r="L744" s="397"/>
      <c r="M744" s="397"/>
      <c r="N744" s="397"/>
      <c r="O744" s="397"/>
      <c r="P744" s="397"/>
      <c r="Q744" s="397"/>
      <c r="R744" s="397"/>
      <c r="S744" s="397"/>
      <c r="T744" s="397"/>
      <c r="U744" s="397"/>
      <c r="V744" s="302">
        <v>0</v>
      </c>
      <c r="W744" s="302">
        <v>0</v>
      </c>
      <c r="X744" s="303">
        <f>SUMIF(B745:B818,B744,X745:X818)</f>
        <v>49189.711419999985</v>
      </c>
      <c r="Y744" s="295">
        <f>X744/X743</f>
        <v>0.25860984163826978</v>
      </c>
      <c r="Z744" s="571"/>
      <c r="AA744" s="567"/>
    </row>
    <row r="745" spans="1:27" s="311" customFormat="1" ht="15" customHeight="1" outlineLevel="1">
      <c r="A745" s="273">
        <v>741</v>
      </c>
      <c r="B745" s="273" t="s">
        <v>0</v>
      </c>
      <c r="C745" s="305" t="s">
        <v>1006</v>
      </c>
      <c r="D745" s="306" t="s">
        <v>1007</v>
      </c>
      <c r="E745" s="307" t="s">
        <v>1006</v>
      </c>
      <c r="F745" s="553" t="str">
        <f t="shared" ref="F745:F776" si="66">B745&amp;D745</f>
        <v>PREVAço D=10 mm CA 50</v>
      </c>
      <c r="G745" s="611" t="s">
        <v>74</v>
      </c>
      <c r="H745" s="307" t="s">
        <v>457</v>
      </c>
      <c r="I745" s="321">
        <v>46.664000000000001</v>
      </c>
      <c r="J745" s="321">
        <v>58.33</v>
      </c>
      <c r="K745" s="321">
        <v>58.33</v>
      </c>
      <c r="L745" s="321">
        <v>58.33</v>
      </c>
      <c r="M745" s="321">
        <v>58.33</v>
      </c>
      <c r="N745" s="321">
        <v>58.33</v>
      </c>
      <c r="O745" s="321">
        <v>58.33</v>
      </c>
      <c r="P745" s="321">
        <v>58.33</v>
      </c>
      <c r="Q745" s="321">
        <v>58.34</v>
      </c>
      <c r="R745" s="321">
        <v>58.34</v>
      </c>
      <c r="S745" s="321">
        <v>58.34</v>
      </c>
      <c r="T745" s="321">
        <v>58.34</v>
      </c>
      <c r="U745" s="321">
        <v>11.668000000000001</v>
      </c>
      <c r="V745" s="308">
        <f t="shared" ref="V745:V778" si="67">SUM(I745:U745)</f>
        <v>700.00200000000007</v>
      </c>
      <c r="W745" s="308">
        <v>16</v>
      </c>
      <c r="X745" s="308">
        <f t="shared" ref="X745:X776" si="68">W745*V745</f>
        <v>11200.032000000001</v>
      </c>
      <c r="Y745" s="322" t="s">
        <v>74</v>
      </c>
      <c r="Z745" s="575"/>
      <c r="AA745" s="567"/>
    </row>
    <row r="746" spans="1:27" s="318" customFormat="1" ht="15" customHeight="1" outlineLevel="1">
      <c r="A746" s="282">
        <v>742</v>
      </c>
      <c r="B746" s="282" t="s">
        <v>1</v>
      </c>
      <c r="C746" s="312" t="s">
        <v>1006</v>
      </c>
      <c r="D746" s="313" t="s">
        <v>1007</v>
      </c>
      <c r="E746" s="314" t="s">
        <v>1006</v>
      </c>
      <c r="F746" s="553" t="str">
        <f t="shared" si="66"/>
        <v>REALAço D=10 mm CA 50</v>
      </c>
      <c r="G746" s="609">
        <f>Y746</f>
        <v>0.99539715600812573</v>
      </c>
      <c r="H746" s="315" t="s">
        <v>457</v>
      </c>
      <c r="I746" s="323">
        <v>0</v>
      </c>
      <c r="J746" s="323">
        <v>0</v>
      </c>
      <c r="K746" s="323">
        <v>696.78000000000009</v>
      </c>
      <c r="L746" s="323">
        <v>0</v>
      </c>
      <c r="M746" s="323"/>
      <c r="N746" s="323"/>
      <c r="O746" s="323"/>
      <c r="P746" s="323"/>
      <c r="Q746" s="323"/>
      <c r="R746" s="323"/>
      <c r="S746" s="323"/>
      <c r="T746" s="323"/>
      <c r="U746" s="323"/>
      <c r="V746" s="316">
        <f t="shared" si="67"/>
        <v>696.78000000000009</v>
      </c>
      <c r="W746" s="316">
        <v>16</v>
      </c>
      <c r="X746" s="316">
        <f t="shared" si="68"/>
        <v>11148.480000000001</v>
      </c>
      <c r="Y746" s="322">
        <f>X746/X745</f>
        <v>0.99539715600812573</v>
      </c>
      <c r="Z746" s="572"/>
      <c r="AA746" s="567"/>
    </row>
    <row r="747" spans="1:27" s="311" customFormat="1" ht="15" customHeight="1" outlineLevel="1">
      <c r="A747" s="273">
        <v>743</v>
      </c>
      <c r="B747" s="273" t="s">
        <v>0</v>
      </c>
      <c r="C747" s="305" t="s">
        <v>1008</v>
      </c>
      <c r="D747" s="306" t="s">
        <v>1009</v>
      </c>
      <c r="E747" s="307" t="s">
        <v>1008</v>
      </c>
      <c r="F747" s="553" t="str">
        <f t="shared" si="66"/>
        <v>PREVAço D=12 mm CA 50</v>
      </c>
      <c r="G747" s="611" t="s">
        <v>74</v>
      </c>
      <c r="H747" s="307" t="s">
        <v>457</v>
      </c>
      <c r="I747" s="321">
        <v>46.664000000000001</v>
      </c>
      <c r="J747" s="321">
        <v>58.33</v>
      </c>
      <c r="K747" s="321">
        <v>58.33</v>
      </c>
      <c r="L747" s="321">
        <v>58.33</v>
      </c>
      <c r="M747" s="321">
        <v>58.33</v>
      </c>
      <c r="N747" s="321">
        <v>58.33</v>
      </c>
      <c r="O747" s="321">
        <v>58.33</v>
      </c>
      <c r="P747" s="321">
        <v>58.33</v>
      </c>
      <c r="Q747" s="321">
        <v>58.34</v>
      </c>
      <c r="R747" s="321">
        <v>58.34</v>
      </c>
      <c r="S747" s="321">
        <v>58.34</v>
      </c>
      <c r="T747" s="321">
        <v>58.34</v>
      </c>
      <c r="U747" s="321">
        <v>11.668000000000001</v>
      </c>
      <c r="V747" s="308">
        <f t="shared" si="67"/>
        <v>700.00200000000007</v>
      </c>
      <c r="W747" s="308">
        <v>13.86</v>
      </c>
      <c r="X747" s="308">
        <f t="shared" si="68"/>
        <v>9702.02772</v>
      </c>
      <c r="Y747" s="322" t="s">
        <v>74</v>
      </c>
      <c r="Z747" s="575"/>
      <c r="AA747" s="567"/>
    </row>
    <row r="748" spans="1:27" s="318" customFormat="1" ht="15" customHeight="1" outlineLevel="1">
      <c r="A748" s="282">
        <v>744</v>
      </c>
      <c r="B748" s="282" t="s">
        <v>1</v>
      </c>
      <c r="C748" s="312" t="s">
        <v>1008</v>
      </c>
      <c r="D748" s="313" t="s">
        <v>1009</v>
      </c>
      <c r="E748" s="314" t="s">
        <v>1008</v>
      </c>
      <c r="F748" s="553" t="str">
        <f t="shared" si="66"/>
        <v>REALAço D=12 mm CA 50</v>
      </c>
      <c r="G748" s="609">
        <f>Y748</f>
        <v>0.13694960871540368</v>
      </c>
      <c r="H748" s="315" t="s">
        <v>457</v>
      </c>
      <c r="I748" s="323">
        <v>0</v>
      </c>
      <c r="J748" s="323">
        <v>0</v>
      </c>
      <c r="K748" s="323">
        <v>0</v>
      </c>
      <c r="L748" s="323">
        <v>95.865000000000009</v>
      </c>
      <c r="M748" s="323"/>
      <c r="N748" s="323"/>
      <c r="O748" s="323"/>
      <c r="P748" s="323"/>
      <c r="Q748" s="323"/>
      <c r="R748" s="323"/>
      <c r="S748" s="323"/>
      <c r="T748" s="323"/>
      <c r="U748" s="323"/>
      <c r="V748" s="316">
        <f t="shared" si="67"/>
        <v>95.865000000000009</v>
      </c>
      <c r="W748" s="316">
        <v>13.86</v>
      </c>
      <c r="X748" s="316">
        <f t="shared" si="68"/>
        <v>1328.6889000000001</v>
      </c>
      <c r="Y748" s="322">
        <f>X748/X747</f>
        <v>0.13694960871540368</v>
      </c>
      <c r="Z748" s="572"/>
      <c r="AA748" s="567"/>
    </row>
    <row r="749" spans="1:27" s="311" customFormat="1" ht="15" customHeight="1" outlineLevel="1">
      <c r="A749" s="273">
        <v>745</v>
      </c>
      <c r="B749" s="273" t="s">
        <v>0</v>
      </c>
      <c r="C749" s="305" t="s">
        <v>1010</v>
      </c>
      <c r="D749" s="306" t="s">
        <v>1011</v>
      </c>
      <c r="E749" s="307" t="s">
        <v>1010</v>
      </c>
      <c r="F749" s="553" t="str">
        <f t="shared" si="66"/>
        <v>PREVAço D=5.0 mm CA 60</v>
      </c>
      <c r="G749" s="611" t="s">
        <v>74</v>
      </c>
      <c r="H749" s="307" t="s">
        <v>457</v>
      </c>
      <c r="I749" s="321">
        <v>46.664000000000001</v>
      </c>
      <c r="J749" s="321">
        <v>58.33</v>
      </c>
      <c r="K749" s="321">
        <v>58.33</v>
      </c>
      <c r="L749" s="321">
        <v>58.33</v>
      </c>
      <c r="M749" s="321">
        <v>58.33</v>
      </c>
      <c r="N749" s="321">
        <v>58.33</v>
      </c>
      <c r="O749" s="321">
        <v>58.33</v>
      </c>
      <c r="P749" s="321">
        <v>58.33</v>
      </c>
      <c r="Q749" s="321">
        <v>58.34</v>
      </c>
      <c r="R749" s="321">
        <v>58.34</v>
      </c>
      <c r="S749" s="321">
        <v>58.34</v>
      </c>
      <c r="T749" s="321">
        <v>58.34</v>
      </c>
      <c r="U749" s="321">
        <v>11.668000000000001</v>
      </c>
      <c r="V749" s="308">
        <f t="shared" si="67"/>
        <v>700.00200000000007</v>
      </c>
      <c r="W749" s="308">
        <v>15.14</v>
      </c>
      <c r="X749" s="308">
        <f t="shared" si="68"/>
        <v>10598.030280000001</v>
      </c>
      <c r="Y749" s="322" t="s">
        <v>74</v>
      </c>
      <c r="Z749" s="575"/>
      <c r="AA749" s="567"/>
    </row>
    <row r="750" spans="1:27" s="318" customFormat="1" ht="15" customHeight="1" outlineLevel="1">
      <c r="A750" s="282">
        <v>746</v>
      </c>
      <c r="B750" s="282" t="s">
        <v>1</v>
      </c>
      <c r="C750" s="312" t="s">
        <v>1010</v>
      </c>
      <c r="D750" s="313" t="s">
        <v>1011</v>
      </c>
      <c r="E750" s="314" t="s">
        <v>1010</v>
      </c>
      <c r="F750" s="553" t="str">
        <f t="shared" si="66"/>
        <v>REALAço D=5.0 mm CA 60</v>
      </c>
      <c r="G750" s="609">
        <f>Y750</f>
        <v>0.38279890628883911</v>
      </c>
      <c r="H750" s="315" t="s">
        <v>457</v>
      </c>
      <c r="I750" s="323">
        <v>0</v>
      </c>
      <c r="J750" s="323">
        <v>0</v>
      </c>
      <c r="K750" s="323">
        <v>0</v>
      </c>
      <c r="L750" s="323">
        <v>267.95999999999998</v>
      </c>
      <c r="M750" s="323"/>
      <c r="N750" s="323"/>
      <c r="O750" s="323"/>
      <c r="P750" s="323"/>
      <c r="Q750" s="323"/>
      <c r="R750" s="323"/>
      <c r="S750" s="323"/>
      <c r="T750" s="323"/>
      <c r="U750" s="323"/>
      <c r="V750" s="316">
        <f t="shared" si="67"/>
        <v>267.95999999999998</v>
      </c>
      <c r="W750" s="316">
        <v>15.14</v>
      </c>
      <c r="X750" s="316">
        <f t="shared" si="68"/>
        <v>4056.9143999999997</v>
      </c>
      <c r="Y750" s="322">
        <f>X750/X749</f>
        <v>0.38279890628883911</v>
      </c>
      <c r="Z750" s="572"/>
      <c r="AA750" s="567"/>
    </row>
    <row r="751" spans="1:27" s="311" customFormat="1" ht="15" customHeight="1" outlineLevel="1">
      <c r="A751" s="273">
        <v>747</v>
      </c>
      <c r="B751" s="273" t="s">
        <v>0</v>
      </c>
      <c r="C751" s="305" t="s">
        <v>1012</v>
      </c>
      <c r="D751" s="306" t="s">
        <v>1013</v>
      </c>
      <c r="E751" s="307" t="s">
        <v>1012</v>
      </c>
      <c r="F751" s="553" t="str">
        <f t="shared" si="66"/>
        <v>PREVAço D=6.3 mm CA 50</v>
      </c>
      <c r="G751" s="611" t="s">
        <v>74</v>
      </c>
      <c r="H751" s="307" t="s">
        <v>457</v>
      </c>
      <c r="I751" s="321">
        <v>46.664000000000001</v>
      </c>
      <c r="J751" s="321">
        <v>58.33</v>
      </c>
      <c r="K751" s="321">
        <v>58.33</v>
      </c>
      <c r="L751" s="321">
        <v>58.33</v>
      </c>
      <c r="M751" s="321">
        <v>58.33</v>
      </c>
      <c r="N751" s="321">
        <v>58.33</v>
      </c>
      <c r="O751" s="321">
        <v>58.33</v>
      </c>
      <c r="P751" s="321">
        <v>58.33</v>
      </c>
      <c r="Q751" s="321">
        <v>58.34</v>
      </c>
      <c r="R751" s="321">
        <v>58.34</v>
      </c>
      <c r="S751" s="321">
        <v>58.34</v>
      </c>
      <c r="T751" s="321">
        <v>58.34</v>
      </c>
      <c r="U751" s="321">
        <v>11.668000000000001</v>
      </c>
      <c r="V751" s="308">
        <f t="shared" si="67"/>
        <v>700.00200000000007</v>
      </c>
      <c r="W751" s="308">
        <v>16.88</v>
      </c>
      <c r="X751" s="308">
        <f t="shared" si="68"/>
        <v>11816.03376</v>
      </c>
      <c r="Y751" s="322" t="s">
        <v>74</v>
      </c>
      <c r="Z751" s="575"/>
      <c r="AA751" s="567"/>
    </row>
    <row r="752" spans="1:27" s="318" customFormat="1" ht="15" customHeight="1" outlineLevel="1">
      <c r="A752" s="282">
        <v>748</v>
      </c>
      <c r="B752" s="282" t="s">
        <v>1</v>
      </c>
      <c r="C752" s="312" t="s">
        <v>1012</v>
      </c>
      <c r="D752" s="313" t="s">
        <v>1013</v>
      </c>
      <c r="E752" s="314" t="s">
        <v>1012</v>
      </c>
      <c r="F752" s="553" t="str">
        <f t="shared" si="66"/>
        <v>REALAço D=6.3 mm CA 50</v>
      </c>
      <c r="G752" s="609">
        <f>Y752</f>
        <v>0</v>
      </c>
      <c r="H752" s="315" t="s">
        <v>457</v>
      </c>
      <c r="I752" s="323">
        <v>0</v>
      </c>
      <c r="J752" s="323">
        <v>0</v>
      </c>
      <c r="K752" s="323">
        <v>0</v>
      </c>
      <c r="L752" s="323">
        <v>0</v>
      </c>
      <c r="M752" s="323"/>
      <c r="N752" s="323"/>
      <c r="O752" s="323"/>
      <c r="P752" s="323"/>
      <c r="Q752" s="323"/>
      <c r="R752" s="323"/>
      <c r="S752" s="323"/>
      <c r="T752" s="323"/>
      <c r="U752" s="323"/>
      <c r="V752" s="316">
        <f t="shared" si="67"/>
        <v>0</v>
      </c>
      <c r="W752" s="316">
        <v>16.88</v>
      </c>
      <c r="X752" s="316">
        <f t="shared" si="68"/>
        <v>0</v>
      </c>
      <c r="Y752" s="322">
        <f>X752/X751</f>
        <v>0</v>
      </c>
      <c r="Z752" s="572"/>
      <c r="AA752" s="567"/>
    </row>
    <row r="753" spans="1:27" s="311" customFormat="1" ht="15" customHeight="1" outlineLevel="1">
      <c r="A753" s="273">
        <v>749</v>
      </c>
      <c r="B753" s="273" t="s">
        <v>0</v>
      </c>
      <c r="C753" s="305" t="s">
        <v>1014</v>
      </c>
      <c r="D753" s="306" t="s">
        <v>1015</v>
      </c>
      <c r="E753" s="307" t="s">
        <v>1014</v>
      </c>
      <c r="F753" s="553" t="str">
        <f t="shared" si="66"/>
        <v>PREVAço D=8.0 mm CA 50</v>
      </c>
      <c r="G753" s="611" t="s">
        <v>74</v>
      </c>
      <c r="H753" s="307" t="s">
        <v>457</v>
      </c>
      <c r="I753" s="321">
        <v>46.664000000000001</v>
      </c>
      <c r="J753" s="321">
        <v>58.33</v>
      </c>
      <c r="K753" s="321">
        <v>58.33</v>
      </c>
      <c r="L753" s="321">
        <v>58.33</v>
      </c>
      <c r="M753" s="321">
        <v>58.33</v>
      </c>
      <c r="N753" s="321">
        <v>58.33</v>
      </c>
      <c r="O753" s="321">
        <v>58.33</v>
      </c>
      <c r="P753" s="321">
        <v>58.33</v>
      </c>
      <c r="Q753" s="321">
        <v>58.34</v>
      </c>
      <c r="R753" s="321">
        <v>58.34</v>
      </c>
      <c r="S753" s="321">
        <v>58.34</v>
      </c>
      <c r="T753" s="321">
        <v>58.34</v>
      </c>
      <c r="U753" s="321">
        <v>11.668000000000001</v>
      </c>
      <c r="V753" s="308">
        <f t="shared" si="67"/>
        <v>700.00200000000007</v>
      </c>
      <c r="W753" s="308">
        <v>16.97</v>
      </c>
      <c r="X753" s="308">
        <f t="shared" si="68"/>
        <v>11879.033940000001</v>
      </c>
      <c r="Y753" s="322" t="s">
        <v>74</v>
      </c>
      <c r="Z753" s="575"/>
      <c r="AA753" s="567"/>
    </row>
    <row r="754" spans="1:27" s="318" customFormat="1" ht="15" customHeight="1" outlineLevel="1">
      <c r="A754" s="282">
        <v>750</v>
      </c>
      <c r="B754" s="282" t="s">
        <v>1</v>
      </c>
      <c r="C754" s="312" t="s">
        <v>1014</v>
      </c>
      <c r="D754" s="313" t="s">
        <v>1015</v>
      </c>
      <c r="E754" s="314" t="s">
        <v>1014</v>
      </c>
      <c r="F754" s="553" t="str">
        <f t="shared" si="66"/>
        <v>REALAço D=8.0 mm CA 50</v>
      </c>
      <c r="G754" s="609">
        <f>Y754</f>
        <v>0.99424858786117742</v>
      </c>
      <c r="H754" s="315" t="s">
        <v>457</v>
      </c>
      <c r="I754" s="323">
        <v>0</v>
      </c>
      <c r="J754" s="323">
        <v>0</v>
      </c>
      <c r="K754" s="323">
        <v>695.976</v>
      </c>
      <c r="L754" s="323">
        <v>0</v>
      </c>
      <c r="M754" s="323"/>
      <c r="N754" s="323"/>
      <c r="O754" s="323"/>
      <c r="P754" s="323"/>
      <c r="Q754" s="323"/>
      <c r="R754" s="323"/>
      <c r="S754" s="323"/>
      <c r="T754" s="323"/>
      <c r="U754" s="323"/>
      <c r="V754" s="316">
        <f t="shared" si="67"/>
        <v>695.976</v>
      </c>
      <c r="W754" s="316">
        <v>16.97</v>
      </c>
      <c r="X754" s="316">
        <f t="shared" si="68"/>
        <v>11810.71272</v>
      </c>
      <c r="Y754" s="322">
        <f>X754/X753</f>
        <v>0.99424858786117742</v>
      </c>
      <c r="Z754" s="572"/>
      <c r="AA754" s="567"/>
    </row>
    <row r="755" spans="1:27" s="311" customFormat="1" ht="15" customHeight="1" outlineLevel="1">
      <c r="A755" s="273">
        <v>751</v>
      </c>
      <c r="B755" s="273" t="s">
        <v>0</v>
      </c>
      <c r="C755" s="305" t="s">
        <v>1016</v>
      </c>
      <c r="D755" s="306" t="s">
        <v>1017</v>
      </c>
      <c r="E755" s="307" t="s">
        <v>1016</v>
      </c>
      <c r="F755" s="553" t="str">
        <f t="shared" si="66"/>
        <v>PREVArame farpado nº. 16 galvanizado Simples</v>
      </c>
      <c r="G755" s="611" t="s">
        <v>74</v>
      </c>
      <c r="H755" s="307" t="s">
        <v>733</v>
      </c>
      <c r="I755" s="321">
        <v>33.336000000000006</v>
      </c>
      <c r="J755" s="321">
        <v>41.67</v>
      </c>
      <c r="K755" s="321">
        <v>41.67</v>
      </c>
      <c r="L755" s="321">
        <v>41.67</v>
      </c>
      <c r="M755" s="321">
        <v>41.67</v>
      </c>
      <c r="N755" s="321">
        <v>41.67</v>
      </c>
      <c r="O755" s="321">
        <v>41.67</v>
      </c>
      <c r="P755" s="321">
        <v>41.67</v>
      </c>
      <c r="Q755" s="321">
        <v>41.66</v>
      </c>
      <c r="R755" s="321">
        <v>41.66</v>
      </c>
      <c r="S755" s="321">
        <v>41.66</v>
      </c>
      <c r="T755" s="321">
        <v>41.66</v>
      </c>
      <c r="U755" s="321">
        <v>8.331999999999999</v>
      </c>
      <c r="V755" s="308">
        <f t="shared" si="67"/>
        <v>499.99799999999993</v>
      </c>
      <c r="W755" s="308">
        <v>1.54</v>
      </c>
      <c r="X755" s="308">
        <f t="shared" si="68"/>
        <v>769.99691999999993</v>
      </c>
      <c r="Y755" s="322" t="s">
        <v>74</v>
      </c>
      <c r="Z755" s="575"/>
      <c r="AA755" s="567"/>
    </row>
    <row r="756" spans="1:27" s="318" customFormat="1" ht="15" customHeight="1" outlineLevel="1">
      <c r="A756" s="282">
        <v>752</v>
      </c>
      <c r="B756" s="282" t="s">
        <v>1</v>
      </c>
      <c r="C756" s="312" t="s">
        <v>1016</v>
      </c>
      <c r="D756" s="313" t="s">
        <v>1017</v>
      </c>
      <c r="E756" s="314" t="s">
        <v>1016</v>
      </c>
      <c r="F756" s="553" t="str">
        <f t="shared" si="66"/>
        <v>REALArame farpado nº. 16 galvanizado Simples</v>
      </c>
      <c r="G756" s="609">
        <f>Y756</f>
        <v>0</v>
      </c>
      <c r="H756" s="315" t="s">
        <v>733</v>
      </c>
      <c r="I756" s="323">
        <v>0</v>
      </c>
      <c r="J756" s="323">
        <v>0</v>
      </c>
      <c r="K756" s="323">
        <v>0</v>
      </c>
      <c r="L756" s="323">
        <v>0</v>
      </c>
      <c r="M756" s="323"/>
      <c r="N756" s="323"/>
      <c r="O756" s="323"/>
      <c r="P756" s="323"/>
      <c r="Q756" s="323"/>
      <c r="R756" s="323"/>
      <c r="S756" s="323"/>
      <c r="T756" s="323"/>
      <c r="U756" s="323"/>
      <c r="V756" s="316">
        <f t="shared" si="67"/>
        <v>0</v>
      </c>
      <c r="W756" s="316">
        <v>1.54</v>
      </c>
      <c r="X756" s="316">
        <f t="shared" si="68"/>
        <v>0</v>
      </c>
      <c r="Y756" s="322">
        <f>X756/X755</f>
        <v>0</v>
      </c>
      <c r="Z756" s="572"/>
      <c r="AA756" s="567"/>
    </row>
    <row r="757" spans="1:27" s="311" customFormat="1" ht="15" customHeight="1" outlineLevel="1">
      <c r="A757" s="273">
        <v>753</v>
      </c>
      <c r="B757" s="273" t="s">
        <v>0</v>
      </c>
      <c r="C757" s="305" t="s">
        <v>1018</v>
      </c>
      <c r="D757" s="306" t="s">
        <v>1019</v>
      </c>
      <c r="E757" s="307" t="s">
        <v>1018</v>
      </c>
      <c r="F757" s="553" t="str">
        <f t="shared" si="66"/>
        <v>PREVArame galvanizado 8BWG, d=4,19mm</v>
      </c>
      <c r="G757" s="611" t="s">
        <v>74</v>
      </c>
      <c r="H757" s="307" t="s">
        <v>457</v>
      </c>
      <c r="I757" s="321">
        <v>3.6</v>
      </c>
      <c r="J757" s="321">
        <v>4.5</v>
      </c>
      <c r="K757" s="321">
        <v>4.5</v>
      </c>
      <c r="L757" s="321">
        <v>4.5</v>
      </c>
      <c r="M757" s="321">
        <v>4.5</v>
      </c>
      <c r="N757" s="321">
        <v>4.5</v>
      </c>
      <c r="O757" s="321">
        <v>4.5</v>
      </c>
      <c r="P757" s="321">
        <v>4.5</v>
      </c>
      <c r="Q757" s="321">
        <v>4.5</v>
      </c>
      <c r="R757" s="321">
        <v>4.5</v>
      </c>
      <c r="S757" s="321">
        <v>4.5</v>
      </c>
      <c r="T757" s="321">
        <v>4.5</v>
      </c>
      <c r="U757" s="321">
        <v>0.9</v>
      </c>
      <c r="V757" s="308">
        <f t="shared" si="67"/>
        <v>54</v>
      </c>
      <c r="W757" s="308">
        <v>32.520000000000003</v>
      </c>
      <c r="X757" s="308">
        <f t="shared" si="68"/>
        <v>1756.0800000000002</v>
      </c>
      <c r="Y757" s="322" t="s">
        <v>74</v>
      </c>
      <c r="Z757" s="575"/>
      <c r="AA757" s="567"/>
    </row>
    <row r="758" spans="1:27" s="318" customFormat="1" ht="15" customHeight="1" outlineLevel="1">
      <c r="A758" s="282">
        <v>754</v>
      </c>
      <c r="B758" s="282" t="s">
        <v>1</v>
      </c>
      <c r="C758" s="312" t="s">
        <v>1018</v>
      </c>
      <c r="D758" s="313" t="s">
        <v>1019</v>
      </c>
      <c r="E758" s="314" t="s">
        <v>1018</v>
      </c>
      <c r="F758" s="553" t="str">
        <f t="shared" si="66"/>
        <v>REALArame galvanizado 8BWG, d=4,19mm</v>
      </c>
      <c r="G758" s="609">
        <f>Y758</f>
        <v>1</v>
      </c>
      <c r="H758" s="315" t="s">
        <v>457</v>
      </c>
      <c r="I758" s="323">
        <v>1</v>
      </c>
      <c r="J758" s="323">
        <v>1</v>
      </c>
      <c r="K758" s="323">
        <v>52</v>
      </c>
      <c r="L758" s="323">
        <v>0</v>
      </c>
      <c r="M758" s="323"/>
      <c r="N758" s="323"/>
      <c r="O758" s="323"/>
      <c r="P758" s="323"/>
      <c r="Q758" s="323"/>
      <c r="R758" s="323"/>
      <c r="S758" s="323"/>
      <c r="T758" s="323"/>
      <c r="U758" s="323"/>
      <c r="V758" s="316">
        <f t="shared" si="67"/>
        <v>54</v>
      </c>
      <c r="W758" s="316">
        <v>32.520000000000003</v>
      </c>
      <c r="X758" s="316">
        <f t="shared" si="68"/>
        <v>1756.0800000000002</v>
      </c>
      <c r="Y758" s="322">
        <f>X758/X757</f>
        <v>1</v>
      </c>
      <c r="Z758" s="572"/>
      <c r="AA758" s="567"/>
    </row>
    <row r="759" spans="1:27" s="311" customFormat="1" ht="15" customHeight="1" outlineLevel="1">
      <c r="A759" s="273">
        <v>755</v>
      </c>
      <c r="B759" s="273" t="s">
        <v>0</v>
      </c>
      <c r="C759" s="305" t="s">
        <v>1020</v>
      </c>
      <c r="D759" s="306" t="s">
        <v>1021</v>
      </c>
      <c r="E759" s="307" t="s">
        <v>1020</v>
      </c>
      <c r="F759" s="553" t="str">
        <f t="shared" si="66"/>
        <v>PREVArame recozido n.º 18</v>
      </c>
      <c r="G759" s="611" t="s">
        <v>74</v>
      </c>
      <c r="H759" s="307" t="s">
        <v>457</v>
      </c>
      <c r="I759" s="321">
        <v>2</v>
      </c>
      <c r="J759" s="321">
        <v>2.5</v>
      </c>
      <c r="K759" s="321">
        <v>2.5</v>
      </c>
      <c r="L759" s="321">
        <v>2.5</v>
      </c>
      <c r="M759" s="321">
        <v>2.5</v>
      </c>
      <c r="N759" s="321">
        <v>2.5</v>
      </c>
      <c r="O759" s="321">
        <v>2.5</v>
      </c>
      <c r="P759" s="321">
        <v>2.5</v>
      </c>
      <c r="Q759" s="321">
        <v>2.5</v>
      </c>
      <c r="R759" s="321">
        <v>2.5</v>
      </c>
      <c r="S759" s="321">
        <v>2.5</v>
      </c>
      <c r="T759" s="321">
        <v>2.5</v>
      </c>
      <c r="U759" s="321">
        <v>0.5</v>
      </c>
      <c r="V759" s="308">
        <f t="shared" si="67"/>
        <v>30</v>
      </c>
      <c r="W759" s="308">
        <v>12.67</v>
      </c>
      <c r="X759" s="308">
        <f t="shared" si="68"/>
        <v>380.1</v>
      </c>
      <c r="Y759" s="322" t="s">
        <v>74</v>
      </c>
      <c r="Z759" s="575"/>
      <c r="AA759" s="567"/>
    </row>
    <row r="760" spans="1:27" s="318" customFormat="1" ht="15" customHeight="1" outlineLevel="1">
      <c r="A760" s="282">
        <v>756</v>
      </c>
      <c r="B760" s="282" t="s">
        <v>1</v>
      </c>
      <c r="C760" s="312" t="s">
        <v>1020</v>
      </c>
      <c r="D760" s="313" t="s">
        <v>1021</v>
      </c>
      <c r="E760" s="314" t="s">
        <v>1020</v>
      </c>
      <c r="F760" s="553" t="str">
        <f t="shared" si="66"/>
        <v>REALArame recozido n.º 18</v>
      </c>
      <c r="G760" s="609">
        <f>Y760</f>
        <v>1</v>
      </c>
      <c r="H760" s="315" t="s">
        <v>457</v>
      </c>
      <c r="I760" s="323">
        <v>1</v>
      </c>
      <c r="J760" s="323">
        <v>1</v>
      </c>
      <c r="K760" s="323">
        <v>28</v>
      </c>
      <c r="L760" s="323">
        <v>0</v>
      </c>
      <c r="M760" s="323"/>
      <c r="N760" s="323"/>
      <c r="O760" s="323"/>
      <c r="P760" s="323"/>
      <c r="Q760" s="323"/>
      <c r="R760" s="323"/>
      <c r="S760" s="323"/>
      <c r="T760" s="323"/>
      <c r="U760" s="323"/>
      <c r="V760" s="316">
        <f t="shared" si="67"/>
        <v>30</v>
      </c>
      <c r="W760" s="316">
        <v>12.67</v>
      </c>
      <c r="X760" s="316">
        <f t="shared" si="68"/>
        <v>380.1</v>
      </c>
      <c r="Y760" s="322">
        <f>X760/X759</f>
        <v>1</v>
      </c>
      <c r="Z760" s="572"/>
      <c r="AA760" s="567"/>
    </row>
    <row r="761" spans="1:27" s="311" customFormat="1" ht="15" customHeight="1" outlineLevel="1">
      <c r="A761" s="273">
        <v>757</v>
      </c>
      <c r="B761" s="273" t="s">
        <v>0</v>
      </c>
      <c r="C761" s="305" t="s">
        <v>1022</v>
      </c>
      <c r="D761" s="306" t="s">
        <v>1023</v>
      </c>
      <c r="E761" s="307" t="s">
        <v>1022</v>
      </c>
      <c r="F761" s="553" t="str">
        <f t="shared" si="66"/>
        <v>PREVAreia</v>
      </c>
      <c r="G761" s="611" t="s">
        <v>74</v>
      </c>
      <c r="H761" s="307" t="s">
        <v>1024</v>
      </c>
      <c r="I761" s="321">
        <v>2.6640000000000001</v>
      </c>
      <c r="J761" s="321">
        <v>3.33</v>
      </c>
      <c r="K761" s="321">
        <v>3.33</v>
      </c>
      <c r="L761" s="321">
        <v>3.33</v>
      </c>
      <c r="M761" s="321">
        <v>3.33</v>
      </c>
      <c r="N761" s="321">
        <v>3.33</v>
      </c>
      <c r="O761" s="321">
        <v>3.33</v>
      </c>
      <c r="P761" s="321">
        <v>3.33</v>
      </c>
      <c r="Q761" s="321">
        <v>3.34</v>
      </c>
      <c r="R761" s="321">
        <v>3.34</v>
      </c>
      <c r="S761" s="321">
        <v>3.34</v>
      </c>
      <c r="T761" s="321">
        <v>3.34</v>
      </c>
      <c r="U761" s="321">
        <v>0.66800000000000004</v>
      </c>
      <c r="V761" s="308">
        <f t="shared" si="67"/>
        <v>40.002000000000002</v>
      </c>
      <c r="W761" s="308">
        <v>132.46</v>
      </c>
      <c r="X761" s="308">
        <f t="shared" si="68"/>
        <v>5298.6649200000011</v>
      </c>
      <c r="Y761" s="322" t="s">
        <v>74</v>
      </c>
      <c r="Z761" s="575"/>
      <c r="AA761" s="567"/>
    </row>
    <row r="762" spans="1:27" s="318" customFormat="1" ht="15" customHeight="1" outlineLevel="1">
      <c r="A762" s="282">
        <v>758</v>
      </c>
      <c r="B762" s="282" t="s">
        <v>1</v>
      </c>
      <c r="C762" s="312" t="s">
        <v>1022</v>
      </c>
      <c r="D762" s="313" t="s">
        <v>1023</v>
      </c>
      <c r="E762" s="314" t="s">
        <v>1022</v>
      </c>
      <c r="F762" s="553" t="str">
        <f t="shared" si="66"/>
        <v>REALAreia</v>
      </c>
      <c r="G762" s="609">
        <f>Y762</f>
        <v>0.1749912504374781</v>
      </c>
      <c r="H762" s="315" t="s">
        <v>1024</v>
      </c>
      <c r="I762" s="323">
        <v>1</v>
      </c>
      <c r="J762" s="323">
        <v>1</v>
      </c>
      <c r="K762" s="323">
        <v>2</v>
      </c>
      <c r="L762" s="323">
        <v>3</v>
      </c>
      <c r="M762" s="323"/>
      <c r="N762" s="323"/>
      <c r="O762" s="323"/>
      <c r="P762" s="323"/>
      <c r="Q762" s="323"/>
      <c r="R762" s="323"/>
      <c r="S762" s="323"/>
      <c r="T762" s="323"/>
      <c r="U762" s="323"/>
      <c r="V762" s="316">
        <f t="shared" si="67"/>
        <v>7</v>
      </c>
      <c r="W762" s="316">
        <v>132.46</v>
      </c>
      <c r="X762" s="316">
        <f t="shared" si="68"/>
        <v>927.22</v>
      </c>
      <c r="Y762" s="322">
        <f>X762/X761</f>
        <v>0.1749912504374781</v>
      </c>
      <c r="Z762" s="572"/>
      <c r="AA762" s="567"/>
    </row>
    <row r="763" spans="1:27" s="311" customFormat="1" ht="15" customHeight="1" outlineLevel="1">
      <c r="A763" s="273">
        <v>759</v>
      </c>
      <c r="B763" s="273" t="s">
        <v>0</v>
      </c>
      <c r="C763" s="305" t="s">
        <v>1025</v>
      </c>
      <c r="D763" s="306" t="s">
        <v>1026</v>
      </c>
      <c r="E763" s="307" t="s">
        <v>1025</v>
      </c>
      <c r="F763" s="553" t="str">
        <f t="shared" si="66"/>
        <v>PREVArgamassa para grouteamento</v>
      </c>
      <c r="G763" s="611" t="s">
        <v>74</v>
      </c>
      <c r="H763" s="307" t="s">
        <v>457</v>
      </c>
      <c r="I763" s="321">
        <v>16.663999999999998</v>
      </c>
      <c r="J763" s="321">
        <v>20.83</v>
      </c>
      <c r="K763" s="321">
        <v>20.83</v>
      </c>
      <c r="L763" s="321">
        <v>20.83</v>
      </c>
      <c r="M763" s="321">
        <v>20.83</v>
      </c>
      <c r="N763" s="321">
        <v>20.83</v>
      </c>
      <c r="O763" s="321">
        <v>20.83</v>
      </c>
      <c r="P763" s="321">
        <v>20.83</v>
      </c>
      <c r="Q763" s="321">
        <v>20.84</v>
      </c>
      <c r="R763" s="321">
        <v>20.84</v>
      </c>
      <c r="S763" s="321">
        <v>20.84</v>
      </c>
      <c r="T763" s="321">
        <v>20.84</v>
      </c>
      <c r="U763" s="321">
        <v>4.1680000000000001</v>
      </c>
      <c r="V763" s="308">
        <f t="shared" si="67"/>
        <v>250.00200000000001</v>
      </c>
      <c r="W763" s="308">
        <v>1.77</v>
      </c>
      <c r="X763" s="308">
        <f t="shared" si="68"/>
        <v>442.50354000000004</v>
      </c>
      <c r="Y763" s="322" t="s">
        <v>74</v>
      </c>
      <c r="Z763" s="575"/>
      <c r="AA763" s="567"/>
    </row>
    <row r="764" spans="1:27" s="318" customFormat="1" ht="15" customHeight="1" outlineLevel="1">
      <c r="A764" s="282">
        <v>760</v>
      </c>
      <c r="B764" s="282" t="s">
        <v>1</v>
      </c>
      <c r="C764" s="312" t="s">
        <v>1025</v>
      </c>
      <c r="D764" s="313" t="s">
        <v>1026</v>
      </c>
      <c r="E764" s="314" t="s">
        <v>1025</v>
      </c>
      <c r="F764" s="553" t="str">
        <f t="shared" si="66"/>
        <v>REALArgamassa para grouteamento</v>
      </c>
      <c r="G764" s="609">
        <f>Y764</f>
        <v>0.99999200006399935</v>
      </c>
      <c r="H764" s="315" t="s">
        <v>457</v>
      </c>
      <c r="I764" s="323">
        <v>5</v>
      </c>
      <c r="J764" s="323">
        <v>5</v>
      </c>
      <c r="K764" s="323">
        <v>240</v>
      </c>
      <c r="L764" s="323">
        <v>0</v>
      </c>
      <c r="M764" s="323"/>
      <c r="N764" s="323"/>
      <c r="O764" s="323"/>
      <c r="P764" s="323"/>
      <c r="Q764" s="323"/>
      <c r="R764" s="323"/>
      <c r="S764" s="323"/>
      <c r="T764" s="323"/>
      <c r="U764" s="323"/>
      <c r="V764" s="316">
        <f t="shared" si="67"/>
        <v>250</v>
      </c>
      <c r="W764" s="316">
        <v>1.77</v>
      </c>
      <c r="X764" s="316">
        <f t="shared" si="68"/>
        <v>442.5</v>
      </c>
      <c r="Y764" s="322">
        <f>X764/X763</f>
        <v>0.99999200006399935</v>
      </c>
      <c r="Z764" s="572"/>
      <c r="AA764" s="567"/>
    </row>
    <row r="765" spans="1:27" s="311" customFormat="1" ht="15" customHeight="1" outlineLevel="1">
      <c r="A765" s="273">
        <v>761</v>
      </c>
      <c r="B765" s="273" t="s">
        <v>0</v>
      </c>
      <c r="C765" s="305" t="s">
        <v>1027</v>
      </c>
      <c r="D765" s="306" t="s">
        <v>1028</v>
      </c>
      <c r="E765" s="307" t="s">
        <v>1027</v>
      </c>
      <c r="F765" s="553" t="str">
        <f t="shared" si="66"/>
        <v>PREVBrita</v>
      </c>
      <c r="G765" s="611" t="s">
        <v>74</v>
      </c>
      <c r="H765" s="307" t="s">
        <v>1024</v>
      </c>
      <c r="I765" s="321">
        <v>3.3360000000000003</v>
      </c>
      <c r="J765" s="321">
        <v>4.17</v>
      </c>
      <c r="K765" s="321">
        <v>4.17</v>
      </c>
      <c r="L765" s="321">
        <v>4.17</v>
      </c>
      <c r="M765" s="321">
        <v>4.17</v>
      </c>
      <c r="N765" s="321">
        <v>4.17</v>
      </c>
      <c r="O765" s="321">
        <v>4.17</v>
      </c>
      <c r="P765" s="321">
        <v>4.17</v>
      </c>
      <c r="Q765" s="321">
        <v>4.16</v>
      </c>
      <c r="R765" s="321">
        <v>4.16</v>
      </c>
      <c r="S765" s="321">
        <v>4.16</v>
      </c>
      <c r="T765" s="321">
        <v>4.16</v>
      </c>
      <c r="U765" s="321">
        <v>0.83200000000000007</v>
      </c>
      <c r="V765" s="308">
        <f t="shared" si="67"/>
        <v>49.997999999999998</v>
      </c>
      <c r="W765" s="308">
        <v>91.35</v>
      </c>
      <c r="X765" s="308">
        <f t="shared" si="68"/>
        <v>4567.3172999999997</v>
      </c>
      <c r="Y765" s="322" t="s">
        <v>74</v>
      </c>
      <c r="Z765" s="575"/>
      <c r="AA765" s="567"/>
    </row>
    <row r="766" spans="1:27" s="318" customFormat="1" ht="15" customHeight="1" outlineLevel="1">
      <c r="A766" s="282">
        <v>762</v>
      </c>
      <c r="B766" s="282" t="s">
        <v>1</v>
      </c>
      <c r="C766" s="312" t="s">
        <v>1027</v>
      </c>
      <c r="D766" s="313" t="s">
        <v>1028</v>
      </c>
      <c r="E766" s="314" t="s">
        <v>1027</v>
      </c>
      <c r="F766" s="553" t="str">
        <f t="shared" si="66"/>
        <v>REALBrita</v>
      </c>
      <c r="G766" s="609">
        <f>Y766</f>
        <v>0.14000560022400896</v>
      </c>
      <c r="H766" s="315" t="s">
        <v>1024</v>
      </c>
      <c r="I766" s="323">
        <v>1</v>
      </c>
      <c r="J766" s="323">
        <v>1</v>
      </c>
      <c r="K766" s="323">
        <v>2</v>
      </c>
      <c r="L766" s="323">
        <v>3</v>
      </c>
      <c r="M766" s="323"/>
      <c r="N766" s="323"/>
      <c r="O766" s="323"/>
      <c r="P766" s="323"/>
      <c r="Q766" s="323"/>
      <c r="R766" s="323"/>
      <c r="S766" s="323"/>
      <c r="T766" s="323"/>
      <c r="U766" s="323"/>
      <c r="V766" s="316">
        <f t="shared" si="67"/>
        <v>7</v>
      </c>
      <c r="W766" s="316">
        <v>91.35</v>
      </c>
      <c r="X766" s="316">
        <f t="shared" si="68"/>
        <v>639.44999999999993</v>
      </c>
      <c r="Y766" s="322">
        <f>X766/X765</f>
        <v>0.14000560022400896</v>
      </c>
      <c r="Z766" s="572"/>
      <c r="AA766" s="567"/>
    </row>
    <row r="767" spans="1:27" s="311" customFormat="1" ht="15" customHeight="1" outlineLevel="1">
      <c r="A767" s="273">
        <v>763</v>
      </c>
      <c r="B767" s="273" t="s">
        <v>0</v>
      </c>
      <c r="C767" s="305" t="s">
        <v>1029</v>
      </c>
      <c r="D767" s="306" t="s">
        <v>1030</v>
      </c>
      <c r="E767" s="307" t="s">
        <v>1029</v>
      </c>
      <c r="F767" s="553" t="str">
        <f t="shared" si="66"/>
        <v>PREVCaibro de 5x5cm</v>
      </c>
      <c r="G767" s="611" t="s">
        <v>74</v>
      </c>
      <c r="H767" s="307" t="s">
        <v>733</v>
      </c>
      <c r="I767" s="321">
        <v>20</v>
      </c>
      <c r="J767" s="321">
        <v>25</v>
      </c>
      <c r="K767" s="321">
        <v>25</v>
      </c>
      <c r="L767" s="321">
        <v>25</v>
      </c>
      <c r="M767" s="321">
        <v>25</v>
      </c>
      <c r="N767" s="321">
        <v>25</v>
      </c>
      <c r="O767" s="321">
        <v>25</v>
      </c>
      <c r="P767" s="321">
        <v>25</v>
      </c>
      <c r="Q767" s="321">
        <v>25</v>
      </c>
      <c r="R767" s="321">
        <v>25</v>
      </c>
      <c r="S767" s="321">
        <v>25</v>
      </c>
      <c r="T767" s="321">
        <v>25</v>
      </c>
      <c r="U767" s="321">
        <v>5</v>
      </c>
      <c r="V767" s="308">
        <f t="shared" si="67"/>
        <v>300</v>
      </c>
      <c r="W767" s="308">
        <v>8.68</v>
      </c>
      <c r="X767" s="308">
        <f t="shared" si="68"/>
        <v>2604</v>
      </c>
      <c r="Y767" s="322" t="s">
        <v>74</v>
      </c>
      <c r="Z767" s="575"/>
      <c r="AA767" s="567"/>
    </row>
    <row r="768" spans="1:27" s="318" customFormat="1" ht="15" customHeight="1" outlineLevel="1">
      <c r="A768" s="282">
        <v>764</v>
      </c>
      <c r="B768" s="282" t="s">
        <v>1</v>
      </c>
      <c r="C768" s="312" t="s">
        <v>1029</v>
      </c>
      <c r="D768" s="313" t="s">
        <v>1030</v>
      </c>
      <c r="E768" s="314">
        <v>40978</v>
      </c>
      <c r="F768" s="553" t="str">
        <f t="shared" si="66"/>
        <v>REALCaibro de 5x5cm</v>
      </c>
      <c r="G768" s="609">
        <f>Y768</f>
        <v>6.3333333333333325E-2</v>
      </c>
      <c r="H768" s="315" t="s">
        <v>733</v>
      </c>
      <c r="I768" s="323">
        <v>4</v>
      </c>
      <c r="J768" s="323">
        <v>4</v>
      </c>
      <c r="K768" s="323">
        <v>5</v>
      </c>
      <c r="L768" s="323">
        <v>6</v>
      </c>
      <c r="M768" s="323"/>
      <c r="N768" s="323"/>
      <c r="O768" s="323"/>
      <c r="P768" s="323"/>
      <c r="Q768" s="323"/>
      <c r="R768" s="323"/>
      <c r="S768" s="323"/>
      <c r="T768" s="323"/>
      <c r="U768" s="323"/>
      <c r="V768" s="316">
        <f t="shared" si="67"/>
        <v>19</v>
      </c>
      <c r="W768" s="316">
        <v>8.68</v>
      </c>
      <c r="X768" s="316">
        <f t="shared" si="68"/>
        <v>164.92</v>
      </c>
      <c r="Y768" s="322">
        <f>X768/X767</f>
        <v>6.3333333333333325E-2</v>
      </c>
      <c r="Z768" s="572"/>
      <c r="AA768" s="567"/>
    </row>
    <row r="769" spans="1:27" s="311" customFormat="1" ht="15" customHeight="1" outlineLevel="1">
      <c r="A769" s="273">
        <v>765</v>
      </c>
      <c r="B769" s="273" t="s">
        <v>0</v>
      </c>
      <c r="C769" s="305" t="s">
        <v>1031</v>
      </c>
      <c r="D769" s="306" t="s">
        <v>1032</v>
      </c>
      <c r="E769" s="307" t="s">
        <v>1031</v>
      </c>
      <c r="F769" s="553" t="str">
        <f t="shared" si="66"/>
        <v>PREVCal hidratada</v>
      </c>
      <c r="G769" s="611" t="s">
        <v>74</v>
      </c>
      <c r="H769" s="307" t="s">
        <v>457</v>
      </c>
      <c r="I769" s="321">
        <v>72</v>
      </c>
      <c r="J769" s="321">
        <v>90</v>
      </c>
      <c r="K769" s="321">
        <v>90</v>
      </c>
      <c r="L769" s="321">
        <v>90</v>
      </c>
      <c r="M769" s="321">
        <v>90</v>
      </c>
      <c r="N769" s="321">
        <v>90</v>
      </c>
      <c r="O769" s="321">
        <v>90</v>
      </c>
      <c r="P769" s="321">
        <v>90</v>
      </c>
      <c r="Q769" s="321">
        <v>90</v>
      </c>
      <c r="R769" s="321">
        <v>90</v>
      </c>
      <c r="S769" s="321">
        <v>90</v>
      </c>
      <c r="T769" s="321">
        <v>90</v>
      </c>
      <c r="U769" s="321">
        <v>18</v>
      </c>
      <c r="V769" s="407">
        <f t="shared" si="67"/>
        <v>1080</v>
      </c>
      <c r="W769" s="308">
        <v>0.61</v>
      </c>
      <c r="X769" s="308">
        <f t="shared" si="68"/>
        <v>658.8</v>
      </c>
      <c r="Y769" s="322" t="s">
        <v>74</v>
      </c>
      <c r="Z769" s="575"/>
      <c r="AA769" s="567"/>
    </row>
    <row r="770" spans="1:27" s="318" customFormat="1" ht="15" customHeight="1" outlineLevel="1">
      <c r="A770" s="282">
        <v>766</v>
      </c>
      <c r="B770" s="282" t="s">
        <v>1</v>
      </c>
      <c r="C770" s="312" t="s">
        <v>1031</v>
      </c>
      <c r="D770" s="313" t="s">
        <v>1032</v>
      </c>
      <c r="E770" s="314">
        <v>41343</v>
      </c>
      <c r="F770" s="553" t="str">
        <f t="shared" si="66"/>
        <v>REALCal hidratada</v>
      </c>
      <c r="G770" s="609">
        <f>Y770</f>
        <v>4.2592592592592592E-2</v>
      </c>
      <c r="H770" s="315" t="s">
        <v>457</v>
      </c>
      <c r="I770" s="323">
        <v>10</v>
      </c>
      <c r="J770" s="323">
        <v>10</v>
      </c>
      <c r="K770" s="323">
        <v>11</v>
      </c>
      <c r="L770" s="323">
        <v>15</v>
      </c>
      <c r="M770" s="323"/>
      <c r="N770" s="323"/>
      <c r="O770" s="323"/>
      <c r="P770" s="323"/>
      <c r="Q770" s="323"/>
      <c r="R770" s="323"/>
      <c r="S770" s="323"/>
      <c r="T770" s="323"/>
      <c r="U770" s="323"/>
      <c r="V770" s="316">
        <f t="shared" si="67"/>
        <v>46</v>
      </c>
      <c r="W770" s="316">
        <v>0.61</v>
      </c>
      <c r="X770" s="316">
        <f t="shared" si="68"/>
        <v>28.06</v>
      </c>
      <c r="Y770" s="322">
        <f>X770/X769</f>
        <v>4.2592592592592592E-2</v>
      </c>
      <c r="Z770" s="572"/>
      <c r="AA770" s="567"/>
    </row>
    <row r="771" spans="1:27" s="311" customFormat="1" ht="15" customHeight="1" outlineLevel="1">
      <c r="A771" s="273">
        <v>767</v>
      </c>
      <c r="B771" s="273" t="s">
        <v>0</v>
      </c>
      <c r="C771" s="305" t="s">
        <v>1033</v>
      </c>
      <c r="D771" s="663" t="s">
        <v>1034</v>
      </c>
      <c r="E771" s="307" t="s">
        <v>1033</v>
      </c>
      <c r="F771" s="553" t="str">
        <f t="shared" si="66"/>
        <v>PREVCimento CPII‐32</v>
      </c>
      <c r="G771" s="611" t="s">
        <v>74</v>
      </c>
      <c r="H771" s="307" t="s">
        <v>457</v>
      </c>
      <c r="I771" s="321">
        <v>1666.664</v>
      </c>
      <c r="J771" s="321">
        <v>2083.33</v>
      </c>
      <c r="K771" s="321">
        <v>2083.33</v>
      </c>
      <c r="L771" s="321">
        <v>2083.33</v>
      </c>
      <c r="M771" s="321">
        <v>2083.33</v>
      </c>
      <c r="N771" s="321">
        <v>2083.33</v>
      </c>
      <c r="O771" s="321">
        <v>2083.33</v>
      </c>
      <c r="P771" s="321">
        <v>2083.33</v>
      </c>
      <c r="Q771" s="321">
        <v>2083.34</v>
      </c>
      <c r="R771" s="321">
        <v>2083.34</v>
      </c>
      <c r="S771" s="321">
        <v>2083.34</v>
      </c>
      <c r="T771" s="321">
        <v>2083.34</v>
      </c>
      <c r="U771" s="321">
        <v>416.66800000000006</v>
      </c>
      <c r="V771" s="308">
        <f t="shared" si="67"/>
        <v>25000.002</v>
      </c>
      <c r="W771" s="308">
        <v>0.69</v>
      </c>
      <c r="X771" s="308">
        <f t="shared" si="68"/>
        <v>17250.001379999998</v>
      </c>
      <c r="Y771" s="322" t="s">
        <v>74</v>
      </c>
      <c r="Z771" s="575"/>
      <c r="AA771" s="567"/>
    </row>
    <row r="772" spans="1:27" s="318" customFormat="1" ht="15" customHeight="1" outlineLevel="1">
      <c r="A772" s="282">
        <v>768</v>
      </c>
      <c r="B772" s="282" t="s">
        <v>1</v>
      </c>
      <c r="C772" s="312" t="s">
        <v>1033</v>
      </c>
      <c r="D772" s="313" t="s">
        <v>1034</v>
      </c>
      <c r="E772" s="314">
        <v>41708</v>
      </c>
      <c r="F772" s="553" t="str">
        <f t="shared" si="66"/>
        <v>REALCimento CPII‐32</v>
      </c>
      <c r="G772" s="609">
        <f>Y772</f>
        <v>0.36599997072000234</v>
      </c>
      <c r="H772" s="315" t="s">
        <v>457</v>
      </c>
      <c r="I772" s="323">
        <v>900</v>
      </c>
      <c r="J772" s="323">
        <v>1700</v>
      </c>
      <c r="K772" s="323">
        <v>2350</v>
      </c>
      <c r="L772" s="323">
        <v>4200</v>
      </c>
      <c r="M772" s="323"/>
      <c r="N772" s="323"/>
      <c r="O772" s="323"/>
      <c r="P772" s="323"/>
      <c r="Q772" s="323"/>
      <c r="R772" s="323"/>
      <c r="S772" s="323"/>
      <c r="T772" s="323"/>
      <c r="U772" s="323"/>
      <c r="V772" s="316">
        <f t="shared" si="67"/>
        <v>9150</v>
      </c>
      <c r="W772" s="316">
        <v>0.69</v>
      </c>
      <c r="X772" s="316">
        <f t="shared" si="68"/>
        <v>6313.4999999999991</v>
      </c>
      <c r="Y772" s="322">
        <f>X772/X771</f>
        <v>0.36599997072000234</v>
      </c>
      <c r="Z772" s="572"/>
      <c r="AA772" s="567"/>
    </row>
    <row r="773" spans="1:27" s="311" customFormat="1" ht="15" customHeight="1" outlineLevel="1">
      <c r="A773" s="273">
        <v>769</v>
      </c>
      <c r="B773" s="273" t="s">
        <v>0</v>
      </c>
      <c r="C773" s="305" t="s">
        <v>1035</v>
      </c>
      <c r="D773" s="306" t="s">
        <v>1036</v>
      </c>
      <c r="E773" s="307" t="s">
        <v>1035</v>
      </c>
      <c r="F773" s="553" t="str">
        <f t="shared" si="66"/>
        <v>PREVCompensado resinado 17mm</v>
      </c>
      <c r="G773" s="611" t="s">
        <v>74</v>
      </c>
      <c r="H773" s="307" t="s">
        <v>1037</v>
      </c>
      <c r="I773" s="321">
        <v>1.4640000000000002</v>
      </c>
      <c r="J773" s="321">
        <v>1.83</v>
      </c>
      <c r="K773" s="321">
        <v>1.83</v>
      </c>
      <c r="L773" s="321">
        <v>1.83</v>
      </c>
      <c r="M773" s="321">
        <v>1.83</v>
      </c>
      <c r="N773" s="321">
        <v>1.83</v>
      </c>
      <c r="O773" s="321">
        <v>1.83</v>
      </c>
      <c r="P773" s="321">
        <v>1.83</v>
      </c>
      <c r="Q773" s="321">
        <v>1.84</v>
      </c>
      <c r="R773" s="321">
        <v>1.84</v>
      </c>
      <c r="S773" s="321">
        <v>1.84</v>
      </c>
      <c r="T773" s="321">
        <v>1.84</v>
      </c>
      <c r="U773" s="321">
        <v>0.36800000000000005</v>
      </c>
      <c r="V773" s="308">
        <f t="shared" si="67"/>
        <v>22.001999999999999</v>
      </c>
      <c r="W773" s="308">
        <v>49.16</v>
      </c>
      <c r="X773" s="308">
        <f t="shared" si="68"/>
        <v>1081.6183199999998</v>
      </c>
      <c r="Y773" s="322" t="s">
        <v>74</v>
      </c>
      <c r="Z773" s="575"/>
      <c r="AA773" s="567"/>
    </row>
    <row r="774" spans="1:27" s="318" customFormat="1" ht="15" customHeight="1" outlineLevel="1">
      <c r="A774" s="282">
        <v>770</v>
      </c>
      <c r="B774" s="282" t="s">
        <v>1</v>
      </c>
      <c r="C774" s="312" t="s">
        <v>1035</v>
      </c>
      <c r="D774" s="313" t="s">
        <v>1036</v>
      </c>
      <c r="E774" s="314">
        <v>42073</v>
      </c>
      <c r="F774" s="553" t="str">
        <f t="shared" si="66"/>
        <v>REALCompensado resinado 17mm</v>
      </c>
      <c r="G774" s="609">
        <f>Y774</f>
        <v>0.99718207435687689</v>
      </c>
      <c r="H774" s="315" t="s">
        <v>1037</v>
      </c>
      <c r="I774" s="323">
        <v>2</v>
      </c>
      <c r="J774" s="323">
        <v>2</v>
      </c>
      <c r="K774" s="323">
        <v>16.940000000000005</v>
      </c>
      <c r="L774" s="323">
        <v>1</v>
      </c>
      <c r="M774" s="323"/>
      <c r="N774" s="323"/>
      <c r="O774" s="323"/>
      <c r="P774" s="323"/>
      <c r="Q774" s="323"/>
      <c r="R774" s="323"/>
      <c r="S774" s="323"/>
      <c r="T774" s="323"/>
      <c r="U774" s="323"/>
      <c r="V774" s="316">
        <f t="shared" si="67"/>
        <v>21.940000000000005</v>
      </c>
      <c r="W774" s="316">
        <v>49.16</v>
      </c>
      <c r="X774" s="316">
        <f t="shared" si="68"/>
        <v>1078.5704000000001</v>
      </c>
      <c r="Y774" s="322">
        <f>X774/X773</f>
        <v>0.99718207435687689</v>
      </c>
      <c r="Z774" s="572"/>
      <c r="AA774" s="567"/>
    </row>
    <row r="775" spans="1:27" s="311" customFormat="1" ht="15" customHeight="1" outlineLevel="1">
      <c r="A775" s="273">
        <v>771</v>
      </c>
      <c r="B775" s="273" t="s">
        <v>0</v>
      </c>
      <c r="C775" s="305" t="s">
        <v>1038</v>
      </c>
      <c r="D775" s="306" t="s">
        <v>1039</v>
      </c>
      <c r="E775" s="307" t="s">
        <v>1038</v>
      </c>
      <c r="F775" s="553" t="str">
        <f t="shared" si="66"/>
        <v>PREVDesmoldante</v>
      </c>
      <c r="G775" s="611" t="s">
        <v>74</v>
      </c>
      <c r="H775" s="307" t="s">
        <v>474</v>
      </c>
      <c r="I775" s="321">
        <v>1.2640000000000002</v>
      </c>
      <c r="J775" s="321">
        <v>1.58</v>
      </c>
      <c r="K775" s="321">
        <v>1.58</v>
      </c>
      <c r="L775" s="321">
        <v>1.58</v>
      </c>
      <c r="M775" s="321">
        <v>1.58</v>
      </c>
      <c r="N775" s="321">
        <v>1.58</v>
      </c>
      <c r="O775" s="321">
        <v>1.58</v>
      </c>
      <c r="P775" s="321">
        <v>1.58</v>
      </c>
      <c r="Q775" s="321">
        <v>1.59</v>
      </c>
      <c r="R775" s="321">
        <v>1.59</v>
      </c>
      <c r="S775" s="321">
        <v>1.59</v>
      </c>
      <c r="T775" s="321">
        <v>1.59</v>
      </c>
      <c r="U775" s="321">
        <v>0.31800000000000006</v>
      </c>
      <c r="V775" s="308">
        <f t="shared" si="67"/>
        <v>19.002000000000002</v>
      </c>
      <c r="W775" s="308">
        <v>8.74</v>
      </c>
      <c r="X775" s="308">
        <f t="shared" si="68"/>
        <v>166.07748000000004</v>
      </c>
      <c r="Y775" s="322" t="s">
        <v>74</v>
      </c>
      <c r="Z775" s="575"/>
      <c r="AA775" s="567"/>
    </row>
    <row r="776" spans="1:27" s="318" customFormat="1" ht="15" customHeight="1" outlineLevel="1">
      <c r="A776" s="282">
        <v>772</v>
      </c>
      <c r="B776" s="282" t="s">
        <v>1</v>
      </c>
      <c r="C776" s="312" t="s">
        <v>1038</v>
      </c>
      <c r="D776" s="313" t="s">
        <v>1039</v>
      </c>
      <c r="E776" s="314" t="s">
        <v>1038</v>
      </c>
      <c r="F776" s="553" t="str">
        <f t="shared" si="66"/>
        <v>REALDesmoldante</v>
      </c>
      <c r="G776" s="609">
        <f>Y776</f>
        <v>0.9998947479212712</v>
      </c>
      <c r="H776" s="315" t="s">
        <v>474</v>
      </c>
      <c r="I776" s="323">
        <v>2</v>
      </c>
      <c r="J776" s="323">
        <v>2</v>
      </c>
      <c r="K776" s="323">
        <v>15</v>
      </c>
      <c r="L776" s="323">
        <v>0</v>
      </c>
      <c r="M776" s="323"/>
      <c r="N776" s="323"/>
      <c r="O776" s="323"/>
      <c r="P776" s="323"/>
      <c r="Q776" s="323"/>
      <c r="R776" s="323"/>
      <c r="S776" s="323"/>
      <c r="T776" s="323"/>
      <c r="U776" s="323"/>
      <c r="V776" s="316">
        <f t="shared" si="67"/>
        <v>19</v>
      </c>
      <c r="W776" s="316">
        <v>8.74</v>
      </c>
      <c r="X776" s="316">
        <f t="shared" si="68"/>
        <v>166.06</v>
      </c>
      <c r="Y776" s="322">
        <f>X776/X775</f>
        <v>0.9998947479212712</v>
      </c>
      <c r="Z776" s="572"/>
      <c r="AA776" s="567"/>
    </row>
    <row r="777" spans="1:27" s="311" customFormat="1" ht="15" customHeight="1" outlineLevel="1">
      <c r="A777" s="273">
        <v>773</v>
      </c>
      <c r="B777" s="273" t="s">
        <v>0</v>
      </c>
      <c r="C777" s="305" t="s">
        <v>1040</v>
      </c>
      <c r="D777" s="306" t="s">
        <v>1041</v>
      </c>
      <c r="E777" s="307" t="s">
        <v>1040</v>
      </c>
      <c r="F777" s="553" t="str">
        <f t="shared" ref="F777:F808" si="69">B777&amp;D777</f>
        <v>PREVDiesel comum (l)</v>
      </c>
      <c r="G777" s="611" t="s">
        <v>74</v>
      </c>
      <c r="H777" s="307" t="s">
        <v>474</v>
      </c>
      <c r="I777" s="321">
        <v>840</v>
      </c>
      <c r="J777" s="321">
        <v>1050</v>
      </c>
      <c r="K777" s="321">
        <v>1050</v>
      </c>
      <c r="L777" s="321">
        <v>1050</v>
      </c>
      <c r="M777" s="321">
        <v>1050</v>
      </c>
      <c r="N777" s="321">
        <v>1050</v>
      </c>
      <c r="O777" s="321">
        <v>1050</v>
      </c>
      <c r="P777" s="321">
        <v>1050</v>
      </c>
      <c r="Q777" s="321">
        <v>1050</v>
      </c>
      <c r="R777" s="321">
        <v>1050</v>
      </c>
      <c r="S777" s="321">
        <v>1050</v>
      </c>
      <c r="T777" s="321">
        <v>1050</v>
      </c>
      <c r="U777" s="321">
        <v>210</v>
      </c>
      <c r="V777" s="308">
        <f t="shared" si="67"/>
        <v>12600</v>
      </c>
      <c r="W777" s="308">
        <v>4.87</v>
      </c>
      <c r="X777" s="308">
        <f t="shared" ref="X777:X808" si="70">W777*V777</f>
        <v>61362</v>
      </c>
      <c r="Y777" s="322" t="s">
        <v>74</v>
      </c>
      <c r="Z777" s="575"/>
      <c r="AA777" s="567"/>
    </row>
    <row r="778" spans="1:27" s="318" customFormat="1" ht="15" customHeight="1" outlineLevel="1">
      <c r="A778" s="282">
        <v>774</v>
      </c>
      <c r="B778" s="282" t="s">
        <v>1</v>
      </c>
      <c r="C778" s="312" t="s">
        <v>1040</v>
      </c>
      <c r="D778" s="313" t="s">
        <v>1041</v>
      </c>
      <c r="E778" s="314" t="s">
        <v>1040</v>
      </c>
      <c r="F778" s="553" t="str">
        <f t="shared" si="69"/>
        <v>REALDiesel comum (l)</v>
      </c>
      <c r="G778" s="609">
        <f>Y778</f>
        <v>0</v>
      </c>
      <c r="H778" s="315" t="s">
        <v>474</v>
      </c>
      <c r="I778" s="323">
        <v>0</v>
      </c>
      <c r="J778" s="323">
        <v>0</v>
      </c>
      <c r="K778" s="323">
        <v>0</v>
      </c>
      <c r="L778" s="323">
        <v>0</v>
      </c>
      <c r="M778" s="323"/>
      <c r="N778" s="323"/>
      <c r="O778" s="323"/>
      <c r="P778" s="323"/>
      <c r="Q778" s="323"/>
      <c r="R778" s="323"/>
      <c r="S778" s="323"/>
      <c r="T778" s="323"/>
      <c r="U778" s="323"/>
      <c r="V778" s="316">
        <f t="shared" si="67"/>
        <v>0</v>
      </c>
      <c r="W778" s="316">
        <v>4.87</v>
      </c>
      <c r="X778" s="316">
        <f t="shared" si="70"/>
        <v>0</v>
      </c>
      <c r="Y778" s="322">
        <f>X778/X777</f>
        <v>0</v>
      </c>
      <c r="Z778" s="572"/>
      <c r="AA778" s="567"/>
    </row>
    <row r="779" spans="1:27" s="311" customFormat="1" ht="15" customHeight="1" outlineLevel="1">
      <c r="A779" s="273">
        <v>775</v>
      </c>
      <c r="B779" s="273" t="s">
        <v>0</v>
      </c>
      <c r="C779" s="305" t="s">
        <v>1042</v>
      </c>
      <c r="D779" s="306" t="s">
        <v>1043</v>
      </c>
      <c r="E779" s="307" t="s">
        <v>1042</v>
      </c>
      <c r="F779" s="553" t="str">
        <f t="shared" si="69"/>
        <v>PREVFita isolante adesiva antichama 19mm x 20m</v>
      </c>
      <c r="G779" s="611" t="s">
        <v>74</v>
      </c>
      <c r="H779" s="307" t="s">
        <v>228</v>
      </c>
      <c r="I779" s="321">
        <v>0.26400000000000001</v>
      </c>
      <c r="J779" s="321">
        <v>0.33</v>
      </c>
      <c r="K779" s="321">
        <v>0.33</v>
      </c>
      <c r="L779" s="321">
        <v>0.33</v>
      </c>
      <c r="M779" s="321">
        <v>0.33</v>
      </c>
      <c r="N779" s="321">
        <v>0.33</v>
      </c>
      <c r="O779" s="321">
        <v>0.33</v>
      </c>
      <c r="P779" s="321">
        <v>0.33</v>
      </c>
      <c r="Q779" s="321">
        <v>0.34</v>
      </c>
      <c r="R779" s="321">
        <v>0.34</v>
      </c>
      <c r="S779" s="321">
        <v>0.34</v>
      </c>
      <c r="T779" s="321">
        <v>0.34</v>
      </c>
      <c r="U779" s="321">
        <v>6.8000000000000005E-2</v>
      </c>
      <c r="V779" s="308">
        <v>4</v>
      </c>
      <c r="W779" s="308">
        <v>15.18</v>
      </c>
      <c r="X779" s="308">
        <f t="shared" si="70"/>
        <v>60.72</v>
      </c>
      <c r="Y779" s="322" t="s">
        <v>74</v>
      </c>
      <c r="Z779" s="575"/>
      <c r="AA779" s="567"/>
    </row>
    <row r="780" spans="1:27" s="318" customFormat="1" ht="15" customHeight="1" outlineLevel="1">
      <c r="A780" s="282">
        <v>776</v>
      </c>
      <c r="B780" s="282" t="s">
        <v>1</v>
      </c>
      <c r="C780" s="312" t="s">
        <v>1042</v>
      </c>
      <c r="D780" s="313" t="s">
        <v>1043</v>
      </c>
      <c r="E780" s="314" t="s">
        <v>1042</v>
      </c>
      <c r="F780" s="553" t="str">
        <f t="shared" si="69"/>
        <v>REALFita isolante adesiva antichama 19mm x 20m</v>
      </c>
      <c r="G780" s="609">
        <f>Y780</f>
        <v>0.375</v>
      </c>
      <c r="H780" s="315" t="s">
        <v>228</v>
      </c>
      <c r="I780" s="323">
        <v>0.33333333333333331</v>
      </c>
      <c r="J780" s="323">
        <v>0.33333333333333331</v>
      </c>
      <c r="K780" s="323">
        <v>0.41666666666666669</v>
      </c>
      <c r="L780" s="323">
        <v>0.41666666666666669</v>
      </c>
      <c r="M780" s="323"/>
      <c r="N780" s="323"/>
      <c r="O780" s="323"/>
      <c r="P780" s="323"/>
      <c r="Q780" s="323"/>
      <c r="R780" s="323"/>
      <c r="S780" s="323"/>
      <c r="T780" s="323"/>
      <c r="U780" s="323"/>
      <c r="V780" s="316">
        <f t="shared" ref="V780:V804" si="71">SUM(I780:U780)</f>
        <v>1.5</v>
      </c>
      <c r="W780" s="316">
        <v>15.18</v>
      </c>
      <c r="X780" s="316">
        <f t="shared" si="70"/>
        <v>22.77</v>
      </c>
      <c r="Y780" s="322">
        <f>X780/X779</f>
        <v>0.375</v>
      </c>
      <c r="Z780" s="572"/>
      <c r="AA780" s="567"/>
    </row>
    <row r="781" spans="1:27" s="311" customFormat="1" ht="15" customHeight="1" outlineLevel="1">
      <c r="A781" s="273">
        <v>777</v>
      </c>
      <c r="B781" s="273" t="s">
        <v>0</v>
      </c>
      <c r="C781" s="305" t="s">
        <v>1044</v>
      </c>
      <c r="D781" s="306" t="s">
        <v>1045</v>
      </c>
      <c r="E781" s="307" t="s">
        <v>1044</v>
      </c>
      <c r="F781" s="553" t="str">
        <f t="shared" si="69"/>
        <v>PREVGastalho 10x2,0cm</v>
      </c>
      <c r="G781" s="611" t="s">
        <v>74</v>
      </c>
      <c r="H781" s="307" t="s">
        <v>733</v>
      </c>
      <c r="I781" s="321">
        <v>20</v>
      </c>
      <c r="J781" s="321">
        <v>25</v>
      </c>
      <c r="K781" s="321">
        <v>25</v>
      </c>
      <c r="L781" s="321">
        <v>25</v>
      </c>
      <c r="M781" s="321">
        <v>25</v>
      </c>
      <c r="N781" s="321">
        <v>25</v>
      </c>
      <c r="O781" s="321">
        <v>25</v>
      </c>
      <c r="P781" s="321">
        <v>25</v>
      </c>
      <c r="Q781" s="321">
        <v>25</v>
      </c>
      <c r="R781" s="321">
        <v>25</v>
      </c>
      <c r="S781" s="321">
        <v>25</v>
      </c>
      <c r="T781" s="321">
        <v>25</v>
      </c>
      <c r="U781" s="321">
        <v>5</v>
      </c>
      <c r="V781" s="308">
        <f t="shared" si="71"/>
        <v>300</v>
      </c>
      <c r="W781" s="308">
        <v>5.79</v>
      </c>
      <c r="X781" s="308">
        <f t="shared" si="70"/>
        <v>1737</v>
      </c>
      <c r="Y781" s="322" t="s">
        <v>74</v>
      </c>
      <c r="Z781" s="575"/>
      <c r="AA781" s="567"/>
    </row>
    <row r="782" spans="1:27" s="318" customFormat="1" ht="15" customHeight="1" outlineLevel="1">
      <c r="A782" s="282">
        <v>778</v>
      </c>
      <c r="B782" s="282" t="s">
        <v>1</v>
      </c>
      <c r="C782" s="312" t="s">
        <v>1044</v>
      </c>
      <c r="D782" s="313" t="s">
        <v>1045</v>
      </c>
      <c r="E782" s="314" t="s">
        <v>1044</v>
      </c>
      <c r="F782" s="553" t="str">
        <f t="shared" si="69"/>
        <v>REALGastalho 10x2,0cm</v>
      </c>
      <c r="G782" s="609">
        <f>Y782</f>
        <v>0.38999999999999996</v>
      </c>
      <c r="H782" s="315" t="s">
        <v>733</v>
      </c>
      <c r="I782" s="323">
        <v>30</v>
      </c>
      <c r="J782" s="323">
        <v>30</v>
      </c>
      <c r="K782" s="323">
        <v>32</v>
      </c>
      <c r="L782" s="323">
        <v>25</v>
      </c>
      <c r="M782" s="323"/>
      <c r="N782" s="323"/>
      <c r="O782" s="323"/>
      <c r="P782" s="323"/>
      <c r="Q782" s="323"/>
      <c r="R782" s="323"/>
      <c r="S782" s="323"/>
      <c r="T782" s="323"/>
      <c r="U782" s="323"/>
      <c r="V782" s="316">
        <f t="shared" si="71"/>
        <v>117</v>
      </c>
      <c r="W782" s="316">
        <v>5.79</v>
      </c>
      <c r="X782" s="316">
        <f t="shared" si="70"/>
        <v>677.43</v>
      </c>
      <c r="Y782" s="322">
        <f>X782/X781</f>
        <v>0.38999999999999996</v>
      </c>
      <c r="Z782" s="572"/>
      <c r="AA782" s="567"/>
    </row>
    <row r="783" spans="1:27" s="311" customFormat="1" ht="15" customHeight="1" outlineLevel="1">
      <c r="A783" s="273">
        <v>779</v>
      </c>
      <c r="B783" s="273" t="s">
        <v>0</v>
      </c>
      <c r="C783" s="305" t="s">
        <v>1046</v>
      </c>
      <c r="D783" s="306" t="s">
        <v>1047</v>
      </c>
      <c r="E783" s="307" t="s">
        <v>1046</v>
      </c>
      <c r="F783" s="553" t="str">
        <f t="shared" si="69"/>
        <v>PREVGrampo para cerca galvanizado 1 x 9</v>
      </c>
      <c r="G783" s="611" t="s">
        <v>74</v>
      </c>
      <c r="H783" s="307" t="s">
        <v>457</v>
      </c>
      <c r="I783" s="321">
        <v>1.4640000000000002</v>
      </c>
      <c r="J783" s="321">
        <v>1.83</v>
      </c>
      <c r="K783" s="321">
        <v>1.83</v>
      </c>
      <c r="L783" s="321">
        <v>1.83</v>
      </c>
      <c r="M783" s="321">
        <v>1.83</v>
      </c>
      <c r="N783" s="321">
        <v>1.83</v>
      </c>
      <c r="O783" s="321">
        <v>1.83</v>
      </c>
      <c r="P783" s="321">
        <v>1.83</v>
      </c>
      <c r="Q783" s="321">
        <v>1.84</v>
      </c>
      <c r="R783" s="321">
        <v>1.84</v>
      </c>
      <c r="S783" s="321">
        <v>1.84</v>
      </c>
      <c r="T783" s="321">
        <v>1.84</v>
      </c>
      <c r="U783" s="321">
        <v>0.36800000000000005</v>
      </c>
      <c r="V783" s="308">
        <f t="shared" si="71"/>
        <v>22.001999999999999</v>
      </c>
      <c r="W783" s="308">
        <v>10.95</v>
      </c>
      <c r="X783" s="308">
        <f t="shared" si="70"/>
        <v>240.92189999999997</v>
      </c>
      <c r="Y783" s="322" t="s">
        <v>74</v>
      </c>
      <c r="Z783" s="575"/>
      <c r="AA783" s="567"/>
    </row>
    <row r="784" spans="1:27" s="318" customFormat="1" ht="15" customHeight="1" outlineLevel="1">
      <c r="A784" s="282">
        <v>780</v>
      </c>
      <c r="B784" s="282" t="s">
        <v>1</v>
      </c>
      <c r="C784" s="312" t="s">
        <v>1046</v>
      </c>
      <c r="D784" s="313" t="s">
        <v>1047</v>
      </c>
      <c r="E784" s="314" t="s">
        <v>1046</v>
      </c>
      <c r="F784" s="553" t="str">
        <f t="shared" si="69"/>
        <v>REALGrampo para cerca galvanizado 1 x 9</v>
      </c>
      <c r="G784" s="609">
        <f>Y784</f>
        <v>0.40905372238887378</v>
      </c>
      <c r="H784" s="315" t="s">
        <v>457</v>
      </c>
      <c r="I784" s="323">
        <v>2</v>
      </c>
      <c r="J784" s="323">
        <v>2</v>
      </c>
      <c r="K784" s="323">
        <v>3</v>
      </c>
      <c r="L784" s="323">
        <v>2</v>
      </c>
      <c r="M784" s="323"/>
      <c r="N784" s="323"/>
      <c r="O784" s="323"/>
      <c r="P784" s="323"/>
      <c r="Q784" s="323"/>
      <c r="R784" s="323"/>
      <c r="S784" s="323"/>
      <c r="T784" s="323"/>
      <c r="U784" s="323"/>
      <c r="V784" s="316">
        <f t="shared" si="71"/>
        <v>9</v>
      </c>
      <c r="W784" s="316">
        <v>10.95</v>
      </c>
      <c r="X784" s="316">
        <f t="shared" si="70"/>
        <v>98.55</v>
      </c>
      <c r="Y784" s="322">
        <f>X784/X783</f>
        <v>0.40905372238887378</v>
      </c>
      <c r="Z784" s="572"/>
      <c r="AA784" s="567"/>
    </row>
    <row r="785" spans="1:27" s="311" customFormat="1" ht="15" customHeight="1" outlineLevel="1">
      <c r="A785" s="273">
        <v>781</v>
      </c>
      <c r="B785" s="273" t="s">
        <v>0</v>
      </c>
      <c r="C785" s="305" t="s">
        <v>1048</v>
      </c>
      <c r="D785" s="306" t="s">
        <v>1049</v>
      </c>
      <c r="E785" s="307" t="s">
        <v>1048</v>
      </c>
      <c r="F785" s="553" t="str">
        <f t="shared" si="69"/>
        <v>PREVLâmpada comum 80‐100W</v>
      </c>
      <c r="G785" s="611" t="s">
        <v>74</v>
      </c>
      <c r="H785" s="307" t="s">
        <v>228</v>
      </c>
      <c r="I785" s="321">
        <v>2</v>
      </c>
      <c r="J785" s="321">
        <v>2.5</v>
      </c>
      <c r="K785" s="321">
        <v>2.5</v>
      </c>
      <c r="L785" s="321">
        <v>2.5</v>
      </c>
      <c r="M785" s="321">
        <v>2.5</v>
      </c>
      <c r="N785" s="321">
        <v>2.5</v>
      </c>
      <c r="O785" s="321">
        <v>2.5</v>
      </c>
      <c r="P785" s="321">
        <v>2.5</v>
      </c>
      <c r="Q785" s="321">
        <v>2.5</v>
      </c>
      <c r="R785" s="321">
        <v>2.5</v>
      </c>
      <c r="S785" s="321">
        <v>2.5</v>
      </c>
      <c r="T785" s="321">
        <v>2.5</v>
      </c>
      <c r="U785" s="321">
        <v>0.5</v>
      </c>
      <c r="V785" s="308">
        <f t="shared" si="71"/>
        <v>30</v>
      </c>
      <c r="W785" s="308">
        <v>4.03</v>
      </c>
      <c r="X785" s="308">
        <f t="shared" si="70"/>
        <v>120.9</v>
      </c>
      <c r="Y785" s="322" t="s">
        <v>74</v>
      </c>
      <c r="Z785" s="575"/>
      <c r="AA785" s="567"/>
    </row>
    <row r="786" spans="1:27" s="318" customFormat="1" ht="15" customHeight="1" outlineLevel="1">
      <c r="A786" s="282">
        <v>782</v>
      </c>
      <c r="B786" s="282" t="s">
        <v>1</v>
      </c>
      <c r="C786" s="312" t="s">
        <v>1048</v>
      </c>
      <c r="D786" s="313" t="s">
        <v>1049</v>
      </c>
      <c r="E786" s="314" t="s">
        <v>1048</v>
      </c>
      <c r="F786" s="553" t="str">
        <f t="shared" si="69"/>
        <v>REALLâmpada comum 80‐100W</v>
      </c>
      <c r="G786" s="609">
        <f>Y786</f>
        <v>1</v>
      </c>
      <c r="H786" s="315" t="s">
        <v>228</v>
      </c>
      <c r="I786" s="323">
        <v>0</v>
      </c>
      <c r="J786" s="323">
        <v>0</v>
      </c>
      <c r="K786" s="323">
        <v>30</v>
      </c>
      <c r="L786" s="323">
        <v>0</v>
      </c>
      <c r="M786" s="323"/>
      <c r="N786" s="323"/>
      <c r="O786" s="323"/>
      <c r="P786" s="323"/>
      <c r="Q786" s="323"/>
      <c r="R786" s="323"/>
      <c r="S786" s="323"/>
      <c r="T786" s="323"/>
      <c r="U786" s="323"/>
      <c r="V786" s="316">
        <f t="shared" si="71"/>
        <v>30</v>
      </c>
      <c r="W786" s="316">
        <v>4.03</v>
      </c>
      <c r="X786" s="316">
        <f t="shared" si="70"/>
        <v>120.9</v>
      </c>
      <c r="Y786" s="322">
        <f>X786/X785</f>
        <v>1</v>
      </c>
      <c r="Z786" s="572"/>
      <c r="AA786" s="567"/>
    </row>
    <row r="787" spans="1:27" s="311" customFormat="1" ht="15" customHeight="1" outlineLevel="1">
      <c r="A787" s="273">
        <v>783</v>
      </c>
      <c r="B787" s="273" t="s">
        <v>0</v>
      </c>
      <c r="C787" s="305" t="s">
        <v>1050</v>
      </c>
      <c r="D787" s="306" t="s">
        <v>1051</v>
      </c>
      <c r="E787" s="307" t="s">
        <v>1050</v>
      </c>
      <c r="F787" s="553" t="str">
        <f t="shared" si="69"/>
        <v>PREVLâmpada fluorecente de 20W</v>
      </c>
      <c r="G787" s="611" t="s">
        <v>74</v>
      </c>
      <c r="H787" s="307" t="s">
        <v>228</v>
      </c>
      <c r="I787" s="321">
        <v>2</v>
      </c>
      <c r="J787" s="321">
        <v>2.5</v>
      </c>
      <c r="K787" s="321">
        <v>2.5</v>
      </c>
      <c r="L787" s="321">
        <v>2.5</v>
      </c>
      <c r="M787" s="321">
        <v>2.5</v>
      </c>
      <c r="N787" s="321">
        <v>2.5</v>
      </c>
      <c r="O787" s="321">
        <v>2.5</v>
      </c>
      <c r="P787" s="321">
        <v>2.5</v>
      </c>
      <c r="Q787" s="321">
        <v>2.5</v>
      </c>
      <c r="R787" s="321">
        <v>2.5</v>
      </c>
      <c r="S787" s="321">
        <v>2.5</v>
      </c>
      <c r="T787" s="321">
        <v>2.5</v>
      </c>
      <c r="U787" s="321">
        <v>0.5</v>
      </c>
      <c r="V787" s="308">
        <f t="shared" si="71"/>
        <v>30</v>
      </c>
      <c r="W787" s="308">
        <v>21</v>
      </c>
      <c r="X787" s="308">
        <f t="shared" si="70"/>
        <v>630</v>
      </c>
      <c r="Y787" s="322" t="s">
        <v>74</v>
      </c>
      <c r="Z787" s="575"/>
      <c r="AA787" s="567"/>
    </row>
    <row r="788" spans="1:27" s="318" customFormat="1" ht="15" customHeight="1" outlineLevel="1">
      <c r="A788" s="282">
        <v>784</v>
      </c>
      <c r="B788" s="282" t="s">
        <v>1</v>
      </c>
      <c r="C788" s="312" t="s">
        <v>1050</v>
      </c>
      <c r="D788" s="313" t="s">
        <v>1051</v>
      </c>
      <c r="E788" s="314" t="s">
        <v>1050</v>
      </c>
      <c r="F788" s="553" t="str">
        <f t="shared" si="69"/>
        <v>REALLâmpada fluorecente de 20W</v>
      </c>
      <c r="G788" s="609">
        <f>Y788</f>
        <v>0</v>
      </c>
      <c r="H788" s="315" t="s">
        <v>228</v>
      </c>
      <c r="I788" s="323">
        <v>0</v>
      </c>
      <c r="J788" s="323">
        <v>0</v>
      </c>
      <c r="K788" s="323">
        <v>0</v>
      </c>
      <c r="L788" s="323">
        <v>0</v>
      </c>
      <c r="M788" s="323"/>
      <c r="N788" s="323"/>
      <c r="O788" s="323"/>
      <c r="P788" s="323"/>
      <c r="Q788" s="323"/>
      <c r="R788" s="323"/>
      <c r="S788" s="323"/>
      <c r="T788" s="323"/>
      <c r="U788" s="323"/>
      <c r="V788" s="316">
        <f t="shared" si="71"/>
        <v>0</v>
      </c>
      <c r="W788" s="316">
        <v>21</v>
      </c>
      <c r="X788" s="316">
        <f t="shared" si="70"/>
        <v>0</v>
      </c>
      <c r="Y788" s="322">
        <f>X788/X787</f>
        <v>0</v>
      </c>
      <c r="Z788" s="572"/>
      <c r="AA788" s="567"/>
    </row>
    <row r="789" spans="1:27" s="311" customFormat="1" ht="15" customHeight="1" outlineLevel="1">
      <c r="A789" s="273">
        <v>785</v>
      </c>
      <c r="B789" s="273" t="s">
        <v>0</v>
      </c>
      <c r="C789" s="305" t="s">
        <v>1052</v>
      </c>
      <c r="D789" s="306" t="s">
        <v>1053</v>
      </c>
      <c r="E789" s="307" t="s">
        <v>1052</v>
      </c>
      <c r="F789" s="553" t="str">
        <f t="shared" si="69"/>
        <v>PREVLâmpada vapor mercúrio 400 W (base E40)</v>
      </c>
      <c r="G789" s="611" t="s">
        <v>74</v>
      </c>
      <c r="H789" s="307" t="s">
        <v>228</v>
      </c>
      <c r="I789" s="321">
        <v>0.26400000000000001</v>
      </c>
      <c r="J789" s="321">
        <v>0.33</v>
      </c>
      <c r="K789" s="321">
        <v>0.33</v>
      </c>
      <c r="L789" s="321">
        <v>0.33</v>
      </c>
      <c r="M789" s="321">
        <v>0.33</v>
      </c>
      <c r="N789" s="321">
        <v>0.33</v>
      </c>
      <c r="O789" s="321">
        <v>0.33</v>
      </c>
      <c r="P789" s="321">
        <v>0.33</v>
      </c>
      <c r="Q789" s="321">
        <v>0.34</v>
      </c>
      <c r="R789" s="321">
        <v>0.34</v>
      </c>
      <c r="S789" s="321">
        <v>0.34</v>
      </c>
      <c r="T789" s="321">
        <v>0.34</v>
      </c>
      <c r="U789" s="321">
        <v>6.8000000000000005E-2</v>
      </c>
      <c r="V789" s="308">
        <f t="shared" si="71"/>
        <v>4.0019999999999998</v>
      </c>
      <c r="W789" s="308">
        <v>72.05</v>
      </c>
      <c r="X789" s="308">
        <f t="shared" si="70"/>
        <v>288.34409999999997</v>
      </c>
      <c r="Y789" s="322" t="s">
        <v>74</v>
      </c>
      <c r="Z789" s="575"/>
      <c r="AA789" s="567"/>
    </row>
    <row r="790" spans="1:27" s="318" customFormat="1" ht="15" customHeight="1" outlineLevel="1">
      <c r="A790" s="282">
        <v>786</v>
      </c>
      <c r="B790" s="282" t="s">
        <v>1</v>
      </c>
      <c r="C790" s="312" t="s">
        <v>1052</v>
      </c>
      <c r="D790" s="313" t="s">
        <v>1053</v>
      </c>
      <c r="E790" s="314" t="s">
        <v>1052</v>
      </c>
      <c r="F790" s="553" t="str">
        <f t="shared" si="69"/>
        <v>REALLâmpada vapor mercúrio 400 W (base E40)</v>
      </c>
      <c r="G790" s="609">
        <f>Y790</f>
        <v>0.99950024987506259</v>
      </c>
      <c r="H790" s="315" t="s">
        <v>228</v>
      </c>
      <c r="I790" s="323">
        <v>0</v>
      </c>
      <c r="J790" s="323">
        <v>0</v>
      </c>
      <c r="K790" s="323">
        <v>4</v>
      </c>
      <c r="L790" s="323">
        <v>0</v>
      </c>
      <c r="M790" s="323"/>
      <c r="N790" s="323"/>
      <c r="O790" s="323"/>
      <c r="P790" s="323"/>
      <c r="Q790" s="323"/>
      <c r="R790" s="323"/>
      <c r="S790" s="323"/>
      <c r="T790" s="323"/>
      <c r="U790" s="323"/>
      <c r="V790" s="316">
        <f t="shared" si="71"/>
        <v>4</v>
      </c>
      <c r="W790" s="316">
        <v>72.05</v>
      </c>
      <c r="X790" s="316">
        <f t="shared" si="70"/>
        <v>288.2</v>
      </c>
      <c r="Y790" s="322">
        <f>X790/X789</f>
        <v>0.99950024987506259</v>
      </c>
      <c r="Z790" s="572"/>
      <c r="AA790" s="567"/>
    </row>
    <row r="791" spans="1:27" s="311" customFormat="1" ht="15" customHeight="1" outlineLevel="1">
      <c r="A791" s="273">
        <v>787</v>
      </c>
      <c r="B791" s="273" t="s">
        <v>0</v>
      </c>
      <c r="C791" s="305" t="s">
        <v>1054</v>
      </c>
      <c r="D791" s="306" t="s">
        <v>1055</v>
      </c>
      <c r="E791" s="307" t="s">
        <v>1054</v>
      </c>
      <c r="F791" s="553" t="str">
        <f t="shared" si="69"/>
        <v>PREVLixa nº120</v>
      </c>
      <c r="G791" s="611" t="s">
        <v>74</v>
      </c>
      <c r="H791" s="307" t="s">
        <v>228</v>
      </c>
      <c r="I791" s="321">
        <v>0.60000000000000009</v>
      </c>
      <c r="J791" s="321">
        <v>0.75</v>
      </c>
      <c r="K791" s="321">
        <v>0.75</v>
      </c>
      <c r="L791" s="321">
        <v>0.75</v>
      </c>
      <c r="M791" s="321">
        <v>0.75</v>
      </c>
      <c r="N791" s="321">
        <v>0.75</v>
      </c>
      <c r="O791" s="321">
        <v>0.75</v>
      </c>
      <c r="P791" s="321">
        <v>0.75</v>
      </c>
      <c r="Q791" s="321">
        <v>0.75</v>
      </c>
      <c r="R791" s="321">
        <v>0.75</v>
      </c>
      <c r="S791" s="321">
        <v>0.75</v>
      </c>
      <c r="T791" s="321">
        <v>0.75</v>
      </c>
      <c r="U791" s="321">
        <v>0.15000000000000002</v>
      </c>
      <c r="V791" s="308">
        <f t="shared" si="71"/>
        <v>9</v>
      </c>
      <c r="W791" s="308">
        <v>0.67</v>
      </c>
      <c r="X791" s="308">
        <f t="shared" si="70"/>
        <v>6.03</v>
      </c>
      <c r="Y791" s="322" t="s">
        <v>74</v>
      </c>
      <c r="Z791" s="575"/>
      <c r="AA791" s="567"/>
    </row>
    <row r="792" spans="1:27" s="318" customFormat="1" ht="15" customHeight="1" outlineLevel="1">
      <c r="A792" s="282">
        <v>788</v>
      </c>
      <c r="B792" s="282" t="s">
        <v>1</v>
      </c>
      <c r="C792" s="312" t="s">
        <v>1054</v>
      </c>
      <c r="D792" s="313" t="s">
        <v>1055</v>
      </c>
      <c r="E792" s="314">
        <v>45361</v>
      </c>
      <c r="F792" s="553" t="str">
        <f t="shared" si="69"/>
        <v>REALLixa nº120</v>
      </c>
      <c r="G792" s="609">
        <f>Y792</f>
        <v>0.35185185185185192</v>
      </c>
      <c r="H792" s="315" t="s">
        <v>228</v>
      </c>
      <c r="I792" s="323">
        <v>0.75</v>
      </c>
      <c r="J792" s="323">
        <v>0.75</v>
      </c>
      <c r="K792" s="323">
        <v>0.83333333333333337</v>
      </c>
      <c r="L792" s="323">
        <v>0.83333333333333337</v>
      </c>
      <c r="M792" s="323"/>
      <c r="N792" s="323"/>
      <c r="O792" s="323"/>
      <c r="P792" s="323"/>
      <c r="Q792" s="323"/>
      <c r="R792" s="323"/>
      <c r="S792" s="323"/>
      <c r="T792" s="323"/>
      <c r="U792" s="323"/>
      <c r="V792" s="316">
        <f t="shared" si="71"/>
        <v>3.166666666666667</v>
      </c>
      <c r="W792" s="316">
        <v>0.67</v>
      </c>
      <c r="X792" s="316">
        <f t="shared" si="70"/>
        <v>2.121666666666667</v>
      </c>
      <c r="Y792" s="322">
        <f>X792/X791</f>
        <v>0.35185185185185192</v>
      </c>
      <c r="Z792" s="572"/>
      <c r="AA792" s="567"/>
    </row>
    <row r="793" spans="1:27" s="311" customFormat="1" ht="15" customHeight="1" outlineLevel="1">
      <c r="A793" s="273">
        <v>789</v>
      </c>
      <c r="B793" s="273" t="s">
        <v>0</v>
      </c>
      <c r="C793" s="305" t="s">
        <v>1056</v>
      </c>
      <c r="D793" s="306" t="s">
        <v>1057</v>
      </c>
      <c r="E793" s="307" t="s">
        <v>1056</v>
      </c>
      <c r="F793" s="553" t="str">
        <f t="shared" si="69"/>
        <v>PREVLona plástica ‐ 150micra</v>
      </c>
      <c r="G793" s="611" t="s">
        <v>74</v>
      </c>
      <c r="H793" s="307" t="s">
        <v>1037</v>
      </c>
      <c r="I793" s="321">
        <v>26.664000000000001</v>
      </c>
      <c r="J793" s="321">
        <v>33.33</v>
      </c>
      <c r="K793" s="321">
        <v>33.33</v>
      </c>
      <c r="L793" s="321">
        <v>33.33</v>
      </c>
      <c r="M793" s="321">
        <v>33.33</v>
      </c>
      <c r="N793" s="321">
        <v>33.33</v>
      </c>
      <c r="O793" s="321">
        <v>33.33</v>
      </c>
      <c r="P793" s="321">
        <v>33.33</v>
      </c>
      <c r="Q793" s="321">
        <v>33.340000000000003</v>
      </c>
      <c r="R793" s="321">
        <v>33.340000000000003</v>
      </c>
      <c r="S793" s="321">
        <v>33.340000000000003</v>
      </c>
      <c r="T793" s="321">
        <v>33.340000000000003</v>
      </c>
      <c r="U793" s="321">
        <v>6.668000000000001</v>
      </c>
      <c r="V793" s="308">
        <f t="shared" si="71"/>
        <v>400.00200000000007</v>
      </c>
      <c r="W793" s="308">
        <v>1.49</v>
      </c>
      <c r="X793" s="308">
        <f t="shared" si="70"/>
        <v>596.00298000000009</v>
      </c>
      <c r="Y793" s="322" t="s">
        <v>74</v>
      </c>
      <c r="Z793" s="575"/>
      <c r="AA793" s="567"/>
    </row>
    <row r="794" spans="1:27" s="318" customFormat="1" ht="15" customHeight="1" outlineLevel="1">
      <c r="A794" s="282">
        <v>790</v>
      </c>
      <c r="B794" s="282" t="s">
        <v>1</v>
      </c>
      <c r="C794" s="312" t="s">
        <v>1056</v>
      </c>
      <c r="D794" s="313" t="s">
        <v>1057</v>
      </c>
      <c r="E794" s="314" t="s">
        <v>1056</v>
      </c>
      <c r="F794" s="553" t="str">
        <f t="shared" si="69"/>
        <v>REALLona plástica ‐ 150micra</v>
      </c>
      <c r="G794" s="609">
        <f>Y794</f>
        <v>0.56499717501412483</v>
      </c>
      <c r="H794" s="315" t="s">
        <v>1037</v>
      </c>
      <c r="I794" s="323">
        <v>5</v>
      </c>
      <c r="J794" s="323">
        <v>5</v>
      </c>
      <c r="K794" s="323">
        <v>214</v>
      </c>
      <c r="L794" s="323">
        <v>2</v>
      </c>
      <c r="M794" s="323"/>
      <c r="N794" s="323"/>
      <c r="O794" s="323"/>
      <c r="P794" s="323"/>
      <c r="Q794" s="323"/>
      <c r="R794" s="323"/>
      <c r="S794" s="323"/>
      <c r="T794" s="323"/>
      <c r="U794" s="323"/>
      <c r="V794" s="316">
        <f t="shared" si="71"/>
        <v>226</v>
      </c>
      <c r="W794" s="316">
        <v>1.49</v>
      </c>
      <c r="X794" s="316">
        <f t="shared" si="70"/>
        <v>336.74</v>
      </c>
      <c r="Y794" s="322">
        <f>X794/X793</f>
        <v>0.56499717501412483</v>
      </c>
      <c r="Z794" s="572"/>
      <c r="AA794" s="567"/>
    </row>
    <row r="795" spans="1:27" s="311" customFormat="1" ht="15" customHeight="1" outlineLevel="1">
      <c r="A795" s="273">
        <v>791</v>
      </c>
      <c r="B795" s="273" t="s">
        <v>0</v>
      </c>
      <c r="C795" s="305" t="s">
        <v>1058</v>
      </c>
      <c r="D795" s="306" t="s">
        <v>1059</v>
      </c>
      <c r="E795" s="307" t="s">
        <v>1058</v>
      </c>
      <c r="F795" s="553" t="str">
        <f t="shared" si="69"/>
        <v>PREVMassa corrida ‐ latão 18 l</v>
      </c>
      <c r="G795" s="611" t="s">
        <v>74</v>
      </c>
      <c r="H795" s="307" t="s">
        <v>228</v>
      </c>
      <c r="I795" s="321">
        <v>0.33600000000000002</v>
      </c>
      <c r="J795" s="321">
        <v>0.42</v>
      </c>
      <c r="K795" s="321">
        <v>0.42</v>
      </c>
      <c r="L795" s="321">
        <v>0.42</v>
      </c>
      <c r="M795" s="321">
        <v>0.42</v>
      </c>
      <c r="N795" s="321">
        <v>0.42</v>
      </c>
      <c r="O795" s="321">
        <v>0.42</v>
      </c>
      <c r="P795" s="321">
        <v>0.42</v>
      </c>
      <c r="Q795" s="321">
        <v>0.41</v>
      </c>
      <c r="R795" s="321">
        <v>0.41</v>
      </c>
      <c r="S795" s="321">
        <v>0.41</v>
      </c>
      <c r="T795" s="321">
        <v>0.41</v>
      </c>
      <c r="U795" s="321">
        <v>8.2000000000000003E-2</v>
      </c>
      <c r="V795" s="308">
        <f t="shared" si="71"/>
        <v>4.9980000000000002</v>
      </c>
      <c r="W795" s="308">
        <v>76.290000000000006</v>
      </c>
      <c r="X795" s="308">
        <f t="shared" si="70"/>
        <v>381.29742000000005</v>
      </c>
      <c r="Y795" s="322" t="s">
        <v>74</v>
      </c>
      <c r="Z795" s="575"/>
      <c r="AA795" s="567"/>
    </row>
    <row r="796" spans="1:27" s="318" customFormat="1" ht="15" customHeight="1" outlineLevel="1">
      <c r="A796" s="282">
        <v>792</v>
      </c>
      <c r="B796" s="282" t="s">
        <v>1</v>
      </c>
      <c r="C796" s="312" t="s">
        <v>1058</v>
      </c>
      <c r="D796" s="313" t="s">
        <v>1059</v>
      </c>
      <c r="E796" s="314" t="s">
        <v>1058</v>
      </c>
      <c r="F796" s="553" t="str">
        <f t="shared" si="69"/>
        <v>REALMassa corrida ‐ latão 18 l</v>
      </c>
      <c r="G796" s="609">
        <f>Y796</f>
        <v>0.36681339202347601</v>
      </c>
      <c r="H796" s="315" t="s">
        <v>228</v>
      </c>
      <c r="I796" s="323">
        <v>0.41666666666666669</v>
      </c>
      <c r="J796" s="323">
        <v>0.41666666666666669</v>
      </c>
      <c r="K796" s="323">
        <v>0.5</v>
      </c>
      <c r="L796" s="323">
        <v>0.5</v>
      </c>
      <c r="M796" s="323"/>
      <c r="N796" s="323"/>
      <c r="O796" s="323"/>
      <c r="P796" s="323"/>
      <c r="Q796" s="323"/>
      <c r="R796" s="323"/>
      <c r="S796" s="323"/>
      <c r="T796" s="323"/>
      <c r="U796" s="323"/>
      <c r="V796" s="316">
        <f t="shared" si="71"/>
        <v>1.8333333333333335</v>
      </c>
      <c r="W796" s="316">
        <v>76.290000000000006</v>
      </c>
      <c r="X796" s="316">
        <f t="shared" si="70"/>
        <v>139.86500000000001</v>
      </c>
      <c r="Y796" s="322">
        <f>X796/X795</f>
        <v>0.36681339202347601</v>
      </c>
      <c r="Z796" s="572"/>
      <c r="AA796" s="567"/>
    </row>
    <row r="797" spans="1:27" s="311" customFormat="1" ht="15" customHeight="1" outlineLevel="1">
      <c r="A797" s="273">
        <v>793</v>
      </c>
      <c r="B797" s="273" t="s">
        <v>0</v>
      </c>
      <c r="C797" s="305" t="s">
        <v>1060</v>
      </c>
      <c r="D797" s="306" t="s">
        <v>1061</v>
      </c>
      <c r="E797" s="307" t="s">
        <v>1060</v>
      </c>
      <c r="F797" s="553" t="str">
        <f t="shared" si="69"/>
        <v>PREVMourão de concreto reto para cercas</v>
      </c>
      <c r="G797" s="611" t="s">
        <v>74</v>
      </c>
      <c r="H797" s="307" t="s">
        <v>228</v>
      </c>
      <c r="I797" s="321">
        <v>3.3360000000000003</v>
      </c>
      <c r="J797" s="321">
        <v>4.17</v>
      </c>
      <c r="K797" s="321">
        <v>4.17</v>
      </c>
      <c r="L797" s="321">
        <v>4.17</v>
      </c>
      <c r="M797" s="321">
        <v>4.17</v>
      </c>
      <c r="N797" s="321">
        <v>4.17</v>
      </c>
      <c r="O797" s="321">
        <v>4.17</v>
      </c>
      <c r="P797" s="321">
        <v>4.17</v>
      </c>
      <c r="Q797" s="321">
        <v>4.16</v>
      </c>
      <c r="R797" s="321">
        <v>4.16</v>
      </c>
      <c r="S797" s="321">
        <v>4.16</v>
      </c>
      <c r="T797" s="321">
        <v>4.16</v>
      </c>
      <c r="U797" s="321">
        <v>0.83200000000000007</v>
      </c>
      <c r="V797" s="308">
        <f t="shared" si="71"/>
        <v>49.997999999999998</v>
      </c>
      <c r="W797" s="308">
        <v>174.46</v>
      </c>
      <c r="X797" s="308">
        <f t="shared" si="70"/>
        <v>8722.6510799999996</v>
      </c>
      <c r="Y797" s="322" t="s">
        <v>74</v>
      </c>
      <c r="Z797" s="575"/>
      <c r="AA797" s="567"/>
    </row>
    <row r="798" spans="1:27" s="318" customFormat="1" ht="15" customHeight="1" outlineLevel="1">
      <c r="A798" s="282">
        <v>794</v>
      </c>
      <c r="B798" s="282" t="s">
        <v>1</v>
      </c>
      <c r="C798" s="312" t="s">
        <v>1060</v>
      </c>
      <c r="D798" s="313" t="s">
        <v>1061</v>
      </c>
      <c r="E798" s="314" t="s">
        <v>1060</v>
      </c>
      <c r="F798" s="553" t="str">
        <f t="shared" si="69"/>
        <v>REALMourão de concreto reto para cercas</v>
      </c>
      <c r="G798" s="609">
        <f>Y798</f>
        <v>0</v>
      </c>
      <c r="H798" s="315" t="s">
        <v>228</v>
      </c>
      <c r="I798" s="323">
        <v>0</v>
      </c>
      <c r="J798" s="323">
        <v>0</v>
      </c>
      <c r="K798" s="323">
        <v>0</v>
      </c>
      <c r="L798" s="323">
        <v>0</v>
      </c>
      <c r="M798" s="323"/>
      <c r="N798" s="323"/>
      <c r="O798" s="323"/>
      <c r="P798" s="323"/>
      <c r="Q798" s="323"/>
      <c r="R798" s="323"/>
      <c r="S798" s="323"/>
      <c r="T798" s="323"/>
      <c r="U798" s="323"/>
      <c r="V798" s="316">
        <f t="shared" si="71"/>
        <v>0</v>
      </c>
      <c r="W798" s="316">
        <v>174.46</v>
      </c>
      <c r="X798" s="316">
        <f t="shared" si="70"/>
        <v>0</v>
      </c>
      <c r="Y798" s="322">
        <f>X798/X797</f>
        <v>0</v>
      </c>
      <c r="Z798" s="572"/>
      <c r="AA798" s="567"/>
    </row>
    <row r="799" spans="1:27" s="311" customFormat="1" ht="15" customHeight="1" outlineLevel="1">
      <c r="A799" s="273">
        <v>795</v>
      </c>
      <c r="B799" s="273" t="s">
        <v>0</v>
      </c>
      <c r="C799" s="305" t="s">
        <v>1062</v>
      </c>
      <c r="D799" s="306" t="s">
        <v>1063</v>
      </c>
      <c r="E799" s="307" t="s">
        <v>1062</v>
      </c>
      <c r="F799" s="553" t="str">
        <f t="shared" si="69"/>
        <v>PREVPincel 1"</v>
      </c>
      <c r="G799" s="611" t="s">
        <v>74</v>
      </c>
      <c r="H799" s="307" t="s">
        <v>228</v>
      </c>
      <c r="I799" s="321">
        <v>1.3360000000000001</v>
      </c>
      <c r="J799" s="321">
        <v>1.67</v>
      </c>
      <c r="K799" s="321">
        <v>1.67</v>
      </c>
      <c r="L799" s="321">
        <v>1.67</v>
      </c>
      <c r="M799" s="321">
        <v>1.67</v>
      </c>
      <c r="N799" s="321">
        <v>1.67</v>
      </c>
      <c r="O799" s="321">
        <v>1.67</v>
      </c>
      <c r="P799" s="321">
        <v>1.67</v>
      </c>
      <c r="Q799" s="321">
        <v>1.66</v>
      </c>
      <c r="R799" s="321">
        <v>1.66</v>
      </c>
      <c r="S799" s="321">
        <v>1.66</v>
      </c>
      <c r="T799" s="321">
        <v>1.66</v>
      </c>
      <c r="U799" s="321">
        <v>0.33200000000000002</v>
      </c>
      <c r="V799" s="308">
        <f t="shared" si="71"/>
        <v>19.998000000000001</v>
      </c>
      <c r="W799" s="308">
        <v>4.2</v>
      </c>
      <c r="X799" s="308">
        <f t="shared" si="70"/>
        <v>83.991600000000005</v>
      </c>
      <c r="Y799" s="322" t="s">
        <v>74</v>
      </c>
      <c r="Z799" s="575"/>
      <c r="AA799" s="567"/>
    </row>
    <row r="800" spans="1:27" s="318" customFormat="1" ht="15" customHeight="1" outlineLevel="1">
      <c r="A800" s="282">
        <v>796</v>
      </c>
      <c r="B800" s="282" t="s">
        <v>1</v>
      </c>
      <c r="C800" s="312" t="s">
        <v>1062</v>
      </c>
      <c r="D800" s="313" t="s">
        <v>1063</v>
      </c>
      <c r="E800" s="314">
        <v>46822</v>
      </c>
      <c r="F800" s="553" t="str">
        <f t="shared" si="69"/>
        <v>REALPincel 1"</v>
      </c>
      <c r="G800" s="609">
        <f>Y800</f>
        <v>0.45004500450045004</v>
      </c>
      <c r="H800" s="315" t="s">
        <v>228</v>
      </c>
      <c r="I800" s="323">
        <v>2</v>
      </c>
      <c r="J800" s="323">
        <v>2</v>
      </c>
      <c r="K800" s="323">
        <v>3</v>
      </c>
      <c r="L800" s="323">
        <v>2</v>
      </c>
      <c r="M800" s="323"/>
      <c r="N800" s="323"/>
      <c r="O800" s="323"/>
      <c r="P800" s="323"/>
      <c r="Q800" s="323"/>
      <c r="R800" s="323"/>
      <c r="S800" s="323"/>
      <c r="T800" s="323"/>
      <c r="U800" s="323"/>
      <c r="V800" s="316">
        <f t="shared" si="71"/>
        <v>9</v>
      </c>
      <c r="W800" s="316">
        <v>4.2</v>
      </c>
      <c r="X800" s="316">
        <f t="shared" si="70"/>
        <v>37.800000000000004</v>
      </c>
      <c r="Y800" s="322">
        <f>X800/X799</f>
        <v>0.45004500450045004</v>
      </c>
      <c r="Z800" s="572"/>
      <c r="AA800" s="567"/>
    </row>
    <row r="801" spans="1:27" s="311" customFormat="1" ht="15" customHeight="1" outlineLevel="1">
      <c r="A801" s="273">
        <v>797</v>
      </c>
      <c r="B801" s="273" t="s">
        <v>0</v>
      </c>
      <c r="C801" s="305" t="s">
        <v>1064</v>
      </c>
      <c r="D801" s="306" t="s">
        <v>1065</v>
      </c>
      <c r="E801" s="307" t="s">
        <v>1064</v>
      </c>
      <c r="F801" s="553" t="str">
        <f t="shared" si="69"/>
        <v>PREVPrego 18x30</v>
      </c>
      <c r="G801" s="611" t="s">
        <v>74</v>
      </c>
      <c r="H801" s="307" t="s">
        <v>457</v>
      </c>
      <c r="I801" s="321">
        <v>3.2</v>
      </c>
      <c r="J801" s="321">
        <v>4</v>
      </c>
      <c r="K801" s="321">
        <v>4</v>
      </c>
      <c r="L801" s="321">
        <v>4</v>
      </c>
      <c r="M801" s="321">
        <v>4</v>
      </c>
      <c r="N801" s="321">
        <v>4</v>
      </c>
      <c r="O801" s="321">
        <v>4</v>
      </c>
      <c r="P801" s="321">
        <v>4</v>
      </c>
      <c r="Q801" s="321">
        <v>4</v>
      </c>
      <c r="R801" s="321">
        <v>4</v>
      </c>
      <c r="S801" s="321">
        <v>4</v>
      </c>
      <c r="T801" s="321">
        <v>4</v>
      </c>
      <c r="U801" s="321">
        <v>0.8</v>
      </c>
      <c r="V801" s="308">
        <f t="shared" si="71"/>
        <v>48</v>
      </c>
      <c r="W801" s="308">
        <v>14.86</v>
      </c>
      <c r="X801" s="308">
        <f t="shared" si="70"/>
        <v>713.28</v>
      </c>
      <c r="Y801" s="322" t="s">
        <v>74</v>
      </c>
      <c r="Z801" s="575"/>
      <c r="AA801" s="567"/>
    </row>
    <row r="802" spans="1:27" s="318" customFormat="1" ht="15" customHeight="1" outlineLevel="1">
      <c r="A802" s="282">
        <v>798</v>
      </c>
      <c r="B802" s="282" t="s">
        <v>1</v>
      </c>
      <c r="C802" s="312" t="s">
        <v>1064</v>
      </c>
      <c r="D802" s="313" t="s">
        <v>1065</v>
      </c>
      <c r="E802" s="314">
        <v>47187</v>
      </c>
      <c r="F802" s="553" t="str">
        <f t="shared" si="69"/>
        <v>REALPrego 18x30</v>
      </c>
      <c r="G802" s="609">
        <f>Y802</f>
        <v>0.3125</v>
      </c>
      <c r="H802" s="315" t="s">
        <v>457</v>
      </c>
      <c r="I802" s="323">
        <v>3</v>
      </c>
      <c r="J802" s="323">
        <v>3</v>
      </c>
      <c r="K802" s="323">
        <v>4</v>
      </c>
      <c r="L802" s="323">
        <v>5</v>
      </c>
      <c r="M802" s="323"/>
      <c r="N802" s="323"/>
      <c r="O802" s="323"/>
      <c r="P802" s="323"/>
      <c r="Q802" s="323"/>
      <c r="R802" s="323"/>
      <c r="S802" s="323"/>
      <c r="T802" s="323"/>
      <c r="U802" s="323"/>
      <c r="V802" s="316">
        <f t="shared" si="71"/>
        <v>15</v>
      </c>
      <c r="W802" s="316">
        <v>14.86</v>
      </c>
      <c r="X802" s="316">
        <f t="shared" si="70"/>
        <v>222.89999999999998</v>
      </c>
      <c r="Y802" s="322">
        <f>X802/X801</f>
        <v>0.3125</v>
      </c>
      <c r="Z802" s="572"/>
      <c r="AA802" s="567"/>
    </row>
    <row r="803" spans="1:27" s="311" customFormat="1" ht="15" customHeight="1" outlineLevel="1">
      <c r="A803" s="273">
        <v>799</v>
      </c>
      <c r="B803" s="273" t="s">
        <v>0</v>
      </c>
      <c r="C803" s="305" t="s">
        <v>1066</v>
      </c>
      <c r="D803" s="306" t="s">
        <v>1067</v>
      </c>
      <c r="E803" s="307" t="s">
        <v>1066</v>
      </c>
      <c r="F803" s="553" t="str">
        <f t="shared" si="69"/>
        <v>PREVRolo de lã de carneiro ‐ 20cm</v>
      </c>
      <c r="G803" s="611" t="s">
        <v>74</v>
      </c>
      <c r="H803" s="307" t="s">
        <v>228</v>
      </c>
      <c r="I803" s="321">
        <v>1.3360000000000001</v>
      </c>
      <c r="J803" s="321">
        <v>1.67</v>
      </c>
      <c r="K803" s="321">
        <v>1.67</v>
      </c>
      <c r="L803" s="321">
        <v>1.67</v>
      </c>
      <c r="M803" s="321">
        <v>1.67</v>
      </c>
      <c r="N803" s="321">
        <v>1.67</v>
      </c>
      <c r="O803" s="321">
        <v>1.67</v>
      </c>
      <c r="P803" s="321">
        <v>1.67</v>
      </c>
      <c r="Q803" s="321">
        <v>1.66</v>
      </c>
      <c r="R803" s="321">
        <v>1.66</v>
      </c>
      <c r="S803" s="321">
        <v>1.66</v>
      </c>
      <c r="T803" s="321">
        <v>1.66</v>
      </c>
      <c r="U803" s="321">
        <v>0.33200000000000002</v>
      </c>
      <c r="V803" s="308">
        <f t="shared" si="71"/>
        <v>19.998000000000001</v>
      </c>
      <c r="W803" s="308">
        <v>39.75</v>
      </c>
      <c r="X803" s="308">
        <f t="shared" si="70"/>
        <v>794.92050000000006</v>
      </c>
      <c r="Y803" s="322" t="s">
        <v>74</v>
      </c>
      <c r="Z803" s="575"/>
      <c r="AA803" s="567"/>
    </row>
    <row r="804" spans="1:27" s="318" customFormat="1" ht="15" customHeight="1" outlineLevel="1">
      <c r="A804" s="282">
        <v>800</v>
      </c>
      <c r="B804" s="282" t="s">
        <v>1</v>
      </c>
      <c r="C804" s="312" t="s">
        <v>1066</v>
      </c>
      <c r="D804" s="313" t="s">
        <v>1067</v>
      </c>
      <c r="E804" s="314">
        <v>47552</v>
      </c>
      <c r="F804" s="553" t="str">
        <f t="shared" si="69"/>
        <v>REALRolo de lã de carneiro ‐ 20cm</v>
      </c>
      <c r="G804" s="609">
        <f>Y804</f>
        <v>0.45004500450044999</v>
      </c>
      <c r="H804" s="315" t="s">
        <v>228</v>
      </c>
      <c r="I804" s="323">
        <v>2</v>
      </c>
      <c r="J804" s="323">
        <v>2</v>
      </c>
      <c r="K804" s="323">
        <v>3</v>
      </c>
      <c r="L804" s="323">
        <v>2</v>
      </c>
      <c r="M804" s="323"/>
      <c r="N804" s="323"/>
      <c r="O804" s="323"/>
      <c r="P804" s="323"/>
      <c r="Q804" s="323"/>
      <c r="R804" s="323"/>
      <c r="S804" s="323"/>
      <c r="T804" s="323"/>
      <c r="U804" s="323"/>
      <c r="V804" s="316">
        <f t="shared" si="71"/>
        <v>9</v>
      </c>
      <c r="W804" s="316">
        <v>39.75</v>
      </c>
      <c r="X804" s="316">
        <f t="shared" si="70"/>
        <v>357.75</v>
      </c>
      <c r="Y804" s="322">
        <f>X804/X803</f>
        <v>0.45004500450044999</v>
      </c>
      <c r="Z804" s="572"/>
      <c r="AA804" s="567"/>
    </row>
    <row r="805" spans="1:27" s="311" customFormat="1" ht="15" customHeight="1" outlineLevel="1">
      <c r="A805" s="273">
        <v>801</v>
      </c>
      <c r="B805" s="273" t="s">
        <v>0</v>
      </c>
      <c r="C805" s="305" t="s">
        <v>1068</v>
      </c>
      <c r="D805" s="306" t="s">
        <v>1069</v>
      </c>
      <c r="E805" s="307" t="s">
        <v>1068</v>
      </c>
      <c r="F805" s="553" t="str">
        <f t="shared" si="69"/>
        <v>PREVRolo de espuma poliéster 23 cm com cabo</v>
      </c>
      <c r="G805" s="611" t="s">
        <v>74</v>
      </c>
      <c r="H805" s="307" t="s">
        <v>228</v>
      </c>
      <c r="I805" s="321">
        <v>1.3360000000000001</v>
      </c>
      <c r="J805" s="321">
        <v>1.67</v>
      </c>
      <c r="K805" s="321">
        <v>1.67</v>
      </c>
      <c r="L805" s="321">
        <v>1.67</v>
      </c>
      <c r="M805" s="321">
        <v>1.67</v>
      </c>
      <c r="N805" s="321">
        <v>1.67</v>
      </c>
      <c r="O805" s="321">
        <v>1.67</v>
      </c>
      <c r="P805" s="321">
        <v>1.67</v>
      </c>
      <c r="Q805" s="321">
        <v>1.66</v>
      </c>
      <c r="R805" s="321">
        <v>1.66</v>
      </c>
      <c r="S805" s="321">
        <v>1.66</v>
      </c>
      <c r="T805" s="321">
        <v>1.66</v>
      </c>
      <c r="U805" s="321">
        <v>0.33200000000000002</v>
      </c>
      <c r="V805" s="463">
        <v>20</v>
      </c>
      <c r="W805" s="308">
        <v>17.920000000000002</v>
      </c>
      <c r="X805" s="308">
        <f t="shared" si="70"/>
        <v>358.40000000000003</v>
      </c>
      <c r="Y805" s="322" t="s">
        <v>74</v>
      </c>
      <c r="Z805" s="575"/>
      <c r="AA805" s="567"/>
    </row>
    <row r="806" spans="1:27" s="318" customFormat="1" ht="15" customHeight="1" outlineLevel="1">
      <c r="A806" s="282">
        <v>802</v>
      </c>
      <c r="B806" s="282" t="s">
        <v>1</v>
      </c>
      <c r="C806" s="312" t="s">
        <v>1068</v>
      </c>
      <c r="D806" s="313" t="s">
        <v>1069</v>
      </c>
      <c r="E806" s="314" t="s">
        <v>1068</v>
      </c>
      <c r="F806" s="553" t="str">
        <f t="shared" si="69"/>
        <v>REALRolo de espuma poliéster 23 cm com cabo</v>
      </c>
      <c r="G806" s="609">
        <f>Y806</f>
        <v>0.45000000000000007</v>
      </c>
      <c r="H806" s="315" t="s">
        <v>228</v>
      </c>
      <c r="I806" s="323">
        <v>2</v>
      </c>
      <c r="J806" s="323">
        <v>2</v>
      </c>
      <c r="K806" s="323">
        <v>3</v>
      </c>
      <c r="L806" s="323">
        <v>2</v>
      </c>
      <c r="M806" s="323"/>
      <c r="N806" s="323"/>
      <c r="O806" s="323"/>
      <c r="P806" s="323"/>
      <c r="Q806" s="323"/>
      <c r="R806" s="323"/>
      <c r="S806" s="323"/>
      <c r="T806" s="323"/>
      <c r="U806" s="323"/>
      <c r="V806" s="464">
        <f t="shared" ref="V806:V818" si="72">SUM(I806:U806)</f>
        <v>9</v>
      </c>
      <c r="W806" s="316">
        <v>17.920000000000002</v>
      </c>
      <c r="X806" s="316">
        <f t="shared" si="70"/>
        <v>161.28000000000003</v>
      </c>
      <c r="Y806" s="322">
        <f>X806/X805</f>
        <v>0.45000000000000007</v>
      </c>
      <c r="Z806" s="572"/>
      <c r="AA806" s="567"/>
    </row>
    <row r="807" spans="1:27" s="311" customFormat="1" ht="15" customHeight="1" outlineLevel="1">
      <c r="A807" s="273">
        <v>803</v>
      </c>
      <c r="B807" s="273" t="s">
        <v>0</v>
      </c>
      <c r="C807" s="305" t="s">
        <v>1070</v>
      </c>
      <c r="D807" s="306" t="s">
        <v>1071</v>
      </c>
      <c r="E807" s="307" t="s">
        <v>1070</v>
      </c>
      <c r="F807" s="553" t="str">
        <f t="shared" si="69"/>
        <v>PREVSoquete de porcelana base E27, para uso ao tempo, para lâmpadas</v>
      </c>
      <c r="G807" s="611" t="s">
        <v>74</v>
      </c>
      <c r="H807" s="307" t="s">
        <v>228</v>
      </c>
      <c r="I807" s="321">
        <v>0.26400000000000001</v>
      </c>
      <c r="J807" s="321">
        <v>0.33</v>
      </c>
      <c r="K807" s="321">
        <v>0.33</v>
      </c>
      <c r="L807" s="321">
        <v>0.33</v>
      </c>
      <c r="M807" s="321">
        <v>0.33</v>
      </c>
      <c r="N807" s="321">
        <v>0.33</v>
      </c>
      <c r="O807" s="321">
        <v>0.33</v>
      </c>
      <c r="P807" s="321">
        <v>0.33</v>
      </c>
      <c r="Q807" s="321">
        <v>0.34</v>
      </c>
      <c r="R807" s="321">
        <v>0.34</v>
      </c>
      <c r="S807" s="321">
        <v>0.34</v>
      </c>
      <c r="T807" s="321">
        <v>0.34</v>
      </c>
      <c r="U807" s="321">
        <v>6.8000000000000005E-2</v>
      </c>
      <c r="V807" s="308">
        <f t="shared" si="72"/>
        <v>4.0019999999999998</v>
      </c>
      <c r="W807" s="308">
        <v>12</v>
      </c>
      <c r="X807" s="308">
        <f t="shared" si="70"/>
        <v>48.024000000000001</v>
      </c>
      <c r="Y807" s="322" t="s">
        <v>74</v>
      </c>
      <c r="Z807" s="575"/>
      <c r="AA807" s="567"/>
    </row>
    <row r="808" spans="1:27" s="318" customFormat="1" ht="15" customHeight="1" outlineLevel="1">
      <c r="A808" s="282">
        <v>804</v>
      </c>
      <c r="B808" s="282" t="s">
        <v>1</v>
      </c>
      <c r="C808" s="312" t="s">
        <v>1070</v>
      </c>
      <c r="D808" s="313" t="s">
        <v>1071</v>
      </c>
      <c r="E808" s="314" t="s">
        <v>1070</v>
      </c>
      <c r="F808" s="553" t="str">
        <f t="shared" si="69"/>
        <v>REALSoquete de porcelana base E27, para uso ao tempo, para lâmpadas</v>
      </c>
      <c r="G808" s="609">
        <f>Y808</f>
        <v>0.24987506246876562</v>
      </c>
      <c r="H808" s="315" t="s">
        <v>228</v>
      </c>
      <c r="I808" s="323">
        <v>0</v>
      </c>
      <c r="J808" s="323">
        <v>0</v>
      </c>
      <c r="K808" s="323">
        <v>0</v>
      </c>
      <c r="L808" s="323">
        <v>1</v>
      </c>
      <c r="M808" s="323"/>
      <c r="N808" s="323"/>
      <c r="O808" s="323"/>
      <c r="P808" s="323"/>
      <c r="Q808" s="323"/>
      <c r="R808" s="323"/>
      <c r="S808" s="323"/>
      <c r="T808" s="323"/>
      <c r="U808" s="323"/>
      <c r="V808" s="316">
        <f t="shared" si="72"/>
        <v>1</v>
      </c>
      <c r="W808" s="316">
        <v>12</v>
      </c>
      <c r="X808" s="316">
        <f t="shared" si="70"/>
        <v>12</v>
      </c>
      <c r="Y808" s="322">
        <f>X808/X807</f>
        <v>0.24987506246876562</v>
      </c>
      <c r="Z808" s="572"/>
      <c r="AA808" s="567"/>
    </row>
    <row r="809" spans="1:27" s="311" customFormat="1" ht="15" customHeight="1" outlineLevel="1">
      <c r="A809" s="273">
        <v>805</v>
      </c>
      <c r="B809" s="273" t="s">
        <v>0</v>
      </c>
      <c r="C809" s="305" t="s">
        <v>1072</v>
      </c>
      <c r="D809" s="306" t="s">
        <v>1073</v>
      </c>
      <c r="E809" s="307" t="s">
        <v>1072</v>
      </c>
      <c r="F809" s="553" t="str">
        <f t="shared" ref="F809:F818" si="73">B809&amp;D809</f>
        <v>PREVSarrafo de madeira 2,5x15cm (1x6) não aparelhada</v>
      </c>
      <c r="G809" s="611" t="s">
        <v>74</v>
      </c>
      <c r="H809" s="307" t="s">
        <v>733</v>
      </c>
      <c r="I809" s="321">
        <v>3.3360000000000003</v>
      </c>
      <c r="J809" s="321">
        <v>4.17</v>
      </c>
      <c r="K809" s="321">
        <v>4.17</v>
      </c>
      <c r="L809" s="321">
        <v>4.17</v>
      </c>
      <c r="M809" s="321">
        <v>4.17</v>
      </c>
      <c r="N809" s="321">
        <v>4.17</v>
      </c>
      <c r="O809" s="321">
        <v>4.17</v>
      </c>
      <c r="P809" s="321">
        <v>4.17</v>
      </c>
      <c r="Q809" s="321">
        <v>4.16</v>
      </c>
      <c r="R809" s="321">
        <v>4.16</v>
      </c>
      <c r="S809" s="321">
        <v>4.16</v>
      </c>
      <c r="T809" s="321">
        <v>4.16</v>
      </c>
      <c r="U809" s="321">
        <v>0.83200000000000007</v>
      </c>
      <c r="V809" s="308">
        <f t="shared" si="72"/>
        <v>49.997999999999998</v>
      </c>
      <c r="W809" s="308">
        <v>10.41</v>
      </c>
      <c r="X809" s="308">
        <f t="shared" ref="X809:X818" si="74">W809*V809</f>
        <v>520.47917999999993</v>
      </c>
      <c r="Y809" s="322" t="s">
        <v>74</v>
      </c>
      <c r="Z809" s="575"/>
      <c r="AA809" s="567"/>
    </row>
    <row r="810" spans="1:27" s="318" customFormat="1" ht="15" customHeight="1" outlineLevel="1">
      <c r="A810" s="282">
        <v>806</v>
      </c>
      <c r="B810" s="282" t="s">
        <v>1</v>
      </c>
      <c r="C810" s="312" t="s">
        <v>1072</v>
      </c>
      <c r="D810" s="313" t="s">
        <v>1073</v>
      </c>
      <c r="E810" s="314" t="s">
        <v>1072</v>
      </c>
      <c r="F810" s="553" t="str">
        <f t="shared" si="73"/>
        <v>REALSarrafo de madeira 2,5x15cm (1x6) não aparelhada</v>
      </c>
      <c r="G810" s="609">
        <f>Y810</f>
        <v>0.22000880035201412</v>
      </c>
      <c r="H810" s="315" t="s">
        <v>733</v>
      </c>
      <c r="I810" s="323">
        <v>2</v>
      </c>
      <c r="J810" s="323">
        <v>2</v>
      </c>
      <c r="K810" s="323">
        <v>3</v>
      </c>
      <c r="L810" s="323">
        <v>4</v>
      </c>
      <c r="M810" s="323"/>
      <c r="N810" s="323"/>
      <c r="O810" s="323"/>
      <c r="P810" s="323"/>
      <c r="Q810" s="323"/>
      <c r="R810" s="323"/>
      <c r="S810" s="323"/>
      <c r="T810" s="323"/>
      <c r="U810" s="323"/>
      <c r="V810" s="316">
        <f t="shared" si="72"/>
        <v>11</v>
      </c>
      <c r="W810" s="316">
        <v>10.41</v>
      </c>
      <c r="X810" s="316">
        <f t="shared" si="74"/>
        <v>114.51</v>
      </c>
      <c r="Y810" s="322">
        <f>X810/X809</f>
        <v>0.22000880035201412</v>
      </c>
      <c r="Z810" s="572"/>
      <c r="AA810" s="567"/>
    </row>
    <row r="811" spans="1:27" s="311" customFormat="1" ht="15" customHeight="1" outlineLevel="1">
      <c r="A811" s="273">
        <v>807</v>
      </c>
      <c r="B811" s="273" t="s">
        <v>0</v>
      </c>
      <c r="C811" s="305" t="s">
        <v>1074</v>
      </c>
      <c r="D811" s="306" t="s">
        <v>1075</v>
      </c>
      <c r="E811" s="307" t="s">
        <v>1074</v>
      </c>
      <c r="F811" s="553" t="str">
        <f t="shared" si="73"/>
        <v>PREVThinner/águarras ‐ 1 l</v>
      </c>
      <c r="G811" s="611" t="s">
        <v>74</v>
      </c>
      <c r="H811" s="307" t="s">
        <v>228</v>
      </c>
      <c r="I811" s="321">
        <v>11.200000000000001</v>
      </c>
      <c r="J811" s="321">
        <v>14</v>
      </c>
      <c r="K811" s="321">
        <v>14</v>
      </c>
      <c r="L811" s="321">
        <v>14</v>
      </c>
      <c r="M811" s="321">
        <v>14</v>
      </c>
      <c r="N811" s="321">
        <v>14</v>
      </c>
      <c r="O811" s="321">
        <v>14</v>
      </c>
      <c r="P811" s="321">
        <v>14</v>
      </c>
      <c r="Q811" s="321">
        <v>14</v>
      </c>
      <c r="R811" s="321">
        <v>14</v>
      </c>
      <c r="S811" s="321">
        <v>14</v>
      </c>
      <c r="T811" s="321">
        <v>14</v>
      </c>
      <c r="U811" s="321">
        <v>2.8000000000000003</v>
      </c>
      <c r="V811" s="407">
        <f t="shared" si="72"/>
        <v>168</v>
      </c>
      <c r="W811" s="308">
        <v>23.41</v>
      </c>
      <c r="X811" s="308">
        <f t="shared" si="74"/>
        <v>3932.88</v>
      </c>
      <c r="Y811" s="322" t="s">
        <v>74</v>
      </c>
      <c r="Z811" s="575"/>
      <c r="AA811" s="567"/>
    </row>
    <row r="812" spans="1:27" s="318" customFormat="1" ht="15" customHeight="1" outlineLevel="1">
      <c r="A812" s="282">
        <v>808</v>
      </c>
      <c r="B812" s="282" t="s">
        <v>1</v>
      </c>
      <c r="C812" s="312" t="s">
        <v>1074</v>
      </c>
      <c r="D812" s="313" t="s">
        <v>1075</v>
      </c>
      <c r="E812" s="314">
        <v>49013</v>
      </c>
      <c r="F812" s="553" t="str">
        <f t="shared" si="73"/>
        <v>REALThinner/águarras ‐ 1 l</v>
      </c>
      <c r="G812" s="609">
        <f>Y812</f>
        <v>2.281746031746032E-2</v>
      </c>
      <c r="H812" s="315" t="s">
        <v>228</v>
      </c>
      <c r="I812" s="323">
        <v>0.83333333333333337</v>
      </c>
      <c r="J812" s="323">
        <v>0.83333333333333337</v>
      </c>
      <c r="K812" s="323">
        <v>0.91666666666666663</v>
      </c>
      <c r="L812" s="323">
        <v>1.25</v>
      </c>
      <c r="M812" s="323"/>
      <c r="N812" s="323"/>
      <c r="O812" s="323"/>
      <c r="P812" s="323"/>
      <c r="Q812" s="323"/>
      <c r="R812" s="323"/>
      <c r="S812" s="323"/>
      <c r="T812" s="323"/>
      <c r="U812" s="323"/>
      <c r="V812" s="316">
        <f t="shared" si="72"/>
        <v>3.8333333333333335</v>
      </c>
      <c r="W812" s="316">
        <v>23.41</v>
      </c>
      <c r="X812" s="316">
        <f t="shared" si="74"/>
        <v>89.738333333333344</v>
      </c>
      <c r="Y812" s="322">
        <f>X812/X811</f>
        <v>2.281746031746032E-2</v>
      </c>
      <c r="Z812" s="572"/>
      <c r="AA812" s="567"/>
    </row>
    <row r="813" spans="1:27" s="311" customFormat="1" ht="15" customHeight="1" outlineLevel="1">
      <c r="A813" s="273">
        <v>809</v>
      </c>
      <c r="B813" s="273" t="s">
        <v>0</v>
      </c>
      <c r="C813" s="305" t="s">
        <v>1076</v>
      </c>
      <c r="D813" s="306" t="s">
        <v>1077</v>
      </c>
      <c r="E813" s="307" t="s">
        <v>1076</v>
      </c>
      <c r="F813" s="553" t="str">
        <f t="shared" si="73"/>
        <v>PREVTijolo comum (5,5x10x20) cm</v>
      </c>
      <c r="G813" s="611" t="s">
        <v>74</v>
      </c>
      <c r="H813" s="307" t="s">
        <v>228</v>
      </c>
      <c r="I813" s="321">
        <v>160</v>
      </c>
      <c r="J813" s="321">
        <v>200</v>
      </c>
      <c r="K813" s="321">
        <v>200</v>
      </c>
      <c r="L813" s="321">
        <v>200</v>
      </c>
      <c r="M813" s="321">
        <v>200</v>
      </c>
      <c r="N813" s="321">
        <v>200</v>
      </c>
      <c r="O813" s="321">
        <v>200</v>
      </c>
      <c r="P813" s="321">
        <v>200</v>
      </c>
      <c r="Q813" s="321">
        <v>200</v>
      </c>
      <c r="R813" s="321">
        <v>200</v>
      </c>
      <c r="S813" s="321">
        <v>200</v>
      </c>
      <c r="T813" s="321">
        <v>200</v>
      </c>
      <c r="U813" s="321">
        <v>40</v>
      </c>
      <c r="V813" s="308">
        <f t="shared" si="72"/>
        <v>2400</v>
      </c>
      <c r="W813" s="308">
        <v>0.67</v>
      </c>
      <c r="X813" s="308">
        <f t="shared" si="74"/>
        <v>1608</v>
      </c>
      <c r="Y813" s="322" t="s">
        <v>74</v>
      </c>
      <c r="Z813" s="575"/>
      <c r="AA813" s="567"/>
    </row>
    <row r="814" spans="1:27" s="318" customFormat="1" ht="15" customHeight="1" outlineLevel="1">
      <c r="A814" s="282">
        <v>810</v>
      </c>
      <c r="B814" s="282" t="s">
        <v>1</v>
      </c>
      <c r="C814" s="312" t="s">
        <v>1076</v>
      </c>
      <c r="D814" s="313" t="s">
        <v>1077</v>
      </c>
      <c r="E814" s="314" t="s">
        <v>1076</v>
      </c>
      <c r="F814" s="553" t="str">
        <f t="shared" si="73"/>
        <v>REALTijolo comum (5,5x10x20) cm</v>
      </c>
      <c r="G814" s="609">
        <f>Y814</f>
        <v>0.12916666666666668</v>
      </c>
      <c r="H814" s="315" t="s">
        <v>228</v>
      </c>
      <c r="I814" s="323">
        <v>50</v>
      </c>
      <c r="J814" s="323">
        <v>50</v>
      </c>
      <c r="K814" s="323">
        <v>60</v>
      </c>
      <c r="L814" s="323">
        <v>150</v>
      </c>
      <c r="M814" s="323"/>
      <c r="N814" s="323"/>
      <c r="O814" s="323"/>
      <c r="P814" s="323"/>
      <c r="Q814" s="323"/>
      <c r="R814" s="323"/>
      <c r="S814" s="323"/>
      <c r="T814" s="323"/>
      <c r="U814" s="323"/>
      <c r="V814" s="316">
        <f t="shared" si="72"/>
        <v>310</v>
      </c>
      <c r="W814" s="316">
        <v>0.67</v>
      </c>
      <c r="X814" s="316">
        <f t="shared" si="74"/>
        <v>207.70000000000002</v>
      </c>
      <c r="Y814" s="322">
        <f>X814/X813</f>
        <v>0.12916666666666668</v>
      </c>
      <c r="Z814" s="572"/>
      <c r="AA814" s="567"/>
    </row>
    <row r="815" spans="1:27" s="311" customFormat="1" ht="15" customHeight="1" outlineLevel="1">
      <c r="A815" s="273">
        <v>811</v>
      </c>
      <c r="B815" s="273" t="s">
        <v>0</v>
      </c>
      <c r="C815" s="305" t="s">
        <v>1078</v>
      </c>
      <c r="D815" s="306" t="s">
        <v>1079</v>
      </c>
      <c r="E815" s="307" t="s">
        <v>1078</v>
      </c>
      <c r="F815" s="553" t="str">
        <f t="shared" si="73"/>
        <v>PREVTinta Alcatrão de Hulha ‐ galão de 3,6 litros</v>
      </c>
      <c r="G815" s="611" t="s">
        <v>74</v>
      </c>
      <c r="H815" s="307" t="s">
        <v>474</v>
      </c>
      <c r="I815" s="321">
        <v>0.13600000000000001</v>
      </c>
      <c r="J815" s="321">
        <v>0.17</v>
      </c>
      <c r="K815" s="321">
        <v>0.17</v>
      </c>
      <c r="L815" s="321">
        <v>0.17</v>
      </c>
      <c r="M815" s="321">
        <v>0.17</v>
      </c>
      <c r="N815" s="321">
        <v>0.17</v>
      </c>
      <c r="O815" s="321">
        <v>0.17</v>
      </c>
      <c r="P815" s="321">
        <v>0.17</v>
      </c>
      <c r="Q815" s="321">
        <v>0.16</v>
      </c>
      <c r="R815" s="321">
        <v>0.16</v>
      </c>
      <c r="S815" s="321">
        <v>0.16</v>
      </c>
      <c r="T815" s="321">
        <v>0.16</v>
      </c>
      <c r="U815" s="321">
        <v>3.2000000000000001E-2</v>
      </c>
      <c r="V815" s="308">
        <f t="shared" si="72"/>
        <v>1.9979999999999998</v>
      </c>
      <c r="W815" s="308">
        <v>92.21</v>
      </c>
      <c r="X815" s="308">
        <f t="shared" si="74"/>
        <v>184.23557999999997</v>
      </c>
      <c r="Y815" s="322" t="s">
        <v>74</v>
      </c>
      <c r="Z815" s="575"/>
      <c r="AA815" s="567"/>
    </row>
    <row r="816" spans="1:27" s="318" customFormat="1" ht="15" customHeight="1" outlineLevel="1">
      <c r="A816" s="282">
        <v>812</v>
      </c>
      <c r="B816" s="282" t="s">
        <v>1</v>
      </c>
      <c r="C816" s="312" t="s">
        <v>1078</v>
      </c>
      <c r="D816" s="313" t="s">
        <v>1079</v>
      </c>
      <c r="E816" s="314" t="s">
        <v>1078</v>
      </c>
      <c r="F816" s="553" t="str">
        <f t="shared" si="73"/>
        <v>REALTinta Alcatrão de Hulha ‐ galão de 3,6 litros</v>
      </c>
      <c r="G816" s="609">
        <f>Y816</f>
        <v>0</v>
      </c>
      <c r="H816" s="315" t="s">
        <v>474</v>
      </c>
      <c r="I816" s="323">
        <v>0</v>
      </c>
      <c r="J816" s="323">
        <v>0</v>
      </c>
      <c r="K816" s="323">
        <v>0</v>
      </c>
      <c r="L816" s="323">
        <v>0</v>
      </c>
      <c r="M816" s="323"/>
      <c r="N816" s="323"/>
      <c r="O816" s="323"/>
      <c r="P816" s="323"/>
      <c r="Q816" s="323"/>
      <c r="R816" s="323"/>
      <c r="S816" s="323"/>
      <c r="T816" s="323"/>
      <c r="U816" s="323"/>
      <c r="V816" s="316">
        <f t="shared" si="72"/>
        <v>0</v>
      </c>
      <c r="W816" s="316">
        <v>92.21</v>
      </c>
      <c r="X816" s="316">
        <f t="shared" si="74"/>
        <v>0</v>
      </c>
      <c r="Y816" s="322">
        <f>X816/X815</f>
        <v>0</v>
      </c>
      <c r="Z816" s="572"/>
      <c r="AA816" s="567"/>
    </row>
    <row r="817" spans="1:27" s="311" customFormat="1" ht="15" customHeight="1" outlineLevel="1">
      <c r="A817" s="273">
        <v>813</v>
      </c>
      <c r="B817" s="273" t="s">
        <v>0</v>
      </c>
      <c r="C817" s="305" t="s">
        <v>1080</v>
      </c>
      <c r="D817" s="306" t="s">
        <v>1081</v>
      </c>
      <c r="E817" s="307" t="s">
        <v>1080</v>
      </c>
      <c r="F817" s="553" t="str">
        <f t="shared" si="73"/>
        <v>PREVTinta Latex PVA</v>
      </c>
      <c r="G817" s="611" t="s">
        <v>74</v>
      </c>
      <c r="H817" s="307" t="s">
        <v>474</v>
      </c>
      <c r="I817" s="321">
        <v>53.6</v>
      </c>
      <c r="J817" s="321">
        <v>67</v>
      </c>
      <c r="K817" s="321">
        <v>67</v>
      </c>
      <c r="L817" s="321">
        <v>67</v>
      </c>
      <c r="M817" s="321">
        <v>67</v>
      </c>
      <c r="N817" s="321">
        <v>67</v>
      </c>
      <c r="O817" s="321">
        <v>67</v>
      </c>
      <c r="P817" s="321">
        <v>67</v>
      </c>
      <c r="Q817" s="321">
        <v>67</v>
      </c>
      <c r="R817" s="321">
        <v>67</v>
      </c>
      <c r="S817" s="321">
        <v>67</v>
      </c>
      <c r="T817" s="321">
        <v>67</v>
      </c>
      <c r="U817" s="321">
        <v>13.4</v>
      </c>
      <c r="V817" s="407">
        <f t="shared" si="72"/>
        <v>804</v>
      </c>
      <c r="W817" s="308">
        <v>21.95</v>
      </c>
      <c r="X817" s="308">
        <f t="shared" si="74"/>
        <v>17647.8</v>
      </c>
      <c r="Y817" s="322" t="s">
        <v>74</v>
      </c>
      <c r="Z817" s="575"/>
      <c r="AA817" s="567"/>
    </row>
    <row r="818" spans="1:27" s="318" customFormat="1" ht="15" customHeight="1" outlineLevel="1">
      <c r="A818" s="282">
        <v>814</v>
      </c>
      <c r="B818" s="282" t="s">
        <v>1</v>
      </c>
      <c r="C818" s="312" t="s">
        <v>1080</v>
      </c>
      <c r="D818" s="313" t="s">
        <v>1081</v>
      </c>
      <c r="E818" s="314">
        <v>50109</v>
      </c>
      <c r="F818" s="553" t="str">
        <f t="shared" si="73"/>
        <v>REALTinta Latex PVA</v>
      </c>
      <c r="G818" s="609">
        <f>Y818</f>
        <v>0.34328358208955223</v>
      </c>
      <c r="H818" s="315" t="s">
        <v>474</v>
      </c>
      <c r="I818" s="323">
        <v>0</v>
      </c>
      <c r="J818" s="323">
        <v>0</v>
      </c>
      <c r="K818" s="323">
        <v>0</v>
      </c>
      <c r="L818" s="323">
        <v>276</v>
      </c>
      <c r="M818" s="323"/>
      <c r="N818" s="323"/>
      <c r="O818" s="323"/>
      <c r="P818" s="323"/>
      <c r="Q818" s="323"/>
      <c r="R818" s="323"/>
      <c r="S818" s="323"/>
      <c r="T818" s="323"/>
      <c r="U818" s="323"/>
      <c r="V818" s="316">
        <f t="shared" si="72"/>
        <v>276</v>
      </c>
      <c r="W818" s="316">
        <v>21.95</v>
      </c>
      <c r="X818" s="316">
        <f t="shared" si="74"/>
        <v>6058.2</v>
      </c>
      <c r="Y818" s="322">
        <f>X818/X817</f>
        <v>0.34328358208955223</v>
      </c>
      <c r="Z818" s="572"/>
      <c r="AA818" s="567"/>
    </row>
    <row r="819" spans="1:27" s="311" customFormat="1" ht="15" customHeight="1">
      <c r="A819" s="273">
        <v>815</v>
      </c>
      <c r="B819" s="273" t="s">
        <v>0</v>
      </c>
      <c r="C819" s="289" t="s">
        <v>1082</v>
      </c>
      <c r="D819" s="289" t="s">
        <v>1083</v>
      </c>
      <c r="E819" s="291" t="s">
        <v>1082</v>
      </c>
      <c r="F819" s="291"/>
      <c r="G819" s="610"/>
      <c r="H819" s="292"/>
      <c r="I819" s="396"/>
      <c r="J819" s="396"/>
      <c r="K819" s="396"/>
      <c r="L819" s="396"/>
      <c r="M819" s="396"/>
      <c r="N819" s="396"/>
      <c r="O819" s="396"/>
      <c r="P819" s="396"/>
      <c r="Q819" s="396"/>
      <c r="R819" s="396"/>
      <c r="S819" s="396"/>
      <c r="T819" s="396"/>
      <c r="U819" s="396"/>
      <c r="V819" s="319"/>
      <c r="W819" s="319"/>
      <c r="X819" s="370">
        <f>SUMIF(B821:B928,B819,X821:X928)</f>
        <v>6965.2523999999985</v>
      </c>
      <c r="Y819" s="295" t="s">
        <v>74</v>
      </c>
      <c r="Z819" s="578"/>
      <c r="AA819" s="567"/>
    </row>
    <row r="820" spans="1:27" s="318" customFormat="1" ht="15" customHeight="1">
      <c r="A820" s="282">
        <v>816</v>
      </c>
      <c r="B820" s="282" t="s">
        <v>1</v>
      </c>
      <c r="C820" s="297" t="s">
        <v>1082</v>
      </c>
      <c r="D820" s="297" t="s">
        <v>1083</v>
      </c>
      <c r="E820" s="320" t="s">
        <v>1082</v>
      </c>
      <c r="F820" s="320"/>
      <c r="G820" s="612"/>
      <c r="H820" s="300"/>
      <c r="I820" s="397"/>
      <c r="J820" s="397"/>
      <c r="K820" s="397"/>
      <c r="L820" s="397"/>
      <c r="M820" s="397"/>
      <c r="N820" s="397"/>
      <c r="O820" s="397"/>
      <c r="P820" s="397"/>
      <c r="Q820" s="397"/>
      <c r="R820" s="397"/>
      <c r="S820" s="397"/>
      <c r="T820" s="397"/>
      <c r="U820" s="397"/>
      <c r="V820" s="302">
        <v>0</v>
      </c>
      <c r="W820" s="302">
        <v>0</v>
      </c>
      <c r="X820" s="303">
        <f>SUMIF(B821:B928,B820,X821:X928)</f>
        <v>2322.4466666666667</v>
      </c>
      <c r="Y820" s="295">
        <f>X820/X819</f>
        <v>0.33343323878208164</v>
      </c>
      <c r="Z820" s="571"/>
      <c r="AA820" s="567"/>
    </row>
    <row r="821" spans="1:27" s="311" customFormat="1" ht="15" customHeight="1" outlineLevel="1">
      <c r="A821" s="273">
        <v>817</v>
      </c>
      <c r="B821" s="273" t="s">
        <v>0</v>
      </c>
      <c r="C821" s="305" t="s">
        <v>1084</v>
      </c>
      <c r="D821" s="306" t="s">
        <v>1085</v>
      </c>
      <c r="E821" s="307" t="s">
        <v>1084</v>
      </c>
      <c r="F821" s="553" t="str">
        <f t="shared" ref="F821:F852" si="75">B821&amp;D821</f>
        <v>PREVAlavanca para construção civil</v>
      </c>
      <c r="G821" s="611" t="s">
        <v>74</v>
      </c>
      <c r="H821" s="307" t="s">
        <v>228</v>
      </c>
      <c r="I821" s="321">
        <v>0.46399999999999997</v>
      </c>
      <c r="J821" s="321">
        <v>0.57999999999999996</v>
      </c>
      <c r="K821" s="321">
        <v>0.57999999999999996</v>
      </c>
      <c r="L821" s="321">
        <v>0.57999999999999996</v>
      </c>
      <c r="M821" s="321">
        <v>0.57999999999999996</v>
      </c>
      <c r="N821" s="321">
        <v>0.57999999999999996</v>
      </c>
      <c r="O821" s="321">
        <v>0.57999999999999996</v>
      </c>
      <c r="P821" s="321">
        <v>0.57999999999999996</v>
      </c>
      <c r="Q821" s="321">
        <v>0.59</v>
      </c>
      <c r="R821" s="321">
        <v>0.59</v>
      </c>
      <c r="S821" s="321">
        <v>0.59</v>
      </c>
      <c r="T821" s="321">
        <v>0.59</v>
      </c>
      <c r="U821" s="321">
        <v>0.11799999999999999</v>
      </c>
      <c r="V821" s="308">
        <f t="shared" ref="V821:V830" si="76">SUM(I821:U821)</f>
        <v>7.0019999999999998</v>
      </c>
      <c r="W821" s="308">
        <v>47.49</v>
      </c>
      <c r="X821" s="308">
        <f t="shared" ref="X821:X852" si="77">W821*V821</f>
        <v>332.52498000000003</v>
      </c>
      <c r="Y821" s="322" t="s">
        <v>74</v>
      </c>
      <c r="Z821" s="575"/>
      <c r="AA821" s="567"/>
    </row>
    <row r="822" spans="1:27" s="318" customFormat="1" ht="15" customHeight="1" outlineLevel="1">
      <c r="A822" s="282">
        <v>818</v>
      </c>
      <c r="B822" s="282" t="s">
        <v>1</v>
      </c>
      <c r="C822" s="312" t="s">
        <v>1084</v>
      </c>
      <c r="D822" s="313" t="s">
        <v>1085</v>
      </c>
      <c r="E822" s="314" t="s">
        <v>1084</v>
      </c>
      <c r="F822" s="553" t="str">
        <f t="shared" si="75"/>
        <v>REALAlavanca para construção civil</v>
      </c>
      <c r="G822" s="609">
        <f>Y822</f>
        <v>0.33323812244120732</v>
      </c>
      <c r="H822" s="315" t="s">
        <v>228</v>
      </c>
      <c r="I822" s="323">
        <v>0.58333333333333337</v>
      </c>
      <c r="J822" s="323">
        <v>0.58333333333333337</v>
      </c>
      <c r="K822" s="323">
        <v>0.58333333333333337</v>
      </c>
      <c r="L822" s="323">
        <v>0.58333333333333337</v>
      </c>
      <c r="M822" s="323"/>
      <c r="N822" s="323"/>
      <c r="O822" s="323"/>
      <c r="P822" s="323"/>
      <c r="Q822" s="323"/>
      <c r="R822" s="323"/>
      <c r="S822" s="323"/>
      <c r="T822" s="323"/>
      <c r="U822" s="323"/>
      <c r="V822" s="316">
        <f t="shared" si="76"/>
        <v>2.3333333333333335</v>
      </c>
      <c r="W822" s="316">
        <v>47.49</v>
      </c>
      <c r="X822" s="316">
        <f t="shared" si="77"/>
        <v>110.81000000000002</v>
      </c>
      <c r="Y822" s="322">
        <f>X822/X821</f>
        <v>0.33323812244120732</v>
      </c>
      <c r="Z822" s="572"/>
      <c r="AA822" s="567"/>
    </row>
    <row r="823" spans="1:27" s="311" customFormat="1" ht="15" customHeight="1" outlineLevel="1">
      <c r="A823" s="273">
        <v>819</v>
      </c>
      <c r="B823" s="273" t="s">
        <v>0</v>
      </c>
      <c r="C823" s="305" t="s">
        <v>1086</v>
      </c>
      <c r="D823" s="306" t="s">
        <v>1087</v>
      </c>
      <c r="E823" s="307" t="s">
        <v>1086</v>
      </c>
      <c r="F823" s="553" t="str">
        <f t="shared" si="75"/>
        <v>PREVAncinho</v>
      </c>
      <c r="G823" s="611" t="s">
        <v>74</v>
      </c>
      <c r="H823" s="307" t="s">
        <v>228</v>
      </c>
      <c r="I823" s="321">
        <v>0.46399999999999997</v>
      </c>
      <c r="J823" s="321">
        <v>0.57999999999999996</v>
      </c>
      <c r="K823" s="321">
        <v>0.57999999999999996</v>
      </c>
      <c r="L823" s="321">
        <v>0.57999999999999996</v>
      </c>
      <c r="M823" s="321">
        <v>0.57999999999999996</v>
      </c>
      <c r="N823" s="321">
        <v>0.57999999999999996</v>
      </c>
      <c r="O823" s="321">
        <v>0.57999999999999996</v>
      </c>
      <c r="P823" s="321">
        <v>0.57999999999999996</v>
      </c>
      <c r="Q823" s="321">
        <v>0.59</v>
      </c>
      <c r="R823" s="321">
        <v>0.59</v>
      </c>
      <c r="S823" s="321">
        <v>0.59</v>
      </c>
      <c r="T823" s="321">
        <v>0.59</v>
      </c>
      <c r="U823" s="321">
        <v>0.11799999999999999</v>
      </c>
      <c r="V823" s="308">
        <f t="shared" si="76"/>
        <v>7.0019999999999998</v>
      </c>
      <c r="W823" s="308">
        <v>6.88</v>
      </c>
      <c r="X823" s="308">
        <f t="shared" si="77"/>
        <v>48.173759999999994</v>
      </c>
      <c r="Y823" s="322" t="s">
        <v>74</v>
      </c>
      <c r="Z823" s="575"/>
      <c r="AA823" s="567"/>
    </row>
    <row r="824" spans="1:27" s="318" customFormat="1" ht="15" customHeight="1" outlineLevel="1">
      <c r="A824" s="282">
        <v>820</v>
      </c>
      <c r="B824" s="282" t="s">
        <v>1</v>
      </c>
      <c r="C824" s="312" t="s">
        <v>1086</v>
      </c>
      <c r="D824" s="313" t="s">
        <v>1087</v>
      </c>
      <c r="E824" s="314" t="s">
        <v>1086</v>
      </c>
      <c r="F824" s="553" t="str">
        <f t="shared" si="75"/>
        <v>REALAncinho</v>
      </c>
      <c r="G824" s="609">
        <f>Y824</f>
        <v>0.33323812244120732</v>
      </c>
      <c r="H824" s="315" t="s">
        <v>228</v>
      </c>
      <c r="I824" s="323">
        <v>0.58333333333333337</v>
      </c>
      <c r="J824" s="323">
        <v>0.58333333333333337</v>
      </c>
      <c r="K824" s="323">
        <v>0.58333333333333337</v>
      </c>
      <c r="L824" s="323">
        <v>0.58333333333333337</v>
      </c>
      <c r="M824" s="323"/>
      <c r="N824" s="323"/>
      <c r="O824" s="323"/>
      <c r="P824" s="323"/>
      <c r="Q824" s="323"/>
      <c r="R824" s="323"/>
      <c r="S824" s="323"/>
      <c r="T824" s="323"/>
      <c r="U824" s="323"/>
      <c r="V824" s="316">
        <f t="shared" si="76"/>
        <v>2.3333333333333335</v>
      </c>
      <c r="W824" s="316">
        <v>6.88</v>
      </c>
      <c r="X824" s="316">
        <f t="shared" si="77"/>
        <v>16.053333333333335</v>
      </c>
      <c r="Y824" s="322">
        <f>X824/X823</f>
        <v>0.33323812244120732</v>
      </c>
      <c r="Z824" s="572"/>
      <c r="AA824" s="567"/>
    </row>
    <row r="825" spans="1:27" s="311" customFormat="1" ht="15" customHeight="1" outlineLevel="1">
      <c r="A825" s="273">
        <v>821</v>
      </c>
      <c r="B825" s="273" t="s">
        <v>0</v>
      </c>
      <c r="C825" s="305" t="s">
        <v>1088</v>
      </c>
      <c r="D825" s="306" t="s">
        <v>1089</v>
      </c>
      <c r="E825" s="307" t="s">
        <v>1088</v>
      </c>
      <c r="F825" s="553" t="str">
        <f t="shared" si="75"/>
        <v>PREVArco de Serra manual (com serra)</v>
      </c>
      <c r="G825" s="611" t="s">
        <v>74</v>
      </c>
      <c r="H825" s="307" t="s">
        <v>228</v>
      </c>
      <c r="I825" s="321">
        <v>0.13600000000000001</v>
      </c>
      <c r="J825" s="321">
        <v>0.17</v>
      </c>
      <c r="K825" s="321">
        <v>0.17</v>
      </c>
      <c r="L825" s="321">
        <v>0.17</v>
      </c>
      <c r="M825" s="321">
        <v>0.17</v>
      </c>
      <c r="N825" s="321">
        <v>0.17</v>
      </c>
      <c r="O825" s="321">
        <v>0.17</v>
      </c>
      <c r="P825" s="321">
        <v>0.17</v>
      </c>
      <c r="Q825" s="321">
        <v>0.16</v>
      </c>
      <c r="R825" s="321">
        <v>0.16</v>
      </c>
      <c r="S825" s="321">
        <v>0.16</v>
      </c>
      <c r="T825" s="321">
        <v>0.16</v>
      </c>
      <c r="U825" s="321">
        <v>3.4000000000000002E-2</v>
      </c>
      <c r="V825" s="308">
        <f t="shared" si="76"/>
        <v>1.9999999999999998</v>
      </c>
      <c r="W825" s="308">
        <v>5.61</v>
      </c>
      <c r="X825" s="308">
        <f t="shared" si="77"/>
        <v>11.219999999999999</v>
      </c>
      <c r="Y825" s="322" t="s">
        <v>74</v>
      </c>
      <c r="Z825" s="575"/>
      <c r="AA825" s="567"/>
    </row>
    <row r="826" spans="1:27" s="318" customFormat="1" ht="15" customHeight="1" outlineLevel="1">
      <c r="A826" s="282">
        <v>822</v>
      </c>
      <c r="B826" s="282" t="s">
        <v>1</v>
      </c>
      <c r="C826" s="312" t="s">
        <v>1088</v>
      </c>
      <c r="D826" s="313" t="s">
        <v>1089</v>
      </c>
      <c r="E826" s="314" t="s">
        <v>1088</v>
      </c>
      <c r="F826" s="553" t="str">
        <f t="shared" si="75"/>
        <v>REALArco de Serra manual (com serra)</v>
      </c>
      <c r="G826" s="609">
        <f>Y826</f>
        <v>0.33333333333333337</v>
      </c>
      <c r="H826" s="315" t="s">
        <v>228</v>
      </c>
      <c r="I826" s="323">
        <v>0.16666666666666666</v>
      </c>
      <c r="J826" s="323">
        <v>0.16666666666666666</v>
      </c>
      <c r="K826" s="323">
        <v>0.16666666666666666</v>
      </c>
      <c r="L826" s="323">
        <v>0.16666666666666666</v>
      </c>
      <c r="M826" s="323"/>
      <c r="N826" s="323"/>
      <c r="O826" s="323"/>
      <c r="P826" s="323"/>
      <c r="Q826" s="323"/>
      <c r="R826" s="323"/>
      <c r="S826" s="323"/>
      <c r="T826" s="323"/>
      <c r="U826" s="323"/>
      <c r="V826" s="316">
        <f t="shared" si="76"/>
        <v>0.66666666666666663</v>
      </c>
      <c r="W826" s="316">
        <v>5.61</v>
      </c>
      <c r="X826" s="316">
        <f t="shared" si="77"/>
        <v>3.74</v>
      </c>
      <c r="Y826" s="322">
        <f>X826/X825</f>
        <v>0.33333333333333337</v>
      </c>
      <c r="Z826" s="572"/>
      <c r="AA826" s="567"/>
    </row>
    <row r="827" spans="1:27" s="311" customFormat="1" ht="15" customHeight="1" outlineLevel="1">
      <c r="A827" s="273">
        <v>823</v>
      </c>
      <c r="B827" s="273" t="s">
        <v>0</v>
      </c>
      <c r="C827" s="305" t="s">
        <v>1090</v>
      </c>
      <c r="D827" s="306" t="s">
        <v>1091</v>
      </c>
      <c r="E827" s="307" t="s">
        <v>1090</v>
      </c>
      <c r="F827" s="553" t="str">
        <f t="shared" si="75"/>
        <v>PREVBalde 10 l</v>
      </c>
      <c r="G827" s="611" t="s">
        <v>74</v>
      </c>
      <c r="H827" s="307" t="s">
        <v>228</v>
      </c>
      <c r="I827" s="321">
        <v>0.93599999999999994</v>
      </c>
      <c r="J827" s="321">
        <v>1.17</v>
      </c>
      <c r="K827" s="321">
        <v>1.17</v>
      </c>
      <c r="L827" s="321">
        <v>1.17</v>
      </c>
      <c r="M827" s="321">
        <v>1.17</v>
      </c>
      <c r="N827" s="321">
        <v>1.17</v>
      </c>
      <c r="O827" s="321">
        <v>1.17</v>
      </c>
      <c r="P827" s="321">
        <v>1.17</v>
      </c>
      <c r="Q827" s="321">
        <v>1.1599999999999999</v>
      </c>
      <c r="R827" s="321">
        <v>1.1599999999999999</v>
      </c>
      <c r="S827" s="321">
        <v>1.1599999999999999</v>
      </c>
      <c r="T827" s="321">
        <v>1.1599999999999999</v>
      </c>
      <c r="U827" s="321">
        <v>0.23199999999999998</v>
      </c>
      <c r="V827" s="308">
        <f t="shared" si="76"/>
        <v>13.997999999999999</v>
      </c>
      <c r="W827" s="308">
        <v>2.69</v>
      </c>
      <c r="X827" s="308">
        <f t="shared" si="77"/>
        <v>37.654619999999994</v>
      </c>
      <c r="Y827" s="322" t="s">
        <v>74</v>
      </c>
      <c r="Z827" s="575"/>
      <c r="AA827" s="567"/>
    </row>
    <row r="828" spans="1:27" s="318" customFormat="1" ht="15" customHeight="1" outlineLevel="1">
      <c r="A828" s="282">
        <v>824</v>
      </c>
      <c r="B828" s="282" t="s">
        <v>1</v>
      </c>
      <c r="C828" s="312" t="s">
        <v>1090</v>
      </c>
      <c r="D828" s="313" t="s">
        <v>1091</v>
      </c>
      <c r="E828" s="314" t="s">
        <v>1090</v>
      </c>
      <c r="F828" s="553" t="str">
        <f t="shared" si="75"/>
        <v>REALBalde 10 l</v>
      </c>
      <c r="G828" s="609">
        <f>Y828</f>
        <v>0.3333809591846455</v>
      </c>
      <c r="H828" s="315" t="s">
        <v>228</v>
      </c>
      <c r="I828" s="323">
        <v>1.1666666666666667</v>
      </c>
      <c r="J828" s="323">
        <v>1.1666666666666667</v>
      </c>
      <c r="K828" s="323">
        <v>1.1666666666666667</v>
      </c>
      <c r="L828" s="323">
        <v>1.1666666666666667</v>
      </c>
      <c r="M828" s="323"/>
      <c r="N828" s="323"/>
      <c r="O828" s="323"/>
      <c r="P828" s="323"/>
      <c r="Q828" s="323"/>
      <c r="R828" s="323"/>
      <c r="S828" s="323"/>
      <c r="T828" s="323"/>
      <c r="U828" s="323"/>
      <c r="V828" s="316">
        <f t="shared" si="76"/>
        <v>4.666666666666667</v>
      </c>
      <c r="W828" s="316">
        <v>2.69</v>
      </c>
      <c r="X828" s="316">
        <f t="shared" si="77"/>
        <v>12.553333333333335</v>
      </c>
      <c r="Y828" s="322">
        <f>X828/X827</f>
        <v>0.3333809591846455</v>
      </c>
      <c r="Z828" s="572"/>
      <c r="AA828" s="567"/>
    </row>
    <row r="829" spans="1:27" s="311" customFormat="1" ht="15" customHeight="1" outlineLevel="1">
      <c r="A829" s="273">
        <v>825</v>
      </c>
      <c r="B829" s="273" t="s">
        <v>0</v>
      </c>
      <c r="C829" s="305" t="s">
        <v>1092</v>
      </c>
      <c r="D829" s="306" t="s">
        <v>185</v>
      </c>
      <c r="E829" s="307" t="s">
        <v>1092</v>
      </c>
      <c r="F829" s="553" t="str">
        <f t="shared" si="75"/>
        <v>PREVBinóculo Profissional Ampliação 8 à 24x 50mm</v>
      </c>
      <c r="G829" s="611" t="s">
        <v>74</v>
      </c>
      <c r="H829" s="307" t="s">
        <v>228</v>
      </c>
      <c r="I829" s="321">
        <v>0.13600000000000001</v>
      </c>
      <c r="J829" s="321">
        <v>0.17</v>
      </c>
      <c r="K829" s="321">
        <v>0.17</v>
      </c>
      <c r="L829" s="321">
        <v>0.17</v>
      </c>
      <c r="M829" s="321">
        <v>0.17</v>
      </c>
      <c r="N829" s="321">
        <v>0.17</v>
      </c>
      <c r="O829" s="321">
        <v>0.17</v>
      </c>
      <c r="P829" s="321">
        <v>0.17</v>
      </c>
      <c r="Q829" s="321">
        <v>0.16</v>
      </c>
      <c r="R829" s="321">
        <v>0.16</v>
      </c>
      <c r="S829" s="321">
        <v>0.16</v>
      </c>
      <c r="T829" s="321">
        <v>0.16</v>
      </c>
      <c r="U829" s="321">
        <v>3.2000000000000001E-2</v>
      </c>
      <c r="V829" s="308">
        <f t="shared" si="76"/>
        <v>1.9979999999999998</v>
      </c>
      <c r="W829" s="308">
        <v>24.34</v>
      </c>
      <c r="X829" s="308">
        <f t="shared" si="77"/>
        <v>48.631319999999995</v>
      </c>
      <c r="Y829" s="322" t="s">
        <v>74</v>
      </c>
      <c r="Z829" s="575"/>
      <c r="AA829" s="567"/>
    </row>
    <row r="830" spans="1:27" s="318" customFormat="1" ht="15" customHeight="1" outlineLevel="1">
      <c r="A830" s="282">
        <v>826</v>
      </c>
      <c r="B830" s="282" t="s">
        <v>1</v>
      </c>
      <c r="C830" s="312" t="s">
        <v>1092</v>
      </c>
      <c r="D830" s="313" t="s">
        <v>185</v>
      </c>
      <c r="E830" s="314" t="s">
        <v>1092</v>
      </c>
      <c r="F830" s="553" t="str">
        <f t="shared" si="75"/>
        <v>REALBinóculo Profissional Ampliação 8 à 24x 50mm</v>
      </c>
      <c r="G830" s="609">
        <f>Y830</f>
        <v>0.33366700033366703</v>
      </c>
      <c r="H830" s="315" t="s">
        <v>228</v>
      </c>
      <c r="I830" s="323">
        <v>0.16666666666666666</v>
      </c>
      <c r="J830" s="323">
        <v>0.16666666666666666</v>
      </c>
      <c r="K830" s="323">
        <v>0.16666666666666666</v>
      </c>
      <c r="L830" s="323">
        <v>0.16666666666666666</v>
      </c>
      <c r="M830" s="323"/>
      <c r="N830" s="323"/>
      <c r="O830" s="323"/>
      <c r="P830" s="323"/>
      <c r="Q830" s="323"/>
      <c r="R830" s="323"/>
      <c r="S830" s="323"/>
      <c r="T830" s="323"/>
      <c r="U830" s="323"/>
      <c r="V830" s="316">
        <f t="shared" si="76"/>
        <v>0.66666666666666663</v>
      </c>
      <c r="W830" s="316">
        <v>24.34</v>
      </c>
      <c r="X830" s="316">
        <f t="shared" si="77"/>
        <v>16.226666666666667</v>
      </c>
      <c r="Y830" s="322">
        <f>X830/X829</f>
        <v>0.33366700033366703</v>
      </c>
      <c r="Z830" s="572"/>
      <c r="AA830" s="567"/>
    </row>
    <row r="831" spans="1:27" s="311" customFormat="1" ht="15" customHeight="1" outlineLevel="1">
      <c r="A831" s="273">
        <v>827</v>
      </c>
      <c r="B831" s="273" t="s">
        <v>0</v>
      </c>
      <c r="C831" s="305" t="s">
        <v>1093</v>
      </c>
      <c r="D831" s="306" t="s">
        <v>550</v>
      </c>
      <c r="E831" s="307" t="s">
        <v>1093</v>
      </c>
      <c r="F831" s="553" t="str">
        <f t="shared" si="75"/>
        <v>PREVCâmera fotográfica digital 20MP, 5x Zoom Óptico</v>
      </c>
      <c r="G831" s="611" t="s">
        <v>74</v>
      </c>
      <c r="H831" s="307" t="s">
        <v>228</v>
      </c>
      <c r="I831" s="321">
        <v>0.13600000000000001</v>
      </c>
      <c r="J831" s="321">
        <v>0.17</v>
      </c>
      <c r="K831" s="321">
        <v>0.17</v>
      </c>
      <c r="L831" s="321">
        <v>0.17</v>
      </c>
      <c r="M831" s="321">
        <v>0.17</v>
      </c>
      <c r="N831" s="321">
        <v>0.17</v>
      </c>
      <c r="O831" s="321">
        <v>0.17</v>
      </c>
      <c r="P831" s="321">
        <v>0.17</v>
      </c>
      <c r="Q831" s="321">
        <v>0.16</v>
      </c>
      <c r="R831" s="321">
        <v>0.16</v>
      </c>
      <c r="S831" s="321">
        <v>0.16</v>
      </c>
      <c r="T831" s="321">
        <v>0.16</v>
      </c>
      <c r="U831" s="321">
        <v>3.2000000000000001E-2</v>
      </c>
      <c r="V831" s="308">
        <v>2</v>
      </c>
      <c r="W831" s="308">
        <v>259.08999999999997</v>
      </c>
      <c r="X831" s="308">
        <f t="shared" si="77"/>
        <v>518.17999999999995</v>
      </c>
      <c r="Y831" s="322" t="s">
        <v>74</v>
      </c>
      <c r="Z831" s="575"/>
      <c r="AA831" s="567"/>
    </row>
    <row r="832" spans="1:27" s="318" customFormat="1" ht="15" customHeight="1" outlineLevel="1">
      <c r="A832" s="282">
        <v>828</v>
      </c>
      <c r="B832" s="282" t="s">
        <v>1</v>
      </c>
      <c r="C832" s="312" t="s">
        <v>1093</v>
      </c>
      <c r="D832" s="313" t="s">
        <v>550</v>
      </c>
      <c r="E832" s="314" t="s">
        <v>1093</v>
      </c>
      <c r="F832" s="553" t="str">
        <f t="shared" si="75"/>
        <v>REALCâmera fotográfica digital 20MP, 5x Zoom Óptico</v>
      </c>
      <c r="G832" s="609">
        <f>Y832</f>
        <v>0.33333333333333331</v>
      </c>
      <c r="H832" s="315" t="s">
        <v>228</v>
      </c>
      <c r="I832" s="323">
        <v>0.16666666666666666</v>
      </c>
      <c r="J832" s="323">
        <v>0.16666666666666666</v>
      </c>
      <c r="K832" s="323">
        <v>0.16666666666666666</v>
      </c>
      <c r="L832" s="323">
        <v>0.16666666666666666</v>
      </c>
      <c r="M832" s="323"/>
      <c r="N832" s="323"/>
      <c r="O832" s="323"/>
      <c r="P832" s="323"/>
      <c r="Q832" s="323"/>
      <c r="R832" s="323"/>
      <c r="S832" s="323"/>
      <c r="T832" s="323"/>
      <c r="U832" s="323"/>
      <c r="V832" s="316">
        <f t="shared" ref="V832:V862" si="78">SUM(I832:U832)</f>
        <v>0.66666666666666663</v>
      </c>
      <c r="W832" s="316">
        <v>259.08999999999997</v>
      </c>
      <c r="X832" s="316">
        <f t="shared" si="77"/>
        <v>172.72666666666663</v>
      </c>
      <c r="Y832" s="322">
        <f>X832/X831</f>
        <v>0.33333333333333331</v>
      </c>
      <c r="Z832" s="572"/>
      <c r="AA832" s="567"/>
    </row>
    <row r="833" spans="1:27" s="311" customFormat="1" ht="15" customHeight="1" outlineLevel="1">
      <c r="A833" s="273">
        <v>829</v>
      </c>
      <c r="B833" s="273" t="s">
        <v>0</v>
      </c>
      <c r="C833" s="305" t="s">
        <v>1094</v>
      </c>
      <c r="D833" s="306" t="s">
        <v>1095</v>
      </c>
      <c r="E833" s="307" t="s">
        <v>1094</v>
      </c>
      <c r="F833" s="553" t="str">
        <f t="shared" si="75"/>
        <v>PREVCarro de mão</v>
      </c>
      <c r="G833" s="611" t="s">
        <v>74</v>
      </c>
      <c r="H833" s="307" t="s">
        <v>228</v>
      </c>
      <c r="I833" s="321">
        <v>1.8640000000000001</v>
      </c>
      <c r="J833" s="321">
        <v>2.33</v>
      </c>
      <c r="K833" s="321">
        <v>2.33</v>
      </c>
      <c r="L833" s="321">
        <v>2.33</v>
      </c>
      <c r="M833" s="321">
        <v>2.33</v>
      </c>
      <c r="N833" s="321">
        <v>2.33</v>
      </c>
      <c r="O833" s="321">
        <v>2.33</v>
      </c>
      <c r="P833" s="321">
        <v>2.33</v>
      </c>
      <c r="Q833" s="321">
        <v>2.34</v>
      </c>
      <c r="R833" s="321">
        <v>2.34</v>
      </c>
      <c r="S833" s="321">
        <v>2.34</v>
      </c>
      <c r="T833" s="321">
        <v>2.34</v>
      </c>
      <c r="U833" s="321">
        <v>0.46799999999999997</v>
      </c>
      <c r="V833" s="308">
        <f t="shared" si="78"/>
        <v>28.001999999999999</v>
      </c>
      <c r="W833" s="308">
        <v>44.61</v>
      </c>
      <c r="X833" s="308">
        <f t="shared" si="77"/>
        <v>1249.16922</v>
      </c>
      <c r="Y833" s="322" t="s">
        <v>74</v>
      </c>
      <c r="Z833" s="575"/>
      <c r="AA833" s="567"/>
    </row>
    <row r="834" spans="1:27" s="318" customFormat="1" ht="15" customHeight="1" outlineLevel="1">
      <c r="A834" s="282">
        <v>830</v>
      </c>
      <c r="B834" s="282" t="s">
        <v>1</v>
      </c>
      <c r="C834" s="312" t="s">
        <v>1094</v>
      </c>
      <c r="D834" s="313" t="s">
        <v>1095</v>
      </c>
      <c r="E834" s="314" t="s">
        <v>1094</v>
      </c>
      <c r="F834" s="553" t="str">
        <f t="shared" si="75"/>
        <v>REALCarro de mão</v>
      </c>
      <c r="G834" s="609">
        <f>Y834</f>
        <v>0.33330952551008264</v>
      </c>
      <c r="H834" s="315" t="s">
        <v>228</v>
      </c>
      <c r="I834" s="323">
        <v>2.3333333333333335</v>
      </c>
      <c r="J834" s="323">
        <v>2.3333333333333335</v>
      </c>
      <c r="K834" s="323">
        <v>2.3333333333333335</v>
      </c>
      <c r="L834" s="323">
        <v>2.3333333333333335</v>
      </c>
      <c r="M834" s="323"/>
      <c r="N834" s="323"/>
      <c r="O834" s="323"/>
      <c r="P834" s="323"/>
      <c r="Q834" s="323"/>
      <c r="R834" s="323"/>
      <c r="S834" s="323"/>
      <c r="T834" s="323"/>
      <c r="U834" s="323"/>
      <c r="V834" s="316">
        <f t="shared" si="78"/>
        <v>9.3333333333333339</v>
      </c>
      <c r="W834" s="316">
        <v>44.61</v>
      </c>
      <c r="X834" s="316">
        <f t="shared" si="77"/>
        <v>416.36</v>
      </c>
      <c r="Y834" s="322">
        <f>X834/X833</f>
        <v>0.33330952551008264</v>
      </c>
      <c r="Z834" s="572"/>
      <c r="AA834" s="567"/>
    </row>
    <row r="835" spans="1:27" s="311" customFormat="1" ht="15" customHeight="1" outlineLevel="1">
      <c r="A835" s="273">
        <v>831</v>
      </c>
      <c r="B835" s="273" t="s">
        <v>0</v>
      </c>
      <c r="C835" s="305" t="s">
        <v>1096</v>
      </c>
      <c r="D835" s="306" t="s">
        <v>1097</v>
      </c>
      <c r="E835" s="307" t="s">
        <v>1096</v>
      </c>
      <c r="F835" s="553" t="str">
        <f t="shared" si="75"/>
        <v>PREVCavadeira articulado</v>
      </c>
      <c r="G835" s="611" t="s">
        <v>74</v>
      </c>
      <c r="H835" s="307" t="s">
        <v>228</v>
      </c>
      <c r="I835" s="321">
        <v>0.46399999999999997</v>
      </c>
      <c r="J835" s="321">
        <v>0.57999999999999996</v>
      </c>
      <c r="K835" s="321">
        <v>0.57999999999999996</v>
      </c>
      <c r="L835" s="321">
        <v>0.57999999999999996</v>
      </c>
      <c r="M835" s="321">
        <v>0.57999999999999996</v>
      </c>
      <c r="N835" s="321">
        <v>0.57999999999999996</v>
      </c>
      <c r="O835" s="321">
        <v>0.57999999999999996</v>
      </c>
      <c r="P835" s="321">
        <v>0.57999999999999996</v>
      </c>
      <c r="Q835" s="321">
        <v>0.59</v>
      </c>
      <c r="R835" s="321">
        <v>0.59</v>
      </c>
      <c r="S835" s="321">
        <v>0.59</v>
      </c>
      <c r="T835" s="321">
        <v>0.59</v>
      </c>
      <c r="U835" s="321">
        <v>0.11799999999999999</v>
      </c>
      <c r="V835" s="308">
        <f t="shared" si="78"/>
        <v>7.0019999999999998</v>
      </c>
      <c r="W835" s="308">
        <v>9.93</v>
      </c>
      <c r="X835" s="308">
        <f t="shared" si="77"/>
        <v>69.529859999999999</v>
      </c>
      <c r="Y835" s="322" t="s">
        <v>74</v>
      </c>
      <c r="Z835" s="575"/>
      <c r="AA835" s="567"/>
    </row>
    <row r="836" spans="1:27" s="318" customFormat="1" ht="15" customHeight="1" outlineLevel="1">
      <c r="A836" s="282">
        <v>832</v>
      </c>
      <c r="B836" s="282" t="s">
        <v>1</v>
      </c>
      <c r="C836" s="312" t="s">
        <v>1096</v>
      </c>
      <c r="D836" s="313" t="s">
        <v>1097</v>
      </c>
      <c r="E836" s="314" t="s">
        <v>1096</v>
      </c>
      <c r="F836" s="553" t="str">
        <f t="shared" si="75"/>
        <v>REALCavadeira articulado</v>
      </c>
      <c r="G836" s="609">
        <f>Y836</f>
        <v>0.33323812244120732</v>
      </c>
      <c r="H836" s="315" t="s">
        <v>228</v>
      </c>
      <c r="I836" s="323">
        <v>0.58333333333333337</v>
      </c>
      <c r="J836" s="323">
        <v>0.58333333333333337</v>
      </c>
      <c r="K836" s="323">
        <v>0.58333333333333337</v>
      </c>
      <c r="L836" s="323">
        <v>0.58333333333333337</v>
      </c>
      <c r="M836" s="323"/>
      <c r="N836" s="323"/>
      <c r="O836" s="323"/>
      <c r="P836" s="323"/>
      <c r="Q836" s="323"/>
      <c r="R836" s="323"/>
      <c r="S836" s="323"/>
      <c r="T836" s="323"/>
      <c r="U836" s="323"/>
      <c r="V836" s="316">
        <f t="shared" si="78"/>
        <v>2.3333333333333335</v>
      </c>
      <c r="W836" s="316">
        <v>9.93</v>
      </c>
      <c r="X836" s="316">
        <f t="shared" si="77"/>
        <v>23.17</v>
      </c>
      <c r="Y836" s="322">
        <f>X836/X835</f>
        <v>0.33323812244120732</v>
      </c>
      <c r="Z836" s="572"/>
      <c r="AA836" s="567"/>
    </row>
    <row r="837" spans="1:27" s="311" customFormat="1" ht="15" customHeight="1" outlineLevel="1">
      <c r="A837" s="273">
        <v>833</v>
      </c>
      <c r="B837" s="273" t="s">
        <v>0</v>
      </c>
      <c r="C837" s="305" t="s">
        <v>1098</v>
      </c>
      <c r="D837" s="306" t="s">
        <v>1099</v>
      </c>
      <c r="E837" s="307" t="s">
        <v>1098</v>
      </c>
      <c r="F837" s="553" t="str">
        <f t="shared" si="75"/>
        <v>PREVChibanca</v>
      </c>
      <c r="G837" s="611" t="s">
        <v>74</v>
      </c>
      <c r="H837" s="307" t="s">
        <v>228</v>
      </c>
      <c r="I837" s="321">
        <v>1.6640000000000001</v>
      </c>
      <c r="J837" s="321">
        <v>2.08</v>
      </c>
      <c r="K837" s="321">
        <v>2.08</v>
      </c>
      <c r="L837" s="321">
        <v>2.08</v>
      </c>
      <c r="M837" s="321">
        <v>2.08</v>
      </c>
      <c r="N837" s="321">
        <v>2.08</v>
      </c>
      <c r="O837" s="321">
        <v>2.08</v>
      </c>
      <c r="P837" s="321">
        <v>2.08</v>
      </c>
      <c r="Q837" s="321">
        <v>2.09</v>
      </c>
      <c r="R837" s="321">
        <v>2.09</v>
      </c>
      <c r="S837" s="321">
        <v>2.09</v>
      </c>
      <c r="T837" s="321">
        <v>2.09</v>
      </c>
      <c r="U837" s="321">
        <v>0.41799999999999998</v>
      </c>
      <c r="V837" s="308">
        <f t="shared" si="78"/>
        <v>25.001999999999999</v>
      </c>
      <c r="W837" s="308">
        <v>17.63</v>
      </c>
      <c r="X837" s="308">
        <f t="shared" si="77"/>
        <v>440.78525999999994</v>
      </c>
      <c r="Y837" s="322" t="s">
        <v>74</v>
      </c>
      <c r="Z837" s="575"/>
      <c r="AA837" s="567"/>
    </row>
    <row r="838" spans="1:27" s="318" customFormat="1" ht="15" customHeight="1" outlineLevel="1">
      <c r="A838" s="282">
        <v>834</v>
      </c>
      <c r="B838" s="282" t="s">
        <v>1</v>
      </c>
      <c r="C838" s="312" t="s">
        <v>1098</v>
      </c>
      <c r="D838" s="313" t="s">
        <v>1099</v>
      </c>
      <c r="E838" s="314">
        <v>40248</v>
      </c>
      <c r="F838" s="553" t="str">
        <f t="shared" si="75"/>
        <v>REALChibanca</v>
      </c>
      <c r="G838" s="609">
        <f>Y838</f>
        <v>0.3333066687998294</v>
      </c>
      <c r="H838" s="315" t="s">
        <v>228</v>
      </c>
      <c r="I838" s="323">
        <v>2.0833333333333335</v>
      </c>
      <c r="J838" s="323">
        <v>2.0833333333333335</v>
      </c>
      <c r="K838" s="323">
        <v>2.0833333333333335</v>
      </c>
      <c r="L838" s="323">
        <v>2.0833333333333335</v>
      </c>
      <c r="M838" s="323"/>
      <c r="N838" s="323"/>
      <c r="O838" s="323"/>
      <c r="P838" s="323"/>
      <c r="Q838" s="323"/>
      <c r="R838" s="323"/>
      <c r="S838" s="323"/>
      <c r="T838" s="323"/>
      <c r="U838" s="323"/>
      <c r="V838" s="316">
        <f t="shared" si="78"/>
        <v>8.3333333333333339</v>
      </c>
      <c r="W838" s="316">
        <v>17.63</v>
      </c>
      <c r="X838" s="316">
        <f t="shared" si="77"/>
        <v>146.91666666666666</v>
      </c>
      <c r="Y838" s="322">
        <f>X838/X837</f>
        <v>0.3333066687998294</v>
      </c>
      <c r="Z838" s="572"/>
      <c r="AA838" s="567"/>
    </row>
    <row r="839" spans="1:27" s="311" customFormat="1" ht="15" customHeight="1" outlineLevel="1">
      <c r="A839" s="273">
        <v>835</v>
      </c>
      <c r="B839" s="273" t="s">
        <v>0</v>
      </c>
      <c r="C839" s="305" t="s">
        <v>1100</v>
      </c>
      <c r="D839" s="306" t="s">
        <v>1101</v>
      </c>
      <c r="E839" s="307" t="s">
        <v>1100</v>
      </c>
      <c r="F839" s="553" t="str">
        <f t="shared" si="75"/>
        <v>PREVColher de pedreiro</v>
      </c>
      <c r="G839" s="611" t="s">
        <v>74</v>
      </c>
      <c r="H839" s="307" t="s">
        <v>228</v>
      </c>
      <c r="I839" s="321">
        <v>0.26400000000000001</v>
      </c>
      <c r="J839" s="321">
        <v>0.33</v>
      </c>
      <c r="K839" s="321">
        <v>0.33</v>
      </c>
      <c r="L839" s="321">
        <v>0.33</v>
      </c>
      <c r="M839" s="321">
        <v>0.33</v>
      </c>
      <c r="N839" s="321">
        <v>0.33</v>
      </c>
      <c r="O839" s="321">
        <v>0.33</v>
      </c>
      <c r="P839" s="321">
        <v>0.33</v>
      </c>
      <c r="Q839" s="321">
        <v>0.34</v>
      </c>
      <c r="R839" s="321">
        <v>0.34</v>
      </c>
      <c r="S839" s="321">
        <v>0.34</v>
      </c>
      <c r="T839" s="321">
        <v>0.34</v>
      </c>
      <c r="U839" s="321">
        <v>6.8000000000000005E-2</v>
      </c>
      <c r="V839" s="308">
        <f t="shared" si="78"/>
        <v>4.0019999999999998</v>
      </c>
      <c r="W839" s="308">
        <v>4.43</v>
      </c>
      <c r="X839" s="308">
        <f t="shared" si="77"/>
        <v>17.728859999999997</v>
      </c>
      <c r="Y839" s="322" t="s">
        <v>74</v>
      </c>
      <c r="Z839" s="575"/>
      <c r="AA839" s="567"/>
    </row>
    <row r="840" spans="1:27" s="318" customFormat="1" ht="15" customHeight="1" outlineLevel="1">
      <c r="A840" s="282">
        <v>836</v>
      </c>
      <c r="B840" s="282" t="s">
        <v>1</v>
      </c>
      <c r="C840" s="312" t="s">
        <v>1100</v>
      </c>
      <c r="D840" s="313" t="s">
        <v>1101</v>
      </c>
      <c r="E840" s="314">
        <v>40613</v>
      </c>
      <c r="F840" s="553" t="str">
        <f t="shared" si="75"/>
        <v>REALColher de pedreiro</v>
      </c>
      <c r="G840" s="609">
        <f>Y840</f>
        <v>0.33316674995835416</v>
      </c>
      <c r="H840" s="315" t="s">
        <v>228</v>
      </c>
      <c r="I840" s="323">
        <v>0.33333333333333331</v>
      </c>
      <c r="J840" s="323">
        <v>0.33333333333333331</v>
      </c>
      <c r="K840" s="323">
        <v>0.33333333333333331</v>
      </c>
      <c r="L840" s="323">
        <v>0.33333333333333331</v>
      </c>
      <c r="M840" s="323"/>
      <c r="N840" s="323"/>
      <c r="O840" s="323"/>
      <c r="P840" s="323"/>
      <c r="Q840" s="323"/>
      <c r="R840" s="323"/>
      <c r="S840" s="323"/>
      <c r="T840" s="323"/>
      <c r="U840" s="323"/>
      <c r="V840" s="316">
        <f t="shared" si="78"/>
        <v>1.3333333333333333</v>
      </c>
      <c r="W840" s="316">
        <v>4.43</v>
      </c>
      <c r="X840" s="316">
        <f t="shared" si="77"/>
        <v>5.9066666666666663</v>
      </c>
      <c r="Y840" s="322">
        <f>X840/X839</f>
        <v>0.33316674995835416</v>
      </c>
      <c r="Z840" s="572"/>
      <c r="AA840" s="567"/>
    </row>
    <row r="841" spans="1:27" s="311" customFormat="1" ht="15" customHeight="1" outlineLevel="1">
      <c r="A841" s="273">
        <v>837</v>
      </c>
      <c r="B841" s="273" t="s">
        <v>0</v>
      </c>
      <c r="C841" s="305" t="s">
        <v>1102</v>
      </c>
      <c r="D841" s="306" t="s">
        <v>1103</v>
      </c>
      <c r="E841" s="307" t="s">
        <v>1102</v>
      </c>
      <c r="F841" s="553" t="str">
        <f t="shared" si="75"/>
        <v>PREVConjunto de ferramentas básicas para encanador</v>
      </c>
      <c r="G841" s="611" t="s">
        <v>74</v>
      </c>
      <c r="H841" s="307" t="s">
        <v>228</v>
      </c>
      <c r="I841" s="321">
        <v>6.4000000000000001E-2</v>
      </c>
      <c r="J841" s="321">
        <v>0.08</v>
      </c>
      <c r="K841" s="321">
        <v>0.08</v>
      </c>
      <c r="L841" s="321">
        <v>0.08</v>
      </c>
      <c r="M841" s="321">
        <v>0.08</v>
      </c>
      <c r="N841" s="321">
        <v>0.08</v>
      </c>
      <c r="O841" s="321">
        <v>0.08</v>
      </c>
      <c r="P841" s="321">
        <v>0.08</v>
      </c>
      <c r="Q841" s="321">
        <v>0.09</v>
      </c>
      <c r="R841" s="321">
        <v>0.09</v>
      </c>
      <c r="S841" s="321">
        <v>0.09</v>
      </c>
      <c r="T841" s="321">
        <v>0.09</v>
      </c>
      <c r="U841" s="321">
        <v>1.7999999999999999E-2</v>
      </c>
      <c r="V841" s="308">
        <f t="shared" si="78"/>
        <v>1.0019999999999998</v>
      </c>
      <c r="W841" s="308">
        <v>63.53</v>
      </c>
      <c r="X841" s="308">
        <f t="shared" si="77"/>
        <v>63.657059999999987</v>
      </c>
      <c r="Y841" s="322" t="s">
        <v>74</v>
      </c>
      <c r="Z841" s="575"/>
      <c r="AA841" s="567"/>
    </row>
    <row r="842" spans="1:27" s="318" customFormat="1" ht="15" customHeight="1" outlineLevel="1">
      <c r="A842" s="282">
        <v>838</v>
      </c>
      <c r="B842" s="282" t="s">
        <v>1</v>
      </c>
      <c r="C842" s="312" t="s">
        <v>1102</v>
      </c>
      <c r="D842" s="313" t="s">
        <v>1103</v>
      </c>
      <c r="E842" s="314" t="s">
        <v>1102</v>
      </c>
      <c r="F842" s="553" t="str">
        <f t="shared" si="75"/>
        <v>REALConjunto de ferramentas básicas para encanador</v>
      </c>
      <c r="G842" s="609">
        <f>Y842</f>
        <v>0.3326679973386561</v>
      </c>
      <c r="H842" s="315" t="s">
        <v>228</v>
      </c>
      <c r="I842" s="323">
        <v>8.3333333333333329E-2</v>
      </c>
      <c r="J842" s="323">
        <v>8.3333333333333329E-2</v>
      </c>
      <c r="K842" s="323">
        <v>8.3333333333333329E-2</v>
      </c>
      <c r="L842" s="323">
        <v>8.3333333333333329E-2</v>
      </c>
      <c r="M842" s="323"/>
      <c r="N842" s="323"/>
      <c r="O842" s="323"/>
      <c r="P842" s="323"/>
      <c r="Q842" s="323"/>
      <c r="R842" s="323"/>
      <c r="S842" s="323"/>
      <c r="T842" s="323"/>
      <c r="U842" s="323"/>
      <c r="V842" s="316">
        <f t="shared" si="78"/>
        <v>0.33333333333333331</v>
      </c>
      <c r="W842" s="316">
        <v>63.53</v>
      </c>
      <c r="X842" s="316">
        <f t="shared" si="77"/>
        <v>21.176666666666666</v>
      </c>
      <c r="Y842" s="322">
        <f>X842/X841</f>
        <v>0.3326679973386561</v>
      </c>
      <c r="Z842" s="572"/>
      <c r="AA842" s="567"/>
    </row>
    <row r="843" spans="1:27" s="311" customFormat="1" ht="15" customHeight="1" outlineLevel="1">
      <c r="A843" s="273">
        <v>839</v>
      </c>
      <c r="B843" s="273" t="s">
        <v>0</v>
      </c>
      <c r="C843" s="305" t="s">
        <v>1104</v>
      </c>
      <c r="D843" s="306" t="s">
        <v>1105</v>
      </c>
      <c r="E843" s="307" t="s">
        <v>1104</v>
      </c>
      <c r="F843" s="553" t="str">
        <f t="shared" si="75"/>
        <v>PREVConjunto de ferramentas básicas para pedreiro</v>
      </c>
      <c r="G843" s="611" t="s">
        <v>74</v>
      </c>
      <c r="H843" s="307" t="s">
        <v>228</v>
      </c>
      <c r="I843" s="321">
        <v>0.13600000000000001</v>
      </c>
      <c r="J843" s="321">
        <v>0.17</v>
      </c>
      <c r="K843" s="321">
        <v>0.17</v>
      </c>
      <c r="L843" s="321">
        <v>0.17</v>
      </c>
      <c r="M843" s="321">
        <v>0.17</v>
      </c>
      <c r="N843" s="321">
        <v>0.17</v>
      </c>
      <c r="O843" s="321">
        <v>0.17</v>
      </c>
      <c r="P843" s="321">
        <v>0.17</v>
      </c>
      <c r="Q843" s="321">
        <v>0.16</v>
      </c>
      <c r="R843" s="321">
        <v>0.16</v>
      </c>
      <c r="S843" s="321">
        <v>0.16</v>
      </c>
      <c r="T843" s="321">
        <v>0.16</v>
      </c>
      <c r="U843" s="321">
        <v>3.2000000000000001E-2</v>
      </c>
      <c r="V843" s="308">
        <f t="shared" si="78"/>
        <v>1.9979999999999998</v>
      </c>
      <c r="W843" s="308">
        <v>123.62</v>
      </c>
      <c r="X843" s="308">
        <f t="shared" si="77"/>
        <v>246.99275999999998</v>
      </c>
      <c r="Y843" s="322" t="s">
        <v>74</v>
      </c>
      <c r="Z843" s="575"/>
      <c r="AA843" s="567"/>
    </row>
    <row r="844" spans="1:27" s="318" customFormat="1" ht="15" customHeight="1" outlineLevel="1">
      <c r="A844" s="282">
        <v>840</v>
      </c>
      <c r="B844" s="282" t="s">
        <v>1</v>
      </c>
      <c r="C844" s="312" t="s">
        <v>1104</v>
      </c>
      <c r="D844" s="313" t="s">
        <v>1105</v>
      </c>
      <c r="E844" s="314">
        <v>41344</v>
      </c>
      <c r="F844" s="553" t="str">
        <f t="shared" si="75"/>
        <v>REALConjunto de ferramentas básicas para pedreiro</v>
      </c>
      <c r="G844" s="609">
        <f>Y844</f>
        <v>0.33366700033366703</v>
      </c>
      <c r="H844" s="315" t="s">
        <v>228</v>
      </c>
      <c r="I844" s="323">
        <v>0.16666666666666666</v>
      </c>
      <c r="J844" s="323">
        <v>0.16666666666666666</v>
      </c>
      <c r="K844" s="323">
        <v>0.16666666666666666</v>
      </c>
      <c r="L844" s="323">
        <v>0.16666666666666666</v>
      </c>
      <c r="M844" s="323"/>
      <c r="N844" s="323"/>
      <c r="O844" s="323"/>
      <c r="P844" s="323"/>
      <c r="Q844" s="323"/>
      <c r="R844" s="323"/>
      <c r="S844" s="323"/>
      <c r="T844" s="323"/>
      <c r="U844" s="323"/>
      <c r="V844" s="316">
        <f t="shared" si="78"/>
        <v>0.66666666666666663</v>
      </c>
      <c r="W844" s="316">
        <v>123.62</v>
      </c>
      <c r="X844" s="316">
        <f t="shared" si="77"/>
        <v>82.413333333333327</v>
      </c>
      <c r="Y844" s="322">
        <f>X844/X843</f>
        <v>0.33366700033366703</v>
      </c>
      <c r="Z844" s="572"/>
      <c r="AA844" s="567"/>
    </row>
    <row r="845" spans="1:27" s="311" customFormat="1" ht="15" customHeight="1" outlineLevel="1">
      <c r="A845" s="273">
        <v>841</v>
      </c>
      <c r="B845" s="273" t="s">
        <v>0</v>
      </c>
      <c r="C845" s="305" t="s">
        <v>1106</v>
      </c>
      <c r="D845" s="306" t="s">
        <v>1107</v>
      </c>
      <c r="E845" s="307" t="s">
        <v>1106</v>
      </c>
      <c r="F845" s="553" t="str">
        <f t="shared" si="75"/>
        <v>PREVCorda de bombeiro 12mm em nylon trançado (rolo de 100 m)</v>
      </c>
      <c r="G845" s="611" t="s">
        <v>74</v>
      </c>
      <c r="H845" s="307" t="s">
        <v>228</v>
      </c>
      <c r="I845" s="321">
        <v>0.13600000000000001</v>
      </c>
      <c r="J845" s="321">
        <v>0.17</v>
      </c>
      <c r="K845" s="321">
        <v>0.17</v>
      </c>
      <c r="L845" s="321">
        <v>0.17</v>
      </c>
      <c r="M845" s="321">
        <v>0.17</v>
      </c>
      <c r="N845" s="321">
        <v>0.17</v>
      </c>
      <c r="O845" s="321">
        <v>0.17</v>
      </c>
      <c r="P845" s="321">
        <v>0.17</v>
      </c>
      <c r="Q845" s="321">
        <v>0.16</v>
      </c>
      <c r="R845" s="321">
        <v>0.16</v>
      </c>
      <c r="S845" s="321">
        <v>0.16</v>
      </c>
      <c r="T845" s="321">
        <v>0.16</v>
      </c>
      <c r="U845" s="321">
        <v>3.2000000000000001E-2</v>
      </c>
      <c r="V845" s="308">
        <f t="shared" si="78"/>
        <v>1.9979999999999998</v>
      </c>
      <c r="W845" s="308">
        <v>169.01</v>
      </c>
      <c r="X845" s="308">
        <f t="shared" si="77"/>
        <v>337.68197999999995</v>
      </c>
      <c r="Y845" s="322" t="s">
        <v>74</v>
      </c>
      <c r="Z845" s="575"/>
      <c r="AA845" s="567"/>
    </row>
    <row r="846" spans="1:27" s="318" customFormat="1" ht="15" customHeight="1" outlineLevel="1">
      <c r="A846" s="282">
        <v>842</v>
      </c>
      <c r="B846" s="282" t="s">
        <v>1</v>
      </c>
      <c r="C846" s="312" t="s">
        <v>1106</v>
      </c>
      <c r="D846" s="313" t="s">
        <v>1107</v>
      </c>
      <c r="E846" s="314">
        <v>41709</v>
      </c>
      <c r="F846" s="553" t="str">
        <f t="shared" si="75"/>
        <v>REALCorda de bombeiro 12mm em nylon trançado (rolo de 100 m)</v>
      </c>
      <c r="G846" s="609">
        <f>Y846</f>
        <v>0.33366700033366697</v>
      </c>
      <c r="H846" s="315" t="s">
        <v>228</v>
      </c>
      <c r="I846" s="323">
        <v>0.16666666666666666</v>
      </c>
      <c r="J846" s="323">
        <v>0.16666666666666666</v>
      </c>
      <c r="K846" s="323">
        <v>0.16666666666666666</v>
      </c>
      <c r="L846" s="323">
        <v>0.16666666666666666</v>
      </c>
      <c r="M846" s="323"/>
      <c r="N846" s="323"/>
      <c r="O846" s="323"/>
      <c r="P846" s="323"/>
      <c r="Q846" s="323"/>
      <c r="R846" s="323"/>
      <c r="S846" s="323"/>
      <c r="T846" s="323"/>
      <c r="U846" s="323"/>
      <c r="V846" s="316">
        <f t="shared" si="78"/>
        <v>0.66666666666666663</v>
      </c>
      <c r="W846" s="316">
        <v>169.01</v>
      </c>
      <c r="X846" s="316">
        <f t="shared" si="77"/>
        <v>112.67333333333332</v>
      </c>
      <c r="Y846" s="322">
        <f>X846/X845</f>
        <v>0.33366700033366697</v>
      </c>
      <c r="Z846" s="572"/>
      <c r="AA846" s="567"/>
    </row>
    <row r="847" spans="1:27" s="311" customFormat="1" ht="15" customHeight="1" outlineLevel="1">
      <c r="A847" s="273">
        <v>843</v>
      </c>
      <c r="B847" s="273" t="s">
        <v>0</v>
      </c>
      <c r="C847" s="305" t="s">
        <v>1108</v>
      </c>
      <c r="D847" s="306" t="s">
        <v>1109</v>
      </c>
      <c r="E847" s="307" t="s">
        <v>1108</v>
      </c>
      <c r="F847" s="553" t="str">
        <f t="shared" si="75"/>
        <v>PREVDesempenadeira de aço dentada</v>
      </c>
      <c r="G847" s="611" t="s">
        <v>74</v>
      </c>
      <c r="H847" s="307" t="s">
        <v>228</v>
      </c>
      <c r="I847" s="321">
        <v>0.13600000000000001</v>
      </c>
      <c r="J847" s="321">
        <v>0.17</v>
      </c>
      <c r="K847" s="321">
        <v>0.17</v>
      </c>
      <c r="L847" s="321">
        <v>0.17</v>
      </c>
      <c r="M847" s="321">
        <v>0.17</v>
      </c>
      <c r="N847" s="321">
        <v>0.17</v>
      </c>
      <c r="O847" s="321">
        <v>0.17</v>
      </c>
      <c r="P847" s="321">
        <v>0.17</v>
      </c>
      <c r="Q847" s="321">
        <v>0.16</v>
      </c>
      <c r="R847" s="321">
        <v>0.16</v>
      </c>
      <c r="S847" s="321">
        <v>0.16</v>
      </c>
      <c r="T847" s="321">
        <v>0.16</v>
      </c>
      <c r="U847" s="321">
        <v>3.2000000000000001E-2</v>
      </c>
      <c r="V847" s="308">
        <f t="shared" si="78"/>
        <v>1.9979999999999998</v>
      </c>
      <c r="W847" s="308">
        <v>3.96</v>
      </c>
      <c r="X847" s="308">
        <f t="shared" si="77"/>
        <v>7.9120799999999987</v>
      </c>
      <c r="Y847" s="322" t="s">
        <v>74</v>
      </c>
      <c r="Z847" s="575"/>
      <c r="AA847" s="567"/>
    </row>
    <row r="848" spans="1:27" s="318" customFormat="1" ht="15" customHeight="1" outlineLevel="1">
      <c r="A848" s="282">
        <v>844</v>
      </c>
      <c r="B848" s="282" t="s">
        <v>1</v>
      </c>
      <c r="C848" s="312" t="s">
        <v>1108</v>
      </c>
      <c r="D848" s="313" t="s">
        <v>1109</v>
      </c>
      <c r="E848" s="314">
        <v>42074</v>
      </c>
      <c r="F848" s="553" t="str">
        <f t="shared" si="75"/>
        <v>REALDesempenadeira de aço dentada</v>
      </c>
      <c r="G848" s="609">
        <f>Y848</f>
        <v>0.33366700033366703</v>
      </c>
      <c r="H848" s="315" t="s">
        <v>228</v>
      </c>
      <c r="I848" s="323">
        <v>0.16666666666666666</v>
      </c>
      <c r="J848" s="323">
        <v>0.16666666666666666</v>
      </c>
      <c r="K848" s="323">
        <v>0.16666666666666666</v>
      </c>
      <c r="L848" s="323">
        <v>0.16666666666666666</v>
      </c>
      <c r="M848" s="323"/>
      <c r="N848" s="323"/>
      <c r="O848" s="323"/>
      <c r="P848" s="323"/>
      <c r="Q848" s="323"/>
      <c r="R848" s="323"/>
      <c r="S848" s="323"/>
      <c r="T848" s="323"/>
      <c r="U848" s="323"/>
      <c r="V848" s="316">
        <f t="shared" si="78"/>
        <v>0.66666666666666663</v>
      </c>
      <c r="W848" s="316">
        <v>3.96</v>
      </c>
      <c r="X848" s="316">
        <f t="shared" si="77"/>
        <v>2.6399999999999997</v>
      </c>
      <c r="Y848" s="322">
        <f>X848/X847</f>
        <v>0.33366700033366703</v>
      </c>
      <c r="Z848" s="572"/>
      <c r="AA848" s="567"/>
    </row>
    <row r="849" spans="1:27" s="311" customFormat="1" ht="15" customHeight="1" outlineLevel="1">
      <c r="A849" s="273">
        <v>845</v>
      </c>
      <c r="B849" s="273" t="s">
        <v>0</v>
      </c>
      <c r="C849" s="305" t="s">
        <v>1110</v>
      </c>
      <c r="D849" s="306" t="s">
        <v>1111</v>
      </c>
      <c r="E849" s="307" t="s">
        <v>1110</v>
      </c>
      <c r="F849" s="553" t="str">
        <f t="shared" si="75"/>
        <v>PREVDesempenadeira de aço lisa</v>
      </c>
      <c r="G849" s="611" t="s">
        <v>74</v>
      </c>
      <c r="H849" s="307" t="s">
        <v>228</v>
      </c>
      <c r="I849" s="321">
        <v>0.13600000000000001</v>
      </c>
      <c r="J849" s="321">
        <v>0.17</v>
      </c>
      <c r="K849" s="321">
        <v>0.17</v>
      </c>
      <c r="L849" s="321">
        <v>0.17</v>
      </c>
      <c r="M849" s="321">
        <v>0.17</v>
      </c>
      <c r="N849" s="321">
        <v>0.17</v>
      </c>
      <c r="O849" s="321">
        <v>0.17</v>
      </c>
      <c r="P849" s="321">
        <v>0.17</v>
      </c>
      <c r="Q849" s="321">
        <v>0.16</v>
      </c>
      <c r="R849" s="321">
        <v>0.16</v>
      </c>
      <c r="S849" s="321">
        <v>0.16</v>
      </c>
      <c r="T849" s="321">
        <v>0.16</v>
      </c>
      <c r="U849" s="321">
        <v>3.2000000000000001E-2</v>
      </c>
      <c r="V849" s="308">
        <f t="shared" si="78"/>
        <v>1.9979999999999998</v>
      </c>
      <c r="W849" s="308">
        <v>3.96</v>
      </c>
      <c r="X849" s="308">
        <f t="shared" si="77"/>
        <v>7.9120799999999987</v>
      </c>
      <c r="Y849" s="322" t="s">
        <v>74</v>
      </c>
      <c r="Z849" s="575"/>
      <c r="AA849" s="567"/>
    </row>
    <row r="850" spans="1:27" s="318" customFormat="1" ht="15" customHeight="1" outlineLevel="1">
      <c r="A850" s="282">
        <v>846</v>
      </c>
      <c r="B850" s="282" t="s">
        <v>1</v>
      </c>
      <c r="C850" s="312" t="s">
        <v>1110</v>
      </c>
      <c r="D850" s="313" t="s">
        <v>1111</v>
      </c>
      <c r="E850" s="314" t="s">
        <v>1110</v>
      </c>
      <c r="F850" s="553" t="str">
        <f t="shared" si="75"/>
        <v>REALDesempenadeira de aço lisa</v>
      </c>
      <c r="G850" s="609">
        <f>Y850</f>
        <v>0.33366700033366703</v>
      </c>
      <c r="H850" s="315" t="s">
        <v>228</v>
      </c>
      <c r="I850" s="323">
        <v>0.16666666666666666</v>
      </c>
      <c r="J850" s="323">
        <v>0.16666666666666666</v>
      </c>
      <c r="K850" s="323">
        <v>0.16666666666666666</v>
      </c>
      <c r="L850" s="323">
        <v>0.16666666666666666</v>
      </c>
      <c r="M850" s="323"/>
      <c r="N850" s="323"/>
      <c r="O850" s="323"/>
      <c r="P850" s="323"/>
      <c r="Q850" s="323"/>
      <c r="R850" s="323"/>
      <c r="S850" s="323"/>
      <c r="T850" s="323"/>
      <c r="U850" s="323"/>
      <c r="V850" s="316">
        <f t="shared" si="78"/>
        <v>0.66666666666666663</v>
      </c>
      <c r="W850" s="316">
        <v>3.96</v>
      </c>
      <c r="X850" s="316">
        <f t="shared" si="77"/>
        <v>2.6399999999999997</v>
      </c>
      <c r="Y850" s="322">
        <f>X850/X849</f>
        <v>0.33366700033366703</v>
      </c>
      <c r="Z850" s="572"/>
      <c r="AA850" s="567"/>
    </row>
    <row r="851" spans="1:27" s="311" customFormat="1" ht="15" customHeight="1" outlineLevel="1">
      <c r="A851" s="273">
        <v>847</v>
      </c>
      <c r="B851" s="273" t="s">
        <v>0</v>
      </c>
      <c r="C851" s="305" t="s">
        <v>1112</v>
      </c>
      <c r="D851" s="306" t="s">
        <v>1113</v>
      </c>
      <c r="E851" s="307" t="s">
        <v>1112</v>
      </c>
      <c r="F851" s="553" t="str">
        <f t="shared" si="75"/>
        <v>PREVDisco corte abrasivo 18"</v>
      </c>
      <c r="G851" s="611" t="s">
        <v>74</v>
      </c>
      <c r="H851" s="307" t="s">
        <v>228</v>
      </c>
      <c r="I851" s="321">
        <v>0.13600000000000001</v>
      </c>
      <c r="J851" s="321">
        <v>0.17</v>
      </c>
      <c r="K851" s="321">
        <v>0.17</v>
      </c>
      <c r="L851" s="321">
        <v>0.17</v>
      </c>
      <c r="M851" s="321">
        <v>0.17</v>
      </c>
      <c r="N851" s="321">
        <v>0.17</v>
      </c>
      <c r="O851" s="321">
        <v>0.17</v>
      </c>
      <c r="P851" s="321">
        <v>0.17</v>
      </c>
      <c r="Q851" s="321">
        <v>0.16</v>
      </c>
      <c r="R851" s="321">
        <v>0.16</v>
      </c>
      <c r="S851" s="321">
        <v>0.16</v>
      </c>
      <c r="T851" s="321">
        <v>0.16</v>
      </c>
      <c r="U851" s="321">
        <v>3.4000000000000002E-2</v>
      </c>
      <c r="V851" s="308">
        <f t="shared" si="78"/>
        <v>1.9999999999999998</v>
      </c>
      <c r="W851" s="308">
        <v>124.37</v>
      </c>
      <c r="X851" s="308">
        <f t="shared" si="77"/>
        <v>248.73999999999998</v>
      </c>
      <c r="Y851" s="322" t="s">
        <v>74</v>
      </c>
      <c r="Z851" s="575"/>
      <c r="AA851" s="567"/>
    </row>
    <row r="852" spans="1:27" s="318" customFormat="1" ht="15" customHeight="1" outlineLevel="1">
      <c r="A852" s="282">
        <v>848</v>
      </c>
      <c r="B852" s="282" t="s">
        <v>1</v>
      </c>
      <c r="C852" s="312" t="s">
        <v>1112</v>
      </c>
      <c r="D852" s="313" t="s">
        <v>1113</v>
      </c>
      <c r="E852" s="314">
        <v>42805</v>
      </c>
      <c r="F852" s="553" t="str">
        <f t="shared" si="75"/>
        <v>REALDisco corte abrasivo 18"</v>
      </c>
      <c r="G852" s="609">
        <f>Y852</f>
        <v>0.33333333333333331</v>
      </c>
      <c r="H852" s="315" t="s">
        <v>228</v>
      </c>
      <c r="I852" s="323">
        <v>0.16666666666666666</v>
      </c>
      <c r="J852" s="323">
        <v>0.16666666666666666</v>
      </c>
      <c r="K852" s="323">
        <v>0.16666666666666666</v>
      </c>
      <c r="L852" s="323">
        <v>0.16666666666666666</v>
      </c>
      <c r="M852" s="323"/>
      <c r="N852" s="323"/>
      <c r="O852" s="323"/>
      <c r="P852" s="323"/>
      <c r="Q852" s="323"/>
      <c r="R852" s="323"/>
      <c r="S852" s="323"/>
      <c r="T852" s="323"/>
      <c r="U852" s="323"/>
      <c r="V852" s="316">
        <f t="shared" si="78"/>
        <v>0.66666666666666663</v>
      </c>
      <c r="W852" s="316">
        <v>124.37</v>
      </c>
      <c r="X852" s="316">
        <f t="shared" si="77"/>
        <v>82.913333333333327</v>
      </c>
      <c r="Y852" s="322">
        <f>X852/X851</f>
        <v>0.33333333333333331</v>
      </c>
      <c r="Z852" s="572"/>
      <c r="AA852" s="567"/>
    </row>
    <row r="853" spans="1:27" s="311" customFormat="1" ht="15" customHeight="1" outlineLevel="1">
      <c r="A853" s="273">
        <v>849</v>
      </c>
      <c r="B853" s="273" t="s">
        <v>0</v>
      </c>
      <c r="C853" s="305" t="s">
        <v>1114</v>
      </c>
      <c r="D853" s="306" t="s">
        <v>1115</v>
      </c>
      <c r="E853" s="307" t="s">
        <v>1114</v>
      </c>
      <c r="F853" s="553" t="str">
        <f t="shared" ref="F853:F884" si="79">B853&amp;D853</f>
        <v>PREVEnxada estreita de 240 x 230 mm, com cabo</v>
      </c>
      <c r="G853" s="611" t="s">
        <v>74</v>
      </c>
      <c r="H853" s="307" t="s">
        <v>228</v>
      </c>
      <c r="I853" s="321">
        <v>1.536</v>
      </c>
      <c r="J853" s="321">
        <v>1.92</v>
      </c>
      <c r="K853" s="321">
        <v>1.92</v>
      </c>
      <c r="L853" s="321">
        <v>1.92</v>
      </c>
      <c r="M853" s="321">
        <v>1.92</v>
      </c>
      <c r="N853" s="321">
        <v>1.92</v>
      </c>
      <c r="O853" s="321">
        <v>1.92</v>
      </c>
      <c r="P853" s="321">
        <v>1.92</v>
      </c>
      <c r="Q853" s="321">
        <v>1.91</v>
      </c>
      <c r="R853" s="321">
        <v>1.91</v>
      </c>
      <c r="S853" s="321">
        <v>1.91</v>
      </c>
      <c r="T853" s="321">
        <v>1.91</v>
      </c>
      <c r="U853" s="321">
        <v>0.38200000000000001</v>
      </c>
      <c r="V853" s="308">
        <f t="shared" si="78"/>
        <v>22.998000000000001</v>
      </c>
      <c r="W853" s="308">
        <v>9.81</v>
      </c>
      <c r="X853" s="308">
        <f t="shared" ref="X853:X884" si="80">W853*V853</f>
        <v>225.61038000000002</v>
      </c>
      <c r="Y853" s="322" t="s">
        <v>74</v>
      </c>
      <c r="Z853" s="575"/>
      <c r="AA853" s="567"/>
    </row>
    <row r="854" spans="1:27" s="318" customFormat="1" ht="15" customHeight="1" outlineLevel="1">
      <c r="A854" s="282">
        <v>850</v>
      </c>
      <c r="B854" s="282" t="s">
        <v>1</v>
      </c>
      <c r="C854" s="312" t="s">
        <v>1114</v>
      </c>
      <c r="D854" s="313" t="s">
        <v>1115</v>
      </c>
      <c r="E854" s="314">
        <v>43170</v>
      </c>
      <c r="F854" s="553" t="str">
        <f t="shared" si="79"/>
        <v>REALEnxada estreita de 240 x 230 mm, com cabo</v>
      </c>
      <c r="G854" s="609">
        <f>Y854</f>
        <v>0.3333623213612778</v>
      </c>
      <c r="H854" s="315" t="s">
        <v>228</v>
      </c>
      <c r="I854" s="323">
        <v>1.9166666666666667</v>
      </c>
      <c r="J854" s="323">
        <v>1.9166666666666667</v>
      </c>
      <c r="K854" s="323">
        <v>1.9166666666666667</v>
      </c>
      <c r="L854" s="323">
        <v>1.9166666666666667</v>
      </c>
      <c r="M854" s="323"/>
      <c r="N854" s="323"/>
      <c r="O854" s="323"/>
      <c r="P854" s="323"/>
      <c r="Q854" s="323"/>
      <c r="R854" s="323"/>
      <c r="S854" s="323"/>
      <c r="T854" s="323"/>
      <c r="U854" s="323"/>
      <c r="V854" s="316">
        <f t="shared" si="78"/>
        <v>7.666666666666667</v>
      </c>
      <c r="W854" s="316">
        <v>9.81</v>
      </c>
      <c r="X854" s="316">
        <f t="shared" si="80"/>
        <v>75.210000000000008</v>
      </c>
      <c r="Y854" s="322">
        <f>X854/X853</f>
        <v>0.3333623213612778</v>
      </c>
      <c r="Z854" s="572"/>
      <c r="AA854" s="567"/>
    </row>
    <row r="855" spans="1:27" s="311" customFormat="1" ht="15" customHeight="1" outlineLevel="1">
      <c r="A855" s="273">
        <v>851</v>
      </c>
      <c r="B855" s="273" t="s">
        <v>0</v>
      </c>
      <c r="C855" s="305" t="s">
        <v>1116</v>
      </c>
      <c r="D855" s="306" t="s">
        <v>1117</v>
      </c>
      <c r="E855" s="307" t="s">
        <v>1116</v>
      </c>
      <c r="F855" s="553" t="str">
        <f t="shared" si="79"/>
        <v>PREVEscada articulada multifuncional 16 degraus</v>
      </c>
      <c r="G855" s="611" t="s">
        <v>74</v>
      </c>
      <c r="H855" s="307" t="s">
        <v>228</v>
      </c>
      <c r="I855" s="321">
        <v>0.2</v>
      </c>
      <c r="J855" s="321">
        <v>0.25</v>
      </c>
      <c r="K855" s="321">
        <v>0.25</v>
      </c>
      <c r="L855" s="321">
        <v>0.25</v>
      </c>
      <c r="M855" s="321">
        <v>0.25</v>
      </c>
      <c r="N855" s="321">
        <v>0.25</v>
      </c>
      <c r="O855" s="321">
        <v>0.25</v>
      </c>
      <c r="P855" s="321">
        <v>0.25</v>
      </c>
      <c r="Q855" s="321">
        <v>0.25</v>
      </c>
      <c r="R855" s="321">
        <v>0.25</v>
      </c>
      <c r="S855" s="321">
        <v>0.25</v>
      </c>
      <c r="T855" s="321">
        <v>0.25</v>
      </c>
      <c r="U855" s="321">
        <v>0.05</v>
      </c>
      <c r="V855" s="308">
        <f t="shared" si="78"/>
        <v>3</v>
      </c>
      <c r="W855" s="308">
        <v>98.07</v>
      </c>
      <c r="X855" s="308">
        <f t="shared" si="80"/>
        <v>294.20999999999998</v>
      </c>
      <c r="Y855" s="322" t="s">
        <v>74</v>
      </c>
      <c r="Z855" s="575"/>
      <c r="AA855" s="567"/>
    </row>
    <row r="856" spans="1:27" s="318" customFormat="1" ht="15" customHeight="1" outlineLevel="1">
      <c r="A856" s="282">
        <v>852</v>
      </c>
      <c r="B856" s="282" t="s">
        <v>1</v>
      </c>
      <c r="C856" s="312" t="s">
        <v>1116</v>
      </c>
      <c r="D856" s="313" t="s">
        <v>1117</v>
      </c>
      <c r="E856" s="314" t="s">
        <v>1116</v>
      </c>
      <c r="F856" s="553" t="str">
        <f t="shared" si="79"/>
        <v>REALEscada articulada multifuncional 16 degraus</v>
      </c>
      <c r="G856" s="609">
        <f>Y856</f>
        <v>0.33333333333333331</v>
      </c>
      <c r="H856" s="315" t="s">
        <v>228</v>
      </c>
      <c r="I856" s="323">
        <v>0.25</v>
      </c>
      <c r="J856" s="323">
        <v>0.25</v>
      </c>
      <c r="K856" s="323">
        <v>0.25</v>
      </c>
      <c r="L856" s="323">
        <v>0.25</v>
      </c>
      <c r="M856" s="323"/>
      <c r="N856" s="323"/>
      <c r="O856" s="323"/>
      <c r="P856" s="323"/>
      <c r="Q856" s="323"/>
      <c r="R856" s="323"/>
      <c r="S856" s="323"/>
      <c r="T856" s="323"/>
      <c r="U856" s="323"/>
      <c r="V856" s="316">
        <f t="shared" si="78"/>
        <v>1</v>
      </c>
      <c r="W856" s="316">
        <v>98.07</v>
      </c>
      <c r="X856" s="316">
        <f t="shared" si="80"/>
        <v>98.07</v>
      </c>
      <c r="Y856" s="322">
        <f>X856/X855</f>
        <v>0.33333333333333331</v>
      </c>
      <c r="Z856" s="572"/>
      <c r="AA856" s="567"/>
    </row>
    <row r="857" spans="1:27" s="311" customFormat="1" ht="15" customHeight="1" outlineLevel="1">
      <c r="A857" s="273">
        <v>853</v>
      </c>
      <c r="B857" s="273" t="s">
        <v>0</v>
      </c>
      <c r="C857" s="305" t="s">
        <v>1118</v>
      </c>
      <c r="D857" s="306" t="s">
        <v>1119</v>
      </c>
      <c r="E857" s="307" t="s">
        <v>1118</v>
      </c>
      <c r="F857" s="553" t="str">
        <f t="shared" si="79"/>
        <v>PREVEscova de aco, com cabo, *4 x 15* fileiras de cerdas</v>
      </c>
      <c r="G857" s="611" t="s">
        <v>74</v>
      </c>
      <c r="H857" s="307" t="s">
        <v>228</v>
      </c>
      <c r="I857" s="321">
        <v>0.2</v>
      </c>
      <c r="J857" s="321">
        <v>0.25</v>
      </c>
      <c r="K857" s="321">
        <v>0.25</v>
      </c>
      <c r="L857" s="321">
        <v>0.25</v>
      </c>
      <c r="M857" s="321">
        <v>0.25</v>
      </c>
      <c r="N857" s="321">
        <v>0.25</v>
      </c>
      <c r="O857" s="321">
        <v>0.25</v>
      </c>
      <c r="P857" s="321">
        <v>0.25</v>
      </c>
      <c r="Q857" s="321">
        <v>0.25</v>
      </c>
      <c r="R857" s="321">
        <v>0.25</v>
      </c>
      <c r="S857" s="321">
        <v>0.25</v>
      </c>
      <c r="T857" s="321">
        <v>0.25</v>
      </c>
      <c r="U857" s="321">
        <v>0.05</v>
      </c>
      <c r="V857" s="308">
        <f t="shared" si="78"/>
        <v>3</v>
      </c>
      <c r="W857" s="308">
        <v>2.64</v>
      </c>
      <c r="X857" s="308">
        <f t="shared" si="80"/>
        <v>7.92</v>
      </c>
      <c r="Y857" s="322" t="s">
        <v>74</v>
      </c>
      <c r="Z857" s="575"/>
      <c r="AA857" s="567"/>
    </row>
    <row r="858" spans="1:27" s="318" customFormat="1" ht="15" customHeight="1" outlineLevel="1">
      <c r="A858" s="282">
        <v>854</v>
      </c>
      <c r="B858" s="282" t="s">
        <v>1</v>
      </c>
      <c r="C858" s="312" t="s">
        <v>1118</v>
      </c>
      <c r="D858" s="313" t="s">
        <v>1119</v>
      </c>
      <c r="E858" s="314" t="s">
        <v>1118</v>
      </c>
      <c r="F858" s="553" t="str">
        <f t="shared" si="79"/>
        <v>REALEscova de aco, com cabo, *4 x 15* fileiras de cerdas</v>
      </c>
      <c r="G858" s="609">
        <f>Y858</f>
        <v>0.33333333333333337</v>
      </c>
      <c r="H858" s="315" t="s">
        <v>228</v>
      </c>
      <c r="I858" s="323">
        <v>0.25</v>
      </c>
      <c r="J858" s="323">
        <v>0.25</v>
      </c>
      <c r="K858" s="323">
        <v>0.25</v>
      </c>
      <c r="L858" s="323">
        <v>0.25</v>
      </c>
      <c r="M858" s="323"/>
      <c r="N858" s="323"/>
      <c r="O858" s="323"/>
      <c r="P858" s="323"/>
      <c r="Q858" s="323"/>
      <c r="R858" s="323"/>
      <c r="S858" s="323"/>
      <c r="T858" s="323"/>
      <c r="U858" s="323"/>
      <c r="V858" s="316">
        <f t="shared" si="78"/>
        <v>1</v>
      </c>
      <c r="W858" s="316">
        <v>2.64</v>
      </c>
      <c r="X858" s="316">
        <f t="shared" si="80"/>
        <v>2.64</v>
      </c>
      <c r="Y858" s="322">
        <f>X858/X857</f>
        <v>0.33333333333333337</v>
      </c>
      <c r="Z858" s="572"/>
      <c r="AA858" s="567"/>
    </row>
    <row r="859" spans="1:27" s="311" customFormat="1" ht="15" customHeight="1" outlineLevel="1">
      <c r="A859" s="273">
        <v>855</v>
      </c>
      <c r="B859" s="273" t="s">
        <v>0</v>
      </c>
      <c r="C859" s="305" t="s">
        <v>1120</v>
      </c>
      <c r="D859" s="306" t="s">
        <v>1121</v>
      </c>
      <c r="E859" s="307" t="s">
        <v>1120</v>
      </c>
      <c r="F859" s="553" t="str">
        <f t="shared" si="79"/>
        <v>PREVEspátula aço inox, 8cm ‐ cabo de madeira</v>
      </c>
      <c r="G859" s="611" t="s">
        <v>74</v>
      </c>
      <c r="H859" s="307" t="s">
        <v>228</v>
      </c>
      <c r="I859" s="321">
        <v>0.2</v>
      </c>
      <c r="J859" s="321">
        <v>0.25</v>
      </c>
      <c r="K859" s="321">
        <v>0.25</v>
      </c>
      <c r="L859" s="321">
        <v>0.25</v>
      </c>
      <c r="M859" s="321">
        <v>0.25</v>
      </c>
      <c r="N859" s="321">
        <v>0.25</v>
      </c>
      <c r="O859" s="321">
        <v>0.25</v>
      </c>
      <c r="P859" s="321">
        <v>0.25</v>
      </c>
      <c r="Q859" s="321">
        <v>0.25</v>
      </c>
      <c r="R859" s="321">
        <v>0.25</v>
      </c>
      <c r="S859" s="321">
        <v>0.25</v>
      </c>
      <c r="T859" s="321">
        <v>0.25</v>
      </c>
      <c r="U859" s="321">
        <v>0.05</v>
      </c>
      <c r="V859" s="308">
        <f t="shared" si="78"/>
        <v>3</v>
      </c>
      <c r="W859" s="308">
        <v>3.96</v>
      </c>
      <c r="X859" s="308">
        <f t="shared" si="80"/>
        <v>11.879999999999999</v>
      </c>
      <c r="Y859" s="322" t="s">
        <v>74</v>
      </c>
      <c r="Z859" s="575"/>
      <c r="AA859" s="567"/>
    </row>
    <row r="860" spans="1:27" s="318" customFormat="1" ht="15" customHeight="1" outlineLevel="1">
      <c r="A860" s="282">
        <v>856</v>
      </c>
      <c r="B860" s="282" t="s">
        <v>1</v>
      </c>
      <c r="C860" s="312" t="s">
        <v>1120</v>
      </c>
      <c r="D860" s="313" t="s">
        <v>1121</v>
      </c>
      <c r="E860" s="314">
        <v>44266</v>
      </c>
      <c r="F860" s="553" t="str">
        <f t="shared" si="79"/>
        <v>REALEspátula aço inox, 8cm ‐ cabo de madeira</v>
      </c>
      <c r="G860" s="609">
        <f>Y860</f>
        <v>0.33333333333333337</v>
      </c>
      <c r="H860" s="315" t="s">
        <v>228</v>
      </c>
      <c r="I860" s="323">
        <v>0.25</v>
      </c>
      <c r="J860" s="323">
        <v>0.25</v>
      </c>
      <c r="K860" s="323">
        <v>0.25</v>
      </c>
      <c r="L860" s="323">
        <v>0.25</v>
      </c>
      <c r="M860" s="323"/>
      <c r="N860" s="323"/>
      <c r="O860" s="323"/>
      <c r="P860" s="323"/>
      <c r="Q860" s="323"/>
      <c r="R860" s="323"/>
      <c r="S860" s="323"/>
      <c r="T860" s="323"/>
      <c r="U860" s="323"/>
      <c r="V860" s="316">
        <f t="shared" si="78"/>
        <v>1</v>
      </c>
      <c r="W860" s="316">
        <v>3.96</v>
      </c>
      <c r="X860" s="316">
        <f t="shared" si="80"/>
        <v>3.96</v>
      </c>
      <c r="Y860" s="322">
        <f>X860/X859</f>
        <v>0.33333333333333337</v>
      </c>
      <c r="Z860" s="572"/>
      <c r="AA860" s="567"/>
    </row>
    <row r="861" spans="1:27" s="311" customFormat="1" ht="15" customHeight="1" outlineLevel="1">
      <c r="A861" s="273">
        <v>857</v>
      </c>
      <c r="B861" s="273" t="s">
        <v>0</v>
      </c>
      <c r="C861" s="305" t="s">
        <v>1122</v>
      </c>
      <c r="D861" s="306" t="s">
        <v>1123</v>
      </c>
      <c r="E861" s="307" t="s">
        <v>1122</v>
      </c>
      <c r="F861" s="553" t="str">
        <f t="shared" si="79"/>
        <v>PREVEspátula de plástico lisa, largura 10 cm</v>
      </c>
      <c r="G861" s="611" t="s">
        <v>74</v>
      </c>
      <c r="H861" s="307" t="s">
        <v>228</v>
      </c>
      <c r="I861" s="321">
        <v>0.2</v>
      </c>
      <c r="J861" s="321">
        <v>0.25</v>
      </c>
      <c r="K861" s="321">
        <v>0.25</v>
      </c>
      <c r="L861" s="321">
        <v>0.25</v>
      </c>
      <c r="M861" s="321">
        <v>0.25</v>
      </c>
      <c r="N861" s="321">
        <v>0.25</v>
      </c>
      <c r="O861" s="321">
        <v>0.25</v>
      </c>
      <c r="P861" s="321">
        <v>0.25</v>
      </c>
      <c r="Q861" s="321">
        <v>0.25</v>
      </c>
      <c r="R861" s="321">
        <v>0.25</v>
      </c>
      <c r="S861" s="321">
        <v>0.25</v>
      </c>
      <c r="T861" s="321">
        <v>0.25</v>
      </c>
      <c r="U861" s="321">
        <v>0.05</v>
      </c>
      <c r="V861" s="308">
        <f t="shared" si="78"/>
        <v>3</v>
      </c>
      <c r="W861" s="308">
        <v>1.77</v>
      </c>
      <c r="X861" s="308">
        <f t="shared" si="80"/>
        <v>5.3100000000000005</v>
      </c>
      <c r="Y861" s="322" t="s">
        <v>74</v>
      </c>
      <c r="Z861" s="575"/>
      <c r="AA861" s="567"/>
    </row>
    <row r="862" spans="1:27" s="318" customFormat="1" ht="15" customHeight="1" outlineLevel="1">
      <c r="A862" s="282">
        <v>858</v>
      </c>
      <c r="B862" s="282" t="s">
        <v>1</v>
      </c>
      <c r="C862" s="312" t="s">
        <v>1122</v>
      </c>
      <c r="D862" s="313" t="s">
        <v>1123</v>
      </c>
      <c r="E862" s="314" t="s">
        <v>1122</v>
      </c>
      <c r="F862" s="553" t="str">
        <f t="shared" si="79"/>
        <v>REALEspátula de plástico lisa, largura 10 cm</v>
      </c>
      <c r="G862" s="609">
        <f>Y862</f>
        <v>0.33333333333333331</v>
      </c>
      <c r="H862" s="315" t="s">
        <v>228</v>
      </c>
      <c r="I862" s="323">
        <v>0.25</v>
      </c>
      <c r="J862" s="323">
        <v>0.25</v>
      </c>
      <c r="K862" s="323">
        <v>0.25</v>
      </c>
      <c r="L862" s="323">
        <v>0.25</v>
      </c>
      <c r="M862" s="323"/>
      <c r="N862" s="323"/>
      <c r="O862" s="323"/>
      <c r="P862" s="323"/>
      <c r="Q862" s="323"/>
      <c r="R862" s="323"/>
      <c r="S862" s="323"/>
      <c r="T862" s="323"/>
      <c r="U862" s="323"/>
      <c r="V862" s="316">
        <f t="shared" si="78"/>
        <v>1</v>
      </c>
      <c r="W862" s="316">
        <v>1.77</v>
      </c>
      <c r="X862" s="316">
        <f t="shared" si="80"/>
        <v>1.77</v>
      </c>
      <c r="Y862" s="322">
        <f>X862/X861</f>
        <v>0.33333333333333331</v>
      </c>
      <c r="Z862" s="572"/>
      <c r="AA862" s="567"/>
    </row>
    <row r="863" spans="1:27" s="311" customFormat="1" ht="15" customHeight="1" outlineLevel="1">
      <c r="A863" s="273">
        <v>859</v>
      </c>
      <c r="B863" s="273" t="s">
        <v>0</v>
      </c>
      <c r="C863" s="305" t="s">
        <v>1124</v>
      </c>
      <c r="D863" s="306" t="s">
        <v>1125</v>
      </c>
      <c r="E863" s="307" t="s">
        <v>1124</v>
      </c>
      <c r="F863" s="553" t="str">
        <f t="shared" si="79"/>
        <v>PREVEsponja de limpeza</v>
      </c>
      <c r="G863" s="611" t="s">
        <v>74</v>
      </c>
      <c r="H863" s="307" t="s">
        <v>228</v>
      </c>
      <c r="I863" s="321">
        <v>1.6640000000000001</v>
      </c>
      <c r="J863" s="321">
        <v>2.08</v>
      </c>
      <c r="K863" s="321">
        <v>2.08</v>
      </c>
      <c r="L863" s="321">
        <v>2.08</v>
      </c>
      <c r="M863" s="321">
        <v>2.08</v>
      </c>
      <c r="N863" s="321">
        <v>2.08</v>
      </c>
      <c r="O863" s="321">
        <v>2.08</v>
      </c>
      <c r="P863" s="321">
        <v>2.08</v>
      </c>
      <c r="Q863" s="321">
        <v>2.09</v>
      </c>
      <c r="R863" s="321">
        <v>2.09</v>
      </c>
      <c r="S863" s="321">
        <v>2.09</v>
      </c>
      <c r="T863" s="321">
        <v>2.09</v>
      </c>
      <c r="U863" s="321">
        <v>0.41799999999999998</v>
      </c>
      <c r="V863" s="308">
        <v>25</v>
      </c>
      <c r="W863" s="308">
        <v>0.49</v>
      </c>
      <c r="X863" s="308">
        <f t="shared" si="80"/>
        <v>12.25</v>
      </c>
      <c r="Y863" s="322" t="s">
        <v>74</v>
      </c>
      <c r="Z863" s="575"/>
      <c r="AA863" s="567"/>
    </row>
    <row r="864" spans="1:27" s="318" customFormat="1" ht="15" customHeight="1" outlineLevel="1">
      <c r="A864" s="282">
        <v>860</v>
      </c>
      <c r="B864" s="282" t="s">
        <v>1</v>
      </c>
      <c r="C864" s="312" t="s">
        <v>1124</v>
      </c>
      <c r="D864" s="313" t="s">
        <v>1125</v>
      </c>
      <c r="E864" s="314">
        <v>44996</v>
      </c>
      <c r="F864" s="553" t="str">
        <f t="shared" si="79"/>
        <v>REALEsponja de limpeza</v>
      </c>
      <c r="G864" s="609">
        <f>Y864</f>
        <v>0.33333333333333337</v>
      </c>
      <c r="H864" s="315" t="s">
        <v>228</v>
      </c>
      <c r="I864" s="323">
        <v>2.0833333333333335</v>
      </c>
      <c r="J864" s="323">
        <v>2.0833333333333335</v>
      </c>
      <c r="K864" s="323">
        <v>2.0833333333333335</v>
      </c>
      <c r="L864" s="323">
        <v>2.0833333333333335</v>
      </c>
      <c r="M864" s="323"/>
      <c r="N864" s="323"/>
      <c r="O864" s="323"/>
      <c r="P864" s="323"/>
      <c r="Q864" s="323"/>
      <c r="R864" s="323"/>
      <c r="S864" s="323"/>
      <c r="T864" s="323"/>
      <c r="U864" s="323"/>
      <c r="V864" s="316">
        <f>SUM(I864:U864)</f>
        <v>8.3333333333333339</v>
      </c>
      <c r="W864" s="316">
        <v>0.49</v>
      </c>
      <c r="X864" s="316">
        <f t="shared" si="80"/>
        <v>4.0833333333333339</v>
      </c>
      <c r="Y864" s="322">
        <f>X864/X863</f>
        <v>0.33333333333333337</v>
      </c>
      <c r="Z864" s="572"/>
      <c r="AA864" s="567"/>
    </row>
    <row r="865" spans="1:27" s="311" customFormat="1" ht="15" customHeight="1" outlineLevel="1">
      <c r="A865" s="273">
        <v>861</v>
      </c>
      <c r="B865" s="273" t="s">
        <v>0</v>
      </c>
      <c r="C865" s="305" t="s">
        <v>1126</v>
      </c>
      <c r="D865" s="306" t="s">
        <v>1127</v>
      </c>
      <c r="E865" s="307" t="s">
        <v>1126</v>
      </c>
      <c r="F865" s="553" t="str">
        <f t="shared" si="79"/>
        <v>PREVEsquadro 90º x 30cm (12")</v>
      </c>
      <c r="G865" s="611" t="s">
        <v>74</v>
      </c>
      <c r="H865" s="307" t="s">
        <v>228</v>
      </c>
      <c r="I865" s="321">
        <v>6.4000000000000001E-2</v>
      </c>
      <c r="J865" s="321">
        <v>0.08</v>
      </c>
      <c r="K865" s="321">
        <v>0.08</v>
      </c>
      <c r="L865" s="321">
        <v>0.08</v>
      </c>
      <c r="M865" s="321">
        <v>0.08</v>
      </c>
      <c r="N865" s="321">
        <v>0.08</v>
      </c>
      <c r="O865" s="321">
        <v>0.08</v>
      </c>
      <c r="P865" s="321">
        <v>0.08</v>
      </c>
      <c r="Q865" s="321">
        <v>0.09</v>
      </c>
      <c r="R865" s="321">
        <v>0.09</v>
      </c>
      <c r="S865" s="321">
        <v>0.09</v>
      </c>
      <c r="T865" s="321">
        <v>0.09</v>
      </c>
      <c r="U865" s="321">
        <v>1.7999999999999999E-2</v>
      </c>
      <c r="V865" s="465">
        <v>1</v>
      </c>
      <c r="W865" s="308">
        <v>6.3</v>
      </c>
      <c r="X865" s="308">
        <f t="shared" si="80"/>
        <v>6.3</v>
      </c>
      <c r="Y865" s="322" t="s">
        <v>74</v>
      </c>
      <c r="Z865" s="575"/>
      <c r="AA865" s="567"/>
    </row>
    <row r="866" spans="1:27" s="318" customFormat="1" ht="15" customHeight="1" outlineLevel="1">
      <c r="A866" s="282">
        <v>862</v>
      </c>
      <c r="B866" s="282" t="s">
        <v>1</v>
      </c>
      <c r="C866" s="312" t="s">
        <v>1126</v>
      </c>
      <c r="D866" s="313" t="s">
        <v>1127</v>
      </c>
      <c r="E866" s="314">
        <v>45362</v>
      </c>
      <c r="F866" s="553" t="str">
        <f t="shared" si="79"/>
        <v>REALEsquadro 90º x 30cm (12")</v>
      </c>
      <c r="G866" s="609">
        <f>Y866</f>
        <v>0.33333333333333326</v>
      </c>
      <c r="H866" s="315" t="s">
        <v>228</v>
      </c>
      <c r="I866" s="323">
        <v>8.3333333333333329E-2</v>
      </c>
      <c r="J866" s="323">
        <v>8.3333333333333329E-2</v>
      </c>
      <c r="K866" s="323">
        <v>8.3333333333333329E-2</v>
      </c>
      <c r="L866" s="323">
        <v>8.3333333333333329E-2</v>
      </c>
      <c r="M866" s="323"/>
      <c r="N866" s="323"/>
      <c r="O866" s="323"/>
      <c r="P866" s="323"/>
      <c r="Q866" s="323"/>
      <c r="R866" s="323"/>
      <c r="S866" s="323"/>
      <c r="T866" s="323"/>
      <c r="U866" s="323"/>
      <c r="V866" s="316">
        <f t="shared" ref="V866:V894" si="81">SUM(I866:U866)</f>
        <v>0.33333333333333331</v>
      </c>
      <c r="W866" s="316">
        <v>6.3</v>
      </c>
      <c r="X866" s="316">
        <f t="shared" si="80"/>
        <v>2.0999999999999996</v>
      </c>
      <c r="Y866" s="322">
        <f>X866/X865</f>
        <v>0.33333333333333326</v>
      </c>
      <c r="Z866" s="572"/>
      <c r="AA866" s="567"/>
    </row>
    <row r="867" spans="1:27" s="311" customFormat="1" ht="15" customHeight="1" outlineLevel="1">
      <c r="A867" s="273">
        <v>863</v>
      </c>
      <c r="B867" s="273" t="s">
        <v>0</v>
      </c>
      <c r="C867" s="305" t="s">
        <v>1128</v>
      </c>
      <c r="D867" s="306" t="s">
        <v>1129</v>
      </c>
      <c r="E867" s="307" t="s">
        <v>1128</v>
      </c>
      <c r="F867" s="553" t="str">
        <f t="shared" si="79"/>
        <v>PREVEstrovenga</v>
      </c>
      <c r="G867" s="611" t="s">
        <v>74</v>
      </c>
      <c r="H867" s="307" t="s">
        <v>228</v>
      </c>
      <c r="I867" s="321">
        <v>1.536</v>
      </c>
      <c r="J867" s="321">
        <v>1.92</v>
      </c>
      <c r="K867" s="321">
        <v>1.92</v>
      </c>
      <c r="L867" s="321">
        <v>1.92</v>
      </c>
      <c r="M867" s="321">
        <v>1.92</v>
      </c>
      <c r="N867" s="321">
        <v>1.92</v>
      </c>
      <c r="O867" s="321">
        <v>1.92</v>
      </c>
      <c r="P867" s="321">
        <v>1.92</v>
      </c>
      <c r="Q867" s="321">
        <v>1.91</v>
      </c>
      <c r="R867" s="321">
        <v>1.91</v>
      </c>
      <c r="S867" s="321">
        <v>1.91</v>
      </c>
      <c r="T867" s="321">
        <v>1.91</v>
      </c>
      <c r="U867" s="321">
        <v>0.38200000000000001</v>
      </c>
      <c r="V867" s="308">
        <f t="shared" si="81"/>
        <v>22.998000000000001</v>
      </c>
      <c r="W867" s="308">
        <v>13.79</v>
      </c>
      <c r="X867" s="308">
        <f t="shared" si="80"/>
        <v>317.14242000000002</v>
      </c>
      <c r="Y867" s="322" t="s">
        <v>74</v>
      </c>
      <c r="Z867" s="575"/>
      <c r="AA867" s="567"/>
    </row>
    <row r="868" spans="1:27" s="318" customFormat="1" ht="15" customHeight="1" outlineLevel="1">
      <c r="A868" s="282">
        <v>864</v>
      </c>
      <c r="B868" s="282" t="s">
        <v>1</v>
      </c>
      <c r="C868" s="312" t="s">
        <v>1128</v>
      </c>
      <c r="D868" s="313" t="s">
        <v>1129</v>
      </c>
      <c r="E868" s="314" t="s">
        <v>1128</v>
      </c>
      <c r="F868" s="553" t="str">
        <f t="shared" si="79"/>
        <v>REALEstrovenga</v>
      </c>
      <c r="G868" s="609">
        <f>Y868</f>
        <v>0.33336232136127775</v>
      </c>
      <c r="H868" s="315" t="s">
        <v>228</v>
      </c>
      <c r="I868" s="323">
        <v>1.9166666666666667</v>
      </c>
      <c r="J868" s="323">
        <v>1.9166666666666667</v>
      </c>
      <c r="K868" s="323">
        <v>1.9166666666666667</v>
      </c>
      <c r="L868" s="323">
        <v>1.9166666666666667</v>
      </c>
      <c r="M868" s="323"/>
      <c r="N868" s="323"/>
      <c r="O868" s="323"/>
      <c r="P868" s="323"/>
      <c r="Q868" s="323"/>
      <c r="R868" s="323"/>
      <c r="S868" s="323"/>
      <c r="T868" s="323"/>
      <c r="U868" s="323"/>
      <c r="V868" s="316">
        <f t="shared" si="81"/>
        <v>7.666666666666667</v>
      </c>
      <c r="W868" s="316">
        <v>13.79</v>
      </c>
      <c r="X868" s="316">
        <f t="shared" si="80"/>
        <v>105.72333333333333</v>
      </c>
      <c r="Y868" s="322">
        <f>X868/X867</f>
        <v>0.33336232136127775</v>
      </c>
      <c r="Z868" s="572"/>
      <c r="AA868" s="567"/>
    </row>
    <row r="869" spans="1:27" s="311" customFormat="1" ht="15" customHeight="1" outlineLevel="1">
      <c r="A869" s="273">
        <v>865</v>
      </c>
      <c r="B869" s="273" t="s">
        <v>0</v>
      </c>
      <c r="C869" s="305" t="s">
        <v>1130</v>
      </c>
      <c r="D869" s="306" t="s">
        <v>574</v>
      </c>
      <c r="E869" s="307" t="s">
        <v>1130</v>
      </c>
      <c r="F869" s="553" t="str">
        <f t="shared" si="79"/>
        <v>PREVFacão para mato, 18 pol</v>
      </c>
      <c r="G869" s="611" t="s">
        <v>74</v>
      </c>
      <c r="H869" s="307" t="s">
        <v>228</v>
      </c>
      <c r="I869" s="321">
        <v>1.536</v>
      </c>
      <c r="J869" s="321">
        <v>1.92</v>
      </c>
      <c r="K869" s="321">
        <v>1.92</v>
      </c>
      <c r="L869" s="321">
        <v>1.92</v>
      </c>
      <c r="M869" s="321">
        <v>1.92</v>
      </c>
      <c r="N869" s="321">
        <v>1.92</v>
      </c>
      <c r="O869" s="321">
        <v>1.92</v>
      </c>
      <c r="P869" s="321">
        <v>1.92</v>
      </c>
      <c r="Q869" s="321">
        <v>1.91</v>
      </c>
      <c r="R869" s="321">
        <v>1.91</v>
      </c>
      <c r="S869" s="321">
        <v>1.91</v>
      </c>
      <c r="T869" s="321">
        <v>1.91</v>
      </c>
      <c r="U869" s="321">
        <v>0.38200000000000001</v>
      </c>
      <c r="V869" s="308">
        <f t="shared" si="81"/>
        <v>22.998000000000001</v>
      </c>
      <c r="W869" s="308">
        <v>3.92</v>
      </c>
      <c r="X869" s="308">
        <f t="shared" si="80"/>
        <v>90.152160000000009</v>
      </c>
      <c r="Y869" s="322" t="s">
        <v>74</v>
      </c>
      <c r="Z869" s="575"/>
      <c r="AA869" s="567"/>
    </row>
    <row r="870" spans="1:27" s="318" customFormat="1" ht="15" customHeight="1" outlineLevel="1">
      <c r="A870" s="282">
        <v>866</v>
      </c>
      <c r="B870" s="282" t="s">
        <v>1</v>
      </c>
      <c r="C870" s="312" t="s">
        <v>1130</v>
      </c>
      <c r="D870" s="313" t="s">
        <v>574</v>
      </c>
      <c r="E870" s="314" t="s">
        <v>1130</v>
      </c>
      <c r="F870" s="553" t="str">
        <f t="shared" si="79"/>
        <v>REALFacão para mato, 18 pol</v>
      </c>
      <c r="G870" s="609">
        <f>Y870</f>
        <v>0.27538626547235989</v>
      </c>
      <c r="H870" s="315" t="s">
        <v>228</v>
      </c>
      <c r="I870" s="323">
        <v>1.25</v>
      </c>
      <c r="J870" s="323">
        <v>1.25</v>
      </c>
      <c r="K870" s="323">
        <v>1.9166666666666667</v>
      </c>
      <c r="L870" s="323">
        <v>1.9166666666666667</v>
      </c>
      <c r="M870" s="323"/>
      <c r="N870" s="323"/>
      <c r="O870" s="323"/>
      <c r="P870" s="323"/>
      <c r="Q870" s="323"/>
      <c r="R870" s="323"/>
      <c r="S870" s="323"/>
      <c r="T870" s="323"/>
      <c r="U870" s="323"/>
      <c r="V870" s="316">
        <f t="shared" si="81"/>
        <v>6.3333333333333339</v>
      </c>
      <c r="W870" s="316">
        <v>3.92</v>
      </c>
      <c r="X870" s="316">
        <f t="shared" si="80"/>
        <v>24.826666666666668</v>
      </c>
      <c r="Y870" s="322">
        <f>X870/X869</f>
        <v>0.27538626547235989</v>
      </c>
      <c r="Z870" s="572"/>
      <c r="AA870" s="567"/>
    </row>
    <row r="871" spans="1:27" s="311" customFormat="1" ht="15" customHeight="1" outlineLevel="1">
      <c r="A871" s="273">
        <v>867</v>
      </c>
      <c r="B871" s="273" t="s">
        <v>0</v>
      </c>
      <c r="C871" s="305" t="s">
        <v>1131</v>
      </c>
      <c r="D871" s="306" t="s">
        <v>1132</v>
      </c>
      <c r="E871" s="307" t="s">
        <v>1131</v>
      </c>
      <c r="F871" s="553" t="str">
        <f t="shared" si="79"/>
        <v>PREVFoice 33mm</v>
      </c>
      <c r="G871" s="611" t="s">
        <v>74</v>
      </c>
      <c r="H871" s="307" t="s">
        <v>228</v>
      </c>
      <c r="I871" s="321">
        <v>1.536</v>
      </c>
      <c r="J871" s="321">
        <v>1.92</v>
      </c>
      <c r="K871" s="321">
        <v>1.92</v>
      </c>
      <c r="L871" s="321">
        <v>1.92</v>
      </c>
      <c r="M871" s="321">
        <v>1.92</v>
      </c>
      <c r="N871" s="321">
        <v>1.92</v>
      </c>
      <c r="O871" s="321">
        <v>1.92</v>
      </c>
      <c r="P871" s="321">
        <v>1.92</v>
      </c>
      <c r="Q871" s="321">
        <v>1.91</v>
      </c>
      <c r="R871" s="321">
        <v>1.91</v>
      </c>
      <c r="S871" s="321">
        <v>1.91</v>
      </c>
      <c r="T871" s="321">
        <v>1.91</v>
      </c>
      <c r="U871" s="321">
        <v>0.38200000000000001</v>
      </c>
      <c r="V871" s="308">
        <f t="shared" si="81"/>
        <v>22.998000000000001</v>
      </c>
      <c r="W871" s="308">
        <v>10.74</v>
      </c>
      <c r="X871" s="308">
        <f t="shared" si="80"/>
        <v>246.99852000000001</v>
      </c>
      <c r="Y871" s="322" t="s">
        <v>74</v>
      </c>
      <c r="Z871" s="575"/>
      <c r="AA871" s="567"/>
    </row>
    <row r="872" spans="1:27" s="318" customFormat="1" ht="15" customHeight="1" outlineLevel="1">
      <c r="A872" s="282">
        <v>868</v>
      </c>
      <c r="B872" s="282" t="s">
        <v>1</v>
      </c>
      <c r="C872" s="312" t="s">
        <v>1131</v>
      </c>
      <c r="D872" s="313" t="s">
        <v>1132</v>
      </c>
      <c r="E872" s="314" t="s">
        <v>1131</v>
      </c>
      <c r="F872" s="553" t="str">
        <f t="shared" si="79"/>
        <v>REALFoice 33mm</v>
      </c>
      <c r="G872" s="609">
        <f>Y872</f>
        <v>0.3333623213612778</v>
      </c>
      <c r="H872" s="315" t="s">
        <v>228</v>
      </c>
      <c r="I872" s="323">
        <v>1.9166666666666667</v>
      </c>
      <c r="J872" s="323">
        <v>1.9166666666666667</v>
      </c>
      <c r="K872" s="323">
        <v>1.9166666666666667</v>
      </c>
      <c r="L872" s="323">
        <v>1.9166666666666667</v>
      </c>
      <c r="M872" s="323"/>
      <c r="N872" s="323"/>
      <c r="O872" s="323"/>
      <c r="P872" s="323"/>
      <c r="Q872" s="323"/>
      <c r="R872" s="323"/>
      <c r="S872" s="323"/>
      <c r="T872" s="323"/>
      <c r="U872" s="323"/>
      <c r="V872" s="316">
        <f t="shared" si="81"/>
        <v>7.666666666666667</v>
      </c>
      <c r="W872" s="316">
        <v>10.74</v>
      </c>
      <c r="X872" s="316">
        <f t="shared" si="80"/>
        <v>82.34</v>
      </c>
      <c r="Y872" s="322">
        <f>X872/X871</f>
        <v>0.3333623213612778</v>
      </c>
      <c r="Z872" s="572"/>
      <c r="AA872" s="567"/>
    </row>
    <row r="873" spans="1:27" s="311" customFormat="1" ht="15" customHeight="1" outlineLevel="1">
      <c r="A873" s="273">
        <v>869</v>
      </c>
      <c r="B873" s="273" t="s">
        <v>0</v>
      </c>
      <c r="C873" s="305" t="s">
        <v>1133</v>
      </c>
      <c r="D873" s="306" t="s">
        <v>626</v>
      </c>
      <c r="E873" s="307" t="s">
        <v>1133</v>
      </c>
      <c r="F873" s="553" t="str">
        <f t="shared" si="79"/>
        <v>PREVFumigador para apicultura</v>
      </c>
      <c r="G873" s="611" t="s">
        <v>74</v>
      </c>
      <c r="H873" s="307" t="s">
        <v>228</v>
      </c>
      <c r="I873" s="321">
        <v>0.26400000000000001</v>
      </c>
      <c r="J873" s="321">
        <v>0.33</v>
      </c>
      <c r="K873" s="321">
        <v>0.33</v>
      </c>
      <c r="L873" s="321">
        <v>0.33</v>
      </c>
      <c r="M873" s="321">
        <v>0.33</v>
      </c>
      <c r="N873" s="321">
        <v>0.33</v>
      </c>
      <c r="O873" s="321">
        <v>0.33</v>
      </c>
      <c r="P873" s="321">
        <v>0.33</v>
      </c>
      <c r="Q873" s="321">
        <v>0.34</v>
      </c>
      <c r="R873" s="321">
        <v>0.34</v>
      </c>
      <c r="S873" s="321">
        <v>0.34</v>
      </c>
      <c r="T873" s="321">
        <v>0.34</v>
      </c>
      <c r="U873" s="321">
        <v>6.8000000000000005E-2</v>
      </c>
      <c r="V873" s="308">
        <f t="shared" si="81"/>
        <v>4.0019999999999998</v>
      </c>
      <c r="W873" s="308">
        <v>30</v>
      </c>
      <c r="X873" s="308">
        <f t="shared" si="80"/>
        <v>120.05999999999999</v>
      </c>
      <c r="Y873" s="322" t="s">
        <v>74</v>
      </c>
      <c r="Z873" s="575"/>
      <c r="AA873" s="567"/>
    </row>
    <row r="874" spans="1:27" s="318" customFormat="1" ht="15" customHeight="1" outlineLevel="1">
      <c r="A874" s="282">
        <v>870</v>
      </c>
      <c r="B874" s="282" t="s">
        <v>1</v>
      </c>
      <c r="C874" s="312" t="s">
        <v>1133</v>
      </c>
      <c r="D874" s="313" t="s">
        <v>626</v>
      </c>
      <c r="E874" s="314" t="s">
        <v>1133</v>
      </c>
      <c r="F874" s="553" t="str">
        <f t="shared" si="79"/>
        <v>REALFumigador para apicultura</v>
      </c>
      <c r="G874" s="609">
        <f>Y874</f>
        <v>0.33316674995835421</v>
      </c>
      <c r="H874" s="315" t="s">
        <v>228</v>
      </c>
      <c r="I874" s="323">
        <v>0.33333333333333331</v>
      </c>
      <c r="J874" s="323">
        <v>0.33333333333333331</v>
      </c>
      <c r="K874" s="323">
        <v>0.33333333333333331</v>
      </c>
      <c r="L874" s="323">
        <v>0.33333333333333331</v>
      </c>
      <c r="M874" s="323"/>
      <c r="N874" s="323"/>
      <c r="O874" s="323"/>
      <c r="P874" s="323"/>
      <c r="Q874" s="323"/>
      <c r="R874" s="323"/>
      <c r="S874" s="323"/>
      <c r="T874" s="323"/>
      <c r="U874" s="323"/>
      <c r="V874" s="316">
        <f t="shared" si="81"/>
        <v>1.3333333333333333</v>
      </c>
      <c r="W874" s="316">
        <v>30</v>
      </c>
      <c r="X874" s="316">
        <f t="shared" si="80"/>
        <v>40</v>
      </c>
      <c r="Y874" s="322">
        <f>X874/X873</f>
        <v>0.33316674995835421</v>
      </c>
      <c r="Z874" s="572"/>
      <c r="AA874" s="567"/>
    </row>
    <row r="875" spans="1:27" s="311" customFormat="1" ht="15" customHeight="1" outlineLevel="1">
      <c r="A875" s="273">
        <v>871</v>
      </c>
      <c r="B875" s="273" t="s">
        <v>0</v>
      </c>
      <c r="C875" s="305" t="s">
        <v>1134</v>
      </c>
      <c r="D875" s="306" t="s">
        <v>1135</v>
      </c>
      <c r="E875" s="307" t="s">
        <v>1134</v>
      </c>
      <c r="F875" s="553" t="str">
        <f t="shared" si="79"/>
        <v>PREVLanterna grande ‐ 10 Million</v>
      </c>
      <c r="G875" s="611" t="s">
        <v>74</v>
      </c>
      <c r="H875" s="307" t="s">
        <v>228</v>
      </c>
      <c r="I875" s="321">
        <v>0.2</v>
      </c>
      <c r="J875" s="321">
        <v>0.25</v>
      </c>
      <c r="K875" s="321">
        <v>0.25</v>
      </c>
      <c r="L875" s="321">
        <v>0.25</v>
      </c>
      <c r="M875" s="321">
        <v>0.25</v>
      </c>
      <c r="N875" s="321">
        <v>0.25</v>
      </c>
      <c r="O875" s="321">
        <v>0.25</v>
      </c>
      <c r="P875" s="321">
        <v>0.25</v>
      </c>
      <c r="Q875" s="321">
        <v>0.25</v>
      </c>
      <c r="R875" s="321">
        <v>0.25</v>
      </c>
      <c r="S875" s="321">
        <v>0.25</v>
      </c>
      <c r="T875" s="321">
        <v>0.25</v>
      </c>
      <c r="U875" s="321">
        <v>0.05</v>
      </c>
      <c r="V875" s="308">
        <f t="shared" si="81"/>
        <v>3</v>
      </c>
      <c r="W875" s="308">
        <v>45.56</v>
      </c>
      <c r="X875" s="308">
        <f t="shared" si="80"/>
        <v>136.68</v>
      </c>
      <c r="Y875" s="322" t="s">
        <v>74</v>
      </c>
      <c r="Z875" s="575"/>
      <c r="AA875" s="567"/>
    </row>
    <row r="876" spans="1:27" s="318" customFormat="1" ht="15" customHeight="1" outlineLevel="1">
      <c r="A876" s="282">
        <v>872</v>
      </c>
      <c r="B876" s="282" t="s">
        <v>1</v>
      </c>
      <c r="C876" s="312" t="s">
        <v>1134</v>
      </c>
      <c r="D876" s="313" t="s">
        <v>1135</v>
      </c>
      <c r="E876" s="314">
        <v>47188</v>
      </c>
      <c r="F876" s="553" t="str">
        <f t="shared" si="79"/>
        <v>REALLanterna grande ‐ 10 Million</v>
      </c>
      <c r="G876" s="609">
        <f>Y876</f>
        <v>0.33333333333333331</v>
      </c>
      <c r="H876" s="315" t="s">
        <v>228</v>
      </c>
      <c r="I876" s="323">
        <v>0.25</v>
      </c>
      <c r="J876" s="323">
        <v>0.25</v>
      </c>
      <c r="K876" s="323">
        <v>0.25</v>
      </c>
      <c r="L876" s="323">
        <v>0.25</v>
      </c>
      <c r="M876" s="323"/>
      <c r="N876" s="323"/>
      <c r="O876" s="323"/>
      <c r="P876" s="323"/>
      <c r="Q876" s="323"/>
      <c r="R876" s="323"/>
      <c r="S876" s="323"/>
      <c r="T876" s="323"/>
      <c r="U876" s="323"/>
      <c r="V876" s="316">
        <f t="shared" si="81"/>
        <v>1</v>
      </c>
      <c r="W876" s="316">
        <v>45.56</v>
      </c>
      <c r="X876" s="316">
        <f t="shared" si="80"/>
        <v>45.56</v>
      </c>
      <c r="Y876" s="322">
        <f>X876/X875</f>
        <v>0.33333333333333331</v>
      </c>
      <c r="Z876" s="572"/>
      <c r="AA876" s="567"/>
    </row>
    <row r="877" spans="1:27" s="311" customFormat="1" ht="15" customHeight="1" outlineLevel="1">
      <c r="A877" s="273">
        <v>873</v>
      </c>
      <c r="B877" s="273" t="s">
        <v>0</v>
      </c>
      <c r="C877" s="305" t="s">
        <v>1136</v>
      </c>
      <c r="D877" s="306" t="s">
        <v>1137</v>
      </c>
      <c r="E877" s="307" t="s">
        <v>1136</v>
      </c>
      <c r="F877" s="553" t="str">
        <f t="shared" si="79"/>
        <v>PREVMachado</v>
      </c>
      <c r="G877" s="611" t="s">
        <v>74</v>
      </c>
      <c r="H877" s="307" t="s">
        <v>228</v>
      </c>
      <c r="I877" s="321">
        <v>0.66400000000000003</v>
      </c>
      <c r="J877" s="321">
        <v>0.83</v>
      </c>
      <c r="K877" s="321">
        <v>0.83</v>
      </c>
      <c r="L877" s="321">
        <v>0.83</v>
      </c>
      <c r="M877" s="321">
        <v>0.83</v>
      </c>
      <c r="N877" s="321">
        <v>0.83</v>
      </c>
      <c r="O877" s="321">
        <v>0.83</v>
      </c>
      <c r="P877" s="321">
        <v>0.83</v>
      </c>
      <c r="Q877" s="321">
        <v>0.84</v>
      </c>
      <c r="R877" s="321">
        <v>0.84</v>
      </c>
      <c r="S877" s="321">
        <v>0.84</v>
      </c>
      <c r="T877" s="321">
        <v>0.84</v>
      </c>
      <c r="U877" s="321">
        <v>0.16800000000000001</v>
      </c>
      <c r="V877" s="308">
        <f t="shared" si="81"/>
        <v>10.001999999999999</v>
      </c>
      <c r="W877" s="308">
        <v>14.61</v>
      </c>
      <c r="X877" s="308">
        <f t="shared" si="80"/>
        <v>146.12921999999998</v>
      </c>
      <c r="Y877" s="322" t="s">
        <v>74</v>
      </c>
      <c r="Z877" s="575"/>
      <c r="AA877" s="567"/>
    </row>
    <row r="878" spans="1:27" s="318" customFormat="1" ht="15" customHeight="1" outlineLevel="1">
      <c r="A878" s="282">
        <v>874</v>
      </c>
      <c r="B878" s="282" t="s">
        <v>1</v>
      </c>
      <c r="C878" s="312" t="s">
        <v>1136</v>
      </c>
      <c r="D878" s="313" t="s">
        <v>1137</v>
      </c>
      <c r="E878" s="314">
        <v>47553</v>
      </c>
      <c r="F878" s="553" t="str">
        <f t="shared" si="79"/>
        <v>REALMachado</v>
      </c>
      <c r="G878" s="609">
        <f>Y878</f>
        <v>0.33326667999733395</v>
      </c>
      <c r="H878" s="315" t="s">
        <v>228</v>
      </c>
      <c r="I878" s="323">
        <v>0.83333333333333337</v>
      </c>
      <c r="J878" s="323">
        <v>0.83333333333333337</v>
      </c>
      <c r="K878" s="323">
        <v>0.83333333333333337</v>
      </c>
      <c r="L878" s="323">
        <v>0.83333333333333337</v>
      </c>
      <c r="M878" s="323"/>
      <c r="N878" s="323"/>
      <c r="O878" s="323"/>
      <c r="P878" s="323"/>
      <c r="Q878" s="323"/>
      <c r="R878" s="323"/>
      <c r="S878" s="323"/>
      <c r="T878" s="323"/>
      <c r="U878" s="323"/>
      <c r="V878" s="316">
        <f t="shared" si="81"/>
        <v>3.3333333333333335</v>
      </c>
      <c r="W878" s="316">
        <v>14.61</v>
      </c>
      <c r="X878" s="316">
        <f t="shared" si="80"/>
        <v>48.7</v>
      </c>
      <c r="Y878" s="322">
        <f>X878/X877</f>
        <v>0.33326667999733395</v>
      </c>
      <c r="Z878" s="572"/>
      <c r="AA878" s="567"/>
    </row>
    <row r="879" spans="1:27" s="311" customFormat="1" ht="15" customHeight="1" outlineLevel="1">
      <c r="A879" s="273">
        <v>875</v>
      </c>
      <c r="B879" s="273" t="s">
        <v>0</v>
      </c>
      <c r="C879" s="305" t="s">
        <v>1138</v>
      </c>
      <c r="D879" s="306" t="s">
        <v>1139</v>
      </c>
      <c r="E879" s="307" t="s">
        <v>1138</v>
      </c>
      <c r="F879" s="553" t="str">
        <f t="shared" si="79"/>
        <v>PREVMangueira de ¾ (17 unidades com 50 metros cada)</v>
      </c>
      <c r="G879" s="611" t="s">
        <v>74</v>
      </c>
      <c r="H879" s="307" t="s">
        <v>733</v>
      </c>
      <c r="I879" s="321">
        <v>11.336</v>
      </c>
      <c r="J879" s="321">
        <v>14.17</v>
      </c>
      <c r="K879" s="321">
        <v>14.17</v>
      </c>
      <c r="L879" s="321">
        <v>14.17</v>
      </c>
      <c r="M879" s="321">
        <v>14.17</v>
      </c>
      <c r="N879" s="321">
        <v>14.17</v>
      </c>
      <c r="O879" s="321">
        <v>14.17</v>
      </c>
      <c r="P879" s="321">
        <v>14.17</v>
      </c>
      <c r="Q879" s="321">
        <v>14.16</v>
      </c>
      <c r="R879" s="321">
        <v>14.16</v>
      </c>
      <c r="S879" s="321">
        <v>14.16</v>
      </c>
      <c r="T879" s="321">
        <v>14.16</v>
      </c>
      <c r="U879" s="321">
        <v>2.8320000000000003</v>
      </c>
      <c r="V879" s="308">
        <f t="shared" si="81"/>
        <v>169.99799999999999</v>
      </c>
      <c r="W879" s="308">
        <v>1.76</v>
      </c>
      <c r="X879" s="308">
        <f t="shared" si="80"/>
        <v>299.19648000000001</v>
      </c>
      <c r="Y879" s="322" t="s">
        <v>74</v>
      </c>
      <c r="Z879" s="575"/>
      <c r="AA879" s="567"/>
    </row>
    <row r="880" spans="1:27" s="318" customFormat="1" ht="15" customHeight="1" outlineLevel="1">
      <c r="A880" s="282">
        <v>876</v>
      </c>
      <c r="B880" s="282" t="s">
        <v>1</v>
      </c>
      <c r="C880" s="312" t="s">
        <v>1138</v>
      </c>
      <c r="D880" s="313" t="s">
        <v>1139</v>
      </c>
      <c r="E880" s="314">
        <v>47918</v>
      </c>
      <c r="F880" s="553" t="str">
        <f t="shared" si="79"/>
        <v>REALMangueira de ¾ (17 unidades com 50 metros cada)</v>
      </c>
      <c r="G880" s="609">
        <f>Y880</f>
        <v>0.35294532876857371</v>
      </c>
      <c r="H880" s="315" t="s">
        <v>733</v>
      </c>
      <c r="I880" s="323">
        <v>15</v>
      </c>
      <c r="J880" s="323">
        <v>15</v>
      </c>
      <c r="K880" s="323">
        <v>16</v>
      </c>
      <c r="L880" s="323">
        <v>14</v>
      </c>
      <c r="M880" s="323"/>
      <c r="N880" s="323"/>
      <c r="O880" s="323"/>
      <c r="P880" s="323"/>
      <c r="Q880" s="323"/>
      <c r="R880" s="323"/>
      <c r="S880" s="323"/>
      <c r="T880" s="323"/>
      <c r="U880" s="323"/>
      <c r="V880" s="316">
        <f t="shared" si="81"/>
        <v>60</v>
      </c>
      <c r="W880" s="316">
        <v>1.76</v>
      </c>
      <c r="X880" s="316">
        <f t="shared" si="80"/>
        <v>105.6</v>
      </c>
      <c r="Y880" s="322">
        <f>X880/X879</f>
        <v>0.35294532876857371</v>
      </c>
      <c r="Z880" s="572"/>
      <c r="AA880" s="567"/>
    </row>
    <row r="881" spans="1:27" s="311" customFormat="1" ht="15" customHeight="1" outlineLevel="1">
      <c r="A881" s="273">
        <v>877</v>
      </c>
      <c r="B881" s="273" t="s">
        <v>0</v>
      </c>
      <c r="C881" s="305" t="s">
        <v>1140</v>
      </c>
      <c r="D881" s="306" t="s">
        <v>1141</v>
      </c>
      <c r="E881" s="307" t="s">
        <v>1140</v>
      </c>
      <c r="F881" s="553" t="str">
        <f t="shared" si="79"/>
        <v>PREVMangueira de nível (21 unidades com 15 metros cada)</v>
      </c>
      <c r="G881" s="611" t="s">
        <v>74</v>
      </c>
      <c r="H881" s="307" t="s">
        <v>733</v>
      </c>
      <c r="I881" s="321">
        <v>4.2</v>
      </c>
      <c r="J881" s="321">
        <v>5.25</v>
      </c>
      <c r="K881" s="321">
        <v>5.25</v>
      </c>
      <c r="L881" s="321">
        <v>5.25</v>
      </c>
      <c r="M881" s="321">
        <v>5.25</v>
      </c>
      <c r="N881" s="321">
        <v>5.25</v>
      </c>
      <c r="O881" s="321">
        <v>5.25</v>
      </c>
      <c r="P881" s="321">
        <v>5.25</v>
      </c>
      <c r="Q881" s="321">
        <v>5.25</v>
      </c>
      <c r="R881" s="321">
        <v>5.25</v>
      </c>
      <c r="S881" s="321">
        <v>5.25</v>
      </c>
      <c r="T881" s="321">
        <v>5.25</v>
      </c>
      <c r="U881" s="321">
        <v>1.05</v>
      </c>
      <c r="V881" s="308">
        <f t="shared" si="81"/>
        <v>63</v>
      </c>
      <c r="W881" s="308">
        <v>0.84</v>
      </c>
      <c r="X881" s="308">
        <f t="shared" si="80"/>
        <v>52.919999999999995</v>
      </c>
      <c r="Y881" s="322" t="s">
        <v>74</v>
      </c>
      <c r="Z881" s="575"/>
      <c r="AA881" s="567"/>
    </row>
    <row r="882" spans="1:27" s="318" customFormat="1" ht="15" customHeight="1" outlineLevel="1">
      <c r="A882" s="282">
        <v>878</v>
      </c>
      <c r="B882" s="282" t="s">
        <v>1</v>
      </c>
      <c r="C882" s="312" t="s">
        <v>1140</v>
      </c>
      <c r="D882" s="313" t="s">
        <v>1141</v>
      </c>
      <c r="E882" s="314">
        <v>48284</v>
      </c>
      <c r="F882" s="553" t="str">
        <f t="shared" si="79"/>
        <v>REALMangueira de nível (21 unidades com 15 metros cada)</v>
      </c>
      <c r="G882" s="609">
        <f>Y882</f>
        <v>0.33333333333333337</v>
      </c>
      <c r="H882" s="315" t="s">
        <v>733</v>
      </c>
      <c r="I882" s="323">
        <v>5</v>
      </c>
      <c r="J882" s="323">
        <v>5</v>
      </c>
      <c r="K882" s="323">
        <v>6</v>
      </c>
      <c r="L882" s="323">
        <v>5</v>
      </c>
      <c r="M882" s="323"/>
      <c r="N882" s="323"/>
      <c r="O882" s="323"/>
      <c r="P882" s="323"/>
      <c r="Q882" s="323"/>
      <c r="R882" s="323"/>
      <c r="S882" s="323"/>
      <c r="T882" s="323"/>
      <c r="U882" s="323"/>
      <c r="V882" s="316">
        <f t="shared" si="81"/>
        <v>21</v>
      </c>
      <c r="W882" s="316">
        <v>0.84</v>
      </c>
      <c r="X882" s="316">
        <f t="shared" si="80"/>
        <v>17.64</v>
      </c>
      <c r="Y882" s="322">
        <f>X882/X881</f>
        <v>0.33333333333333337</v>
      </c>
      <c r="Z882" s="572"/>
      <c r="AA882" s="567"/>
    </row>
    <row r="883" spans="1:27" s="311" customFormat="1" ht="15" customHeight="1" outlineLevel="1">
      <c r="A883" s="273">
        <v>879</v>
      </c>
      <c r="B883" s="273" t="s">
        <v>0</v>
      </c>
      <c r="C883" s="305" t="s">
        <v>1142</v>
      </c>
      <c r="D883" s="306" t="s">
        <v>1143</v>
      </c>
      <c r="E883" s="307" t="s">
        <v>1142</v>
      </c>
      <c r="F883" s="553" t="str">
        <f t="shared" si="79"/>
        <v>PREVMarreta de 1/2 kg com cabo</v>
      </c>
      <c r="G883" s="611" t="s">
        <v>74</v>
      </c>
      <c r="H883" s="307" t="s">
        <v>228</v>
      </c>
      <c r="I883" s="321">
        <v>0.26400000000000001</v>
      </c>
      <c r="J883" s="321">
        <v>0.33</v>
      </c>
      <c r="K883" s="321">
        <v>0.33</v>
      </c>
      <c r="L883" s="321">
        <v>0.33</v>
      </c>
      <c r="M883" s="321">
        <v>0.33</v>
      </c>
      <c r="N883" s="321">
        <v>0.33</v>
      </c>
      <c r="O883" s="321">
        <v>0.33</v>
      </c>
      <c r="P883" s="321">
        <v>0.33</v>
      </c>
      <c r="Q883" s="321">
        <v>0.34</v>
      </c>
      <c r="R883" s="321">
        <v>0.34</v>
      </c>
      <c r="S883" s="321">
        <v>0.34</v>
      </c>
      <c r="T883" s="321">
        <v>0.34</v>
      </c>
      <c r="U883" s="321">
        <v>6.8000000000000005E-2</v>
      </c>
      <c r="V883" s="308">
        <f t="shared" si="81"/>
        <v>4.0019999999999998</v>
      </c>
      <c r="W883" s="308">
        <v>3.56</v>
      </c>
      <c r="X883" s="308">
        <f t="shared" si="80"/>
        <v>14.247119999999999</v>
      </c>
      <c r="Y883" s="322" t="s">
        <v>74</v>
      </c>
      <c r="Z883" s="575"/>
      <c r="AA883" s="567"/>
    </row>
    <row r="884" spans="1:27" s="318" customFormat="1" ht="15" customHeight="1" outlineLevel="1">
      <c r="A884" s="282">
        <v>880</v>
      </c>
      <c r="B884" s="282" t="s">
        <v>1</v>
      </c>
      <c r="C884" s="312" t="s">
        <v>1142</v>
      </c>
      <c r="D884" s="313" t="s">
        <v>1143</v>
      </c>
      <c r="E884" s="314" t="s">
        <v>1142</v>
      </c>
      <c r="F884" s="553" t="str">
        <f t="shared" si="79"/>
        <v>REALMarreta de 1/2 kg com cabo</v>
      </c>
      <c r="G884" s="609">
        <f>Y884</f>
        <v>0.33316674995835416</v>
      </c>
      <c r="H884" s="315" t="s">
        <v>228</v>
      </c>
      <c r="I884" s="323">
        <v>0.33333333333333331</v>
      </c>
      <c r="J884" s="323">
        <v>0.33333333333333331</v>
      </c>
      <c r="K884" s="323">
        <v>0.33333333333333331</v>
      </c>
      <c r="L884" s="323">
        <v>0.33333333333333331</v>
      </c>
      <c r="M884" s="323"/>
      <c r="N884" s="323"/>
      <c r="O884" s="323"/>
      <c r="P884" s="323"/>
      <c r="Q884" s="323"/>
      <c r="R884" s="323"/>
      <c r="S884" s="323"/>
      <c r="T884" s="323"/>
      <c r="U884" s="323"/>
      <c r="V884" s="316">
        <f t="shared" si="81"/>
        <v>1.3333333333333333</v>
      </c>
      <c r="W884" s="316">
        <v>3.56</v>
      </c>
      <c r="X884" s="316">
        <f t="shared" si="80"/>
        <v>4.7466666666666661</v>
      </c>
      <c r="Y884" s="322">
        <f>X884/X883</f>
        <v>0.33316674995835416</v>
      </c>
      <c r="Z884" s="572"/>
      <c r="AA884" s="567"/>
    </row>
    <row r="885" spans="1:27" s="311" customFormat="1" ht="15" customHeight="1" outlineLevel="1">
      <c r="A885" s="273">
        <v>881</v>
      </c>
      <c r="B885" s="273" t="s">
        <v>0</v>
      </c>
      <c r="C885" s="305" t="s">
        <v>1144</v>
      </c>
      <c r="D885" s="306" t="s">
        <v>1145</v>
      </c>
      <c r="E885" s="307" t="s">
        <v>1144</v>
      </c>
      <c r="F885" s="553" t="str">
        <f t="shared" ref="F885:F916" si="82">B885&amp;D885</f>
        <v>PREVMarreta de 2kg</v>
      </c>
      <c r="G885" s="611" t="s">
        <v>74</v>
      </c>
      <c r="H885" s="307" t="s">
        <v>228</v>
      </c>
      <c r="I885" s="321">
        <v>0.26400000000000001</v>
      </c>
      <c r="J885" s="321">
        <v>0.33</v>
      </c>
      <c r="K885" s="321">
        <v>0.33</v>
      </c>
      <c r="L885" s="321">
        <v>0.33</v>
      </c>
      <c r="M885" s="321">
        <v>0.33</v>
      </c>
      <c r="N885" s="321">
        <v>0.33</v>
      </c>
      <c r="O885" s="321">
        <v>0.33</v>
      </c>
      <c r="P885" s="321">
        <v>0.33</v>
      </c>
      <c r="Q885" s="321">
        <v>0.34</v>
      </c>
      <c r="R885" s="321">
        <v>0.34</v>
      </c>
      <c r="S885" s="321">
        <v>0.34</v>
      </c>
      <c r="T885" s="321">
        <v>0.34</v>
      </c>
      <c r="U885" s="321">
        <v>6.8000000000000005E-2</v>
      </c>
      <c r="V885" s="308">
        <f t="shared" si="81"/>
        <v>4.0019999999999998</v>
      </c>
      <c r="W885" s="308">
        <v>7.19</v>
      </c>
      <c r="X885" s="308">
        <f t="shared" ref="X885:X916" si="83">W885*V885</f>
        <v>28.774380000000001</v>
      </c>
      <c r="Y885" s="322" t="s">
        <v>74</v>
      </c>
      <c r="Z885" s="575"/>
      <c r="AA885" s="567"/>
    </row>
    <row r="886" spans="1:27" s="318" customFormat="1" ht="15" customHeight="1" outlineLevel="1">
      <c r="A886" s="282">
        <v>882</v>
      </c>
      <c r="B886" s="282" t="s">
        <v>1</v>
      </c>
      <c r="C886" s="312" t="s">
        <v>1144</v>
      </c>
      <c r="D886" s="313" t="s">
        <v>1145</v>
      </c>
      <c r="E886" s="314">
        <v>49014</v>
      </c>
      <c r="F886" s="553" t="str">
        <f t="shared" si="82"/>
        <v>REALMarreta de 2kg</v>
      </c>
      <c r="G886" s="609">
        <f>Y886</f>
        <v>0.3331667499583541</v>
      </c>
      <c r="H886" s="315" t="s">
        <v>228</v>
      </c>
      <c r="I886" s="323">
        <v>0.33333333333333331</v>
      </c>
      <c r="J886" s="323">
        <v>0.33333333333333331</v>
      </c>
      <c r="K886" s="323">
        <v>0.33333333333333331</v>
      </c>
      <c r="L886" s="323">
        <v>0.33333333333333331</v>
      </c>
      <c r="M886" s="323"/>
      <c r="N886" s="323"/>
      <c r="O886" s="323"/>
      <c r="P886" s="323"/>
      <c r="Q886" s="323"/>
      <c r="R886" s="323"/>
      <c r="S886" s="323"/>
      <c r="T886" s="323"/>
      <c r="U886" s="323"/>
      <c r="V886" s="316">
        <f t="shared" si="81"/>
        <v>1.3333333333333333</v>
      </c>
      <c r="W886" s="316">
        <v>7.19</v>
      </c>
      <c r="X886" s="316">
        <f t="shared" si="83"/>
        <v>9.586666666666666</v>
      </c>
      <c r="Y886" s="322">
        <f>X886/X885</f>
        <v>0.3331667499583541</v>
      </c>
      <c r="Z886" s="572"/>
      <c r="AA886" s="567"/>
    </row>
    <row r="887" spans="1:27" s="311" customFormat="1" ht="15" customHeight="1" outlineLevel="1">
      <c r="A887" s="273">
        <v>883</v>
      </c>
      <c r="B887" s="273" t="s">
        <v>0</v>
      </c>
      <c r="C887" s="305" t="s">
        <v>1146</v>
      </c>
      <c r="D887" s="306" t="s">
        <v>666</v>
      </c>
      <c r="E887" s="307" t="s">
        <v>1146</v>
      </c>
      <c r="F887" s="553" t="str">
        <f t="shared" si="82"/>
        <v>PREVMarreta de 5kg com cabo de madeira</v>
      </c>
      <c r="G887" s="611" t="s">
        <v>74</v>
      </c>
      <c r="H887" s="307" t="s">
        <v>228</v>
      </c>
      <c r="I887" s="321">
        <v>0.26400000000000001</v>
      </c>
      <c r="J887" s="321">
        <v>0.33</v>
      </c>
      <c r="K887" s="321">
        <v>0.33</v>
      </c>
      <c r="L887" s="321">
        <v>0.33</v>
      </c>
      <c r="M887" s="321">
        <v>0.33</v>
      </c>
      <c r="N887" s="321">
        <v>0.33</v>
      </c>
      <c r="O887" s="321">
        <v>0.33</v>
      </c>
      <c r="P887" s="321">
        <v>0.33</v>
      </c>
      <c r="Q887" s="321">
        <v>0.34</v>
      </c>
      <c r="R887" s="321">
        <v>0.34</v>
      </c>
      <c r="S887" s="321">
        <v>0.34</v>
      </c>
      <c r="T887" s="321">
        <v>0.34</v>
      </c>
      <c r="U887" s="321">
        <v>6.8000000000000005E-2</v>
      </c>
      <c r="V887" s="308">
        <f t="shared" si="81"/>
        <v>4.0019999999999998</v>
      </c>
      <c r="W887" s="308">
        <v>19.09</v>
      </c>
      <c r="X887" s="308">
        <f t="shared" si="83"/>
        <v>76.398179999999996</v>
      </c>
      <c r="Y887" s="322" t="s">
        <v>74</v>
      </c>
      <c r="Z887" s="575"/>
      <c r="AA887" s="567"/>
    </row>
    <row r="888" spans="1:27" s="318" customFormat="1" ht="15" customHeight="1" outlineLevel="1">
      <c r="A888" s="282">
        <v>884</v>
      </c>
      <c r="B888" s="282" t="s">
        <v>1</v>
      </c>
      <c r="C888" s="312" t="s">
        <v>1146</v>
      </c>
      <c r="D888" s="313" t="s">
        <v>666</v>
      </c>
      <c r="E888" s="314" t="s">
        <v>1146</v>
      </c>
      <c r="F888" s="553" t="str">
        <f t="shared" si="82"/>
        <v>REALMarreta de 5kg com cabo de madeira</v>
      </c>
      <c r="G888" s="609">
        <f>Y888</f>
        <v>0.33316674995835416</v>
      </c>
      <c r="H888" s="315" t="s">
        <v>228</v>
      </c>
      <c r="I888" s="323">
        <v>0.33333333333333331</v>
      </c>
      <c r="J888" s="323">
        <v>0.33333333333333331</v>
      </c>
      <c r="K888" s="323">
        <v>0.33333333333333331</v>
      </c>
      <c r="L888" s="323">
        <v>0.33333333333333331</v>
      </c>
      <c r="M888" s="323"/>
      <c r="N888" s="323"/>
      <c r="O888" s="323"/>
      <c r="P888" s="323"/>
      <c r="Q888" s="323"/>
      <c r="R888" s="323"/>
      <c r="S888" s="323"/>
      <c r="T888" s="323"/>
      <c r="U888" s="323"/>
      <c r="V888" s="316">
        <f t="shared" si="81"/>
        <v>1.3333333333333333</v>
      </c>
      <c r="W888" s="316">
        <v>19.09</v>
      </c>
      <c r="X888" s="316">
        <f t="shared" si="83"/>
        <v>25.453333333333333</v>
      </c>
      <c r="Y888" s="322">
        <f>X888/X887</f>
        <v>0.33316674995835416</v>
      </c>
      <c r="Z888" s="572"/>
      <c r="AA888" s="567"/>
    </row>
    <row r="889" spans="1:27" s="311" customFormat="1" ht="15" customHeight="1" outlineLevel="1">
      <c r="A889" s="273">
        <v>885</v>
      </c>
      <c r="B889" s="273" t="s">
        <v>0</v>
      </c>
      <c r="C889" s="305" t="s">
        <v>1147</v>
      </c>
      <c r="D889" s="306" t="s">
        <v>1148</v>
      </c>
      <c r="E889" s="307" t="s">
        <v>1147</v>
      </c>
      <c r="F889" s="553" t="str">
        <f t="shared" si="82"/>
        <v>PREVMartelo com unha</v>
      </c>
      <c r="G889" s="611" t="s">
        <v>74</v>
      </c>
      <c r="H889" s="307" t="s">
        <v>228</v>
      </c>
      <c r="I889" s="321">
        <v>0.26400000000000001</v>
      </c>
      <c r="J889" s="321">
        <v>0.33</v>
      </c>
      <c r="K889" s="321">
        <v>0.33</v>
      </c>
      <c r="L889" s="321">
        <v>0.33</v>
      </c>
      <c r="M889" s="321">
        <v>0.33</v>
      </c>
      <c r="N889" s="321">
        <v>0.33</v>
      </c>
      <c r="O889" s="321">
        <v>0.33</v>
      </c>
      <c r="P889" s="321">
        <v>0.33</v>
      </c>
      <c r="Q889" s="321">
        <v>0.34</v>
      </c>
      <c r="R889" s="321">
        <v>0.34</v>
      </c>
      <c r="S889" s="321">
        <v>0.34</v>
      </c>
      <c r="T889" s="321">
        <v>0.34</v>
      </c>
      <c r="U889" s="321">
        <v>6.8000000000000005E-2</v>
      </c>
      <c r="V889" s="308">
        <f t="shared" si="81"/>
        <v>4.0019999999999998</v>
      </c>
      <c r="W889" s="308">
        <v>10</v>
      </c>
      <c r="X889" s="308">
        <f t="shared" si="83"/>
        <v>40.019999999999996</v>
      </c>
      <c r="Y889" s="322" t="s">
        <v>74</v>
      </c>
      <c r="Z889" s="575"/>
      <c r="AA889" s="567"/>
    </row>
    <row r="890" spans="1:27" s="318" customFormat="1" ht="15" customHeight="1" outlineLevel="1">
      <c r="A890" s="282">
        <v>886</v>
      </c>
      <c r="B890" s="282" t="s">
        <v>1</v>
      </c>
      <c r="C890" s="312" t="s">
        <v>1147</v>
      </c>
      <c r="D890" s="313" t="s">
        <v>1148</v>
      </c>
      <c r="E890" s="314" t="s">
        <v>1147</v>
      </c>
      <c r="F890" s="553" t="str">
        <f t="shared" si="82"/>
        <v>REALMartelo com unha</v>
      </c>
      <c r="G890" s="609">
        <f>Y890</f>
        <v>0.33316674995835416</v>
      </c>
      <c r="H890" s="315" t="s">
        <v>228</v>
      </c>
      <c r="I890" s="323">
        <v>0.33333333333333331</v>
      </c>
      <c r="J890" s="323">
        <v>0.33333333333333331</v>
      </c>
      <c r="K890" s="323">
        <v>0.33333333333333331</v>
      </c>
      <c r="L890" s="323">
        <v>0.33333333333333331</v>
      </c>
      <c r="M890" s="323"/>
      <c r="N890" s="323"/>
      <c r="O890" s="323"/>
      <c r="P890" s="323"/>
      <c r="Q890" s="323"/>
      <c r="R890" s="323"/>
      <c r="S890" s="323"/>
      <c r="T890" s="323"/>
      <c r="U890" s="323"/>
      <c r="V890" s="316">
        <f t="shared" si="81"/>
        <v>1.3333333333333333</v>
      </c>
      <c r="W890" s="316">
        <v>10</v>
      </c>
      <c r="X890" s="316">
        <f t="shared" si="83"/>
        <v>13.333333333333332</v>
      </c>
      <c r="Y890" s="322">
        <f>X890/X889</f>
        <v>0.33316674995835416</v>
      </c>
      <c r="Z890" s="572"/>
      <c r="AA890" s="567"/>
    </row>
    <row r="891" spans="1:27" s="311" customFormat="1" ht="15" customHeight="1" outlineLevel="1">
      <c r="A891" s="273">
        <v>887</v>
      </c>
      <c r="B891" s="273" t="s">
        <v>0</v>
      </c>
      <c r="C891" s="305" t="s">
        <v>1149</v>
      </c>
      <c r="D891" s="306" t="s">
        <v>1150</v>
      </c>
      <c r="E891" s="307" t="s">
        <v>1149</v>
      </c>
      <c r="F891" s="553" t="str">
        <f t="shared" si="82"/>
        <v>PREVMartelo de borracha 32 Cm</v>
      </c>
      <c r="G891" s="611" t="s">
        <v>74</v>
      </c>
      <c r="H891" s="307" t="s">
        <v>228</v>
      </c>
      <c r="I891" s="321">
        <v>0.26400000000000001</v>
      </c>
      <c r="J891" s="321">
        <v>0.33</v>
      </c>
      <c r="K891" s="321">
        <v>0.33</v>
      </c>
      <c r="L891" s="321">
        <v>0.33</v>
      </c>
      <c r="M891" s="321">
        <v>0.33</v>
      </c>
      <c r="N891" s="321">
        <v>0.33</v>
      </c>
      <c r="O891" s="321">
        <v>0.33</v>
      </c>
      <c r="P891" s="321">
        <v>0.33</v>
      </c>
      <c r="Q891" s="321">
        <v>0.34</v>
      </c>
      <c r="R891" s="321">
        <v>0.34</v>
      </c>
      <c r="S891" s="321">
        <v>0.34</v>
      </c>
      <c r="T891" s="321">
        <v>0.34</v>
      </c>
      <c r="U891" s="321">
        <v>6.8000000000000005E-2</v>
      </c>
      <c r="V891" s="308">
        <f t="shared" si="81"/>
        <v>4.0019999999999998</v>
      </c>
      <c r="W891" s="308">
        <v>6.02</v>
      </c>
      <c r="X891" s="308">
        <f t="shared" si="83"/>
        <v>24.092039999999997</v>
      </c>
      <c r="Y891" s="322" t="s">
        <v>74</v>
      </c>
      <c r="Z891" s="575"/>
      <c r="AA891" s="567"/>
    </row>
    <row r="892" spans="1:27" s="318" customFormat="1" ht="15" customHeight="1" outlineLevel="1">
      <c r="A892" s="282">
        <v>888</v>
      </c>
      <c r="B892" s="282" t="s">
        <v>1</v>
      </c>
      <c r="C892" s="312" t="s">
        <v>1149</v>
      </c>
      <c r="D892" s="313" t="s">
        <v>1150</v>
      </c>
      <c r="E892" s="314" t="s">
        <v>1149</v>
      </c>
      <c r="F892" s="553" t="str">
        <f t="shared" si="82"/>
        <v>REALMartelo de borracha 32 Cm</v>
      </c>
      <c r="G892" s="609">
        <f>Y892</f>
        <v>0.33316674995835416</v>
      </c>
      <c r="H892" s="315" t="s">
        <v>228</v>
      </c>
      <c r="I892" s="323">
        <v>0.33333333333333331</v>
      </c>
      <c r="J892" s="323">
        <v>0.33333333333333331</v>
      </c>
      <c r="K892" s="323">
        <v>0.33333333333333331</v>
      </c>
      <c r="L892" s="323">
        <v>0.33333333333333331</v>
      </c>
      <c r="M892" s="323"/>
      <c r="N892" s="323"/>
      <c r="O892" s="323"/>
      <c r="P892" s="323"/>
      <c r="Q892" s="323"/>
      <c r="R892" s="323"/>
      <c r="S892" s="323"/>
      <c r="T892" s="323"/>
      <c r="U892" s="323"/>
      <c r="V892" s="316">
        <f t="shared" si="81"/>
        <v>1.3333333333333333</v>
      </c>
      <c r="W892" s="316">
        <v>6.02</v>
      </c>
      <c r="X892" s="316">
        <f t="shared" si="83"/>
        <v>8.0266666666666655</v>
      </c>
      <c r="Y892" s="322">
        <f>X892/X891</f>
        <v>0.33316674995835416</v>
      </c>
      <c r="Z892" s="572"/>
      <c r="AA892" s="567"/>
    </row>
    <row r="893" spans="1:27" s="311" customFormat="1" ht="15" customHeight="1" outlineLevel="1">
      <c r="A893" s="273">
        <v>889</v>
      </c>
      <c r="B893" s="273" t="s">
        <v>0</v>
      </c>
      <c r="C893" s="305" t="s">
        <v>1151</v>
      </c>
      <c r="D893" s="306" t="s">
        <v>1152</v>
      </c>
      <c r="E893" s="307" t="s">
        <v>1151</v>
      </c>
      <c r="F893" s="553" t="str">
        <f t="shared" si="82"/>
        <v>PREVNível c/ bolha ajustável de inclinação, bolha fixa e prumo – 400mm</v>
      </c>
      <c r="G893" s="611" t="s">
        <v>74</v>
      </c>
      <c r="H893" s="307" t="s">
        <v>228</v>
      </c>
      <c r="I893" s="321">
        <v>0.13600000000000001</v>
      </c>
      <c r="J893" s="321">
        <v>0.17</v>
      </c>
      <c r="K893" s="321">
        <v>0.17</v>
      </c>
      <c r="L893" s="321">
        <v>0.17</v>
      </c>
      <c r="M893" s="321">
        <v>0.17</v>
      </c>
      <c r="N893" s="321">
        <v>0.17</v>
      </c>
      <c r="O893" s="321">
        <v>0.17</v>
      </c>
      <c r="P893" s="321">
        <v>0.17</v>
      </c>
      <c r="Q893" s="321">
        <v>0.16</v>
      </c>
      <c r="R893" s="321">
        <v>0.16</v>
      </c>
      <c r="S893" s="321">
        <v>0.16</v>
      </c>
      <c r="T893" s="321">
        <v>0.16</v>
      </c>
      <c r="U893" s="321">
        <v>3.2000000000000001E-2</v>
      </c>
      <c r="V893" s="308">
        <f t="shared" si="81"/>
        <v>1.9979999999999998</v>
      </c>
      <c r="W893" s="308">
        <v>10.5</v>
      </c>
      <c r="X893" s="308">
        <f t="shared" si="83"/>
        <v>20.978999999999999</v>
      </c>
      <c r="Y893" s="322" t="s">
        <v>74</v>
      </c>
      <c r="Z893" s="575"/>
      <c r="AA893" s="567"/>
    </row>
    <row r="894" spans="1:27" s="318" customFormat="1" ht="15" customHeight="1" outlineLevel="1">
      <c r="A894" s="282">
        <v>890</v>
      </c>
      <c r="B894" s="282" t="s">
        <v>1</v>
      </c>
      <c r="C894" s="312" t="s">
        <v>1151</v>
      </c>
      <c r="D894" s="313" t="s">
        <v>1152</v>
      </c>
      <c r="E894" s="314" t="s">
        <v>1151</v>
      </c>
      <c r="F894" s="553" t="str">
        <f t="shared" si="82"/>
        <v>REALNível c/ bolha ajustável de inclinação, bolha fixa e prumo – 400mm</v>
      </c>
      <c r="G894" s="609">
        <f>Y894</f>
        <v>0.33366700033366703</v>
      </c>
      <c r="H894" s="315" t="s">
        <v>228</v>
      </c>
      <c r="I894" s="323">
        <v>0.16666666666666666</v>
      </c>
      <c r="J894" s="323">
        <v>0.16666666666666666</v>
      </c>
      <c r="K894" s="323">
        <v>0.16666666666666666</v>
      </c>
      <c r="L894" s="323">
        <v>0.16666666666666666</v>
      </c>
      <c r="M894" s="323"/>
      <c r="N894" s="323"/>
      <c r="O894" s="323"/>
      <c r="P894" s="323"/>
      <c r="Q894" s="323"/>
      <c r="R894" s="323"/>
      <c r="S894" s="323"/>
      <c r="T894" s="323"/>
      <c r="U894" s="323"/>
      <c r="V894" s="316">
        <f t="shared" si="81"/>
        <v>0.66666666666666663</v>
      </c>
      <c r="W894" s="316">
        <v>10.5</v>
      </c>
      <c r="X894" s="316">
        <f t="shared" si="83"/>
        <v>7</v>
      </c>
      <c r="Y894" s="322">
        <f>X894/X893</f>
        <v>0.33366700033366703</v>
      </c>
      <c r="Z894" s="572"/>
      <c r="AA894" s="567"/>
    </row>
    <row r="895" spans="1:27" s="311" customFormat="1" ht="15" customHeight="1" outlineLevel="1">
      <c r="A895" s="273">
        <v>891</v>
      </c>
      <c r="B895" s="273" t="s">
        <v>0</v>
      </c>
      <c r="C895" s="305" t="s">
        <v>1153</v>
      </c>
      <c r="D895" s="306" t="s">
        <v>1154</v>
      </c>
      <c r="E895" s="307" t="s">
        <v>1153</v>
      </c>
      <c r="F895" s="553" t="str">
        <f t="shared" si="82"/>
        <v>PREVNível de bolha de madeira</v>
      </c>
      <c r="G895" s="611" t="s">
        <v>74</v>
      </c>
      <c r="H895" s="307" t="s">
        <v>228</v>
      </c>
      <c r="I895" s="321">
        <v>0.13600000000000001</v>
      </c>
      <c r="J895" s="321">
        <v>0.17</v>
      </c>
      <c r="K895" s="321">
        <v>0.17</v>
      </c>
      <c r="L895" s="321">
        <v>0.17</v>
      </c>
      <c r="M895" s="321">
        <v>0.17</v>
      </c>
      <c r="N895" s="321">
        <v>0.17</v>
      </c>
      <c r="O895" s="321">
        <v>0.17</v>
      </c>
      <c r="P895" s="321">
        <v>0.17</v>
      </c>
      <c r="Q895" s="321">
        <v>0.16</v>
      </c>
      <c r="R895" s="321">
        <v>0.16</v>
      </c>
      <c r="S895" s="321">
        <v>0.16</v>
      </c>
      <c r="T895" s="321">
        <v>0.16</v>
      </c>
      <c r="U895" s="321">
        <v>3.2000000000000001E-2</v>
      </c>
      <c r="V895" s="463">
        <v>2</v>
      </c>
      <c r="W895" s="308">
        <v>4.2</v>
      </c>
      <c r="X895" s="308">
        <f t="shared" si="83"/>
        <v>8.4</v>
      </c>
      <c r="Y895" s="322" t="s">
        <v>74</v>
      </c>
      <c r="Z895" s="575"/>
      <c r="AA895" s="567"/>
    </row>
    <row r="896" spans="1:27" s="318" customFormat="1" ht="15" customHeight="1" outlineLevel="1">
      <c r="A896" s="282">
        <v>892</v>
      </c>
      <c r="B896" s="282" t="s">
        <v>1</v>
      </c>
      <c r="C896" s="312" t="s">
        <v>1153</v>
      </c>
      <c r="D896" s="313" t="s">
        <v>1154</v>
      </c>
      <c r="E896" s="314">
        <v>50840</v>
      </c>
      <c r="F896" s="553" t="str">
        <f t="shared" si="82"/>
        <v>REALNível de bolha de madeira</v>
      </c>
      <c r="G896" s="609">
        <f>Y896</f>
        <v>0.33333333333333331</v>
      </c>
      <c r="H896" s="315" t="s">
        <v>228</v>
      </c>
      <c r="I896" s="323">
        <v>0.16666666666666666</v>
      </c>
      <c r="J896" s="323">
        <v>0.16666666666666666</v>
      </c>
      <c r="K896" s="323">
        <v>0.16666666666666666</v>
      </c>
      <c r="L896" s="323">
        <v>0.16666666666666666</v>
      </c>
      <c r="M896" s="323"/>
      <c r="N896" s="323"/>
      <c r="O896" s="323"/>
      <c r="P896" s="323"/>
      <c r="Q896" s="323"/>
      <c r="R896" s="323"/>
      <c r="S896" s="323"/>
      <c r="T896" s="323"/>
      <c r="U896" s="323"/>
      <c r="V896" s="464">
        <f t="shared" ref="V896:V924" si="84">SUM(I896:U896)</f>
        <v>0.66666666666666663</v>
      </c>
      <c r="W896" s="316">
        <v>4.2</v>
      </c>
      <c r="X896" s="316">
        <f t="shared" si="83"/>
        <v>2.8</v>
      </c>
      <c r="Y896" s="322">
        <f>X896/X895</f>
        <v>0.33333333333333331</v>
      </c>
      <c r="Z896" s="572"/>
      <c r="AA896" s="567"/>
    </row>
    <row r="897" spans="1:27" s="311" customFormat="1" ht="15" customHeight="1" outlineLevel="1">
      <c r="A897" s="273">
        <v>893</v>
      </c>
      <c r="B897" s="273" t="s">
        <v>0</v>
      </c>
      <c r="C897" s="305" t="s">
        <v>1155</v>
      </c>
      <c r="D897" s="306" t="s">
        <v>1156</v>
      </c>
      <c r="E897" s="307" t="s">
        <v>1155</v>
      </c>
      <c r="F897" s="553" t="str">
        <f t="shared" si="82"/>
        <v>PREVPá quadrada</v>
      </c>
      <c r="G897" s="611" t="s">
        <v>74</v>
      </c>
      <c r="H897" s="307" t="s">
        <v>228</v>
      </c>
      <c r="I897" s="321">
        <v>1.536</v>
      </c>
      <c r="J897" s="321">
        <v>1.92</v>
      </c>
      <c r="K897" s="321">
        <v>1.92</v>
      </c>
      <c r="L897" s="321">
        <v>1.92</v>
      </c>
      <c r="M897" s="321">
        <v>1.92</v>
      </c>
      <c r="N897" s="321">
        <v>1.92</v>
      </c>
      <c r="O897" s="321">
        <v>1.92</v>
      </c>
      <c r="P897" s="321">
        <v>1.92</v>
      </c>
      <c r="Q897" s="321">
        <v>1.91</v>
      </c>
      <c r="R897" s="321">
        <v>1.91</v>
      </c>
      <c r="S897" s="321">
        <v>1.91</v>
      </c>
      <c r="T897" s="321">
        <v>1.91</v>
      </c>
      <c r="U897" s="321">
        <v>0.38200000000000001</v>
      </c>
      <c r="V897" s="308">
        <f t="shared" si="84"/>
        <v>22.998000000000001</v>
      </c>
      <c r="W897" s="308">
        <v>4.57</v>
      </c>
      <c r="X897" s="308">
        <f t="shared" si="83"/>
        <v>105.10086000000001</v>
      </c>
      <c r="Y897" s="322" t="s">
        <v>74</v>
      </c>
      <c r="Z897" s="575"/>
      <c r="AA897" s="567"/>
    </row>
    <row r="898" spans="1:27" s="318" customFormat="1" ht="15" customHeight="1" outlineLevel="1">
      <c r="A898" s="282">
        <v>894</v>
      </c>
      <c r="B898" s="282" t="s">
        <v>1</v>
      </c>
      <c r="C898" s="312" t="s">
        <v>1155</v>
      </c>
      <c r="D898" s="313" t="s">
        <v>1156</v>
      </c>
      <c r="E898" s="314">
        <v>51206</v>
      </c>
      <c r="F898" s="553" t="str">
        <f t="shared" si="82"/>
        <v>REALPá quadrada</v>
      </c>
      <c r="G898" s="609">
        <f>Y898</f>
        <v>0.3333623213612778</v>
      </c>
      <c r="H898" s="315" t="s">
        <v>228</v>
      </c>
      <c r="I898" s="323">
        <v>1.9166666666666667</v>
      </c>
      <c r="J898" s="323">
        <v>1.9166666666666667</v>
      </c>
      <c r="K898" s="323">
        <v>1.9166666666666667</v>
      </c>
      <c r="L898" s="323">
        <v>1.9166666666666667</v>
      </c>
      <c r="M898" s="323"/>
      <c r="N898" s="323"/>
      <c r="O898" s="323"/>
      <c r="P898" s="323"/>
      <c r="Q898" s="323"/>
      <c r="R898" s="323"/>
      <c r="S898" s="323"/>
      <c r="T898" s="323"/>
      <c r="U898" s="323"/>
      <c r="V898" s="316">
        <f t="shared" si="84"/>
        <v>7.666666666666667</v>
      </c>
      <c r="W898" s="316">
        <v>4.57</v>
      </c>
      <c r="X898" s="316">
        <f t="shared" si="83"/>
        <v>35.036666666666669</v>
      </c>
      <c r="Y898" s="322">
        <f>X898/X897</f>
        <v>0.3333623213612778</v>
      </c>
      <c r="Z898" s="572"/>
      <c r="AA898" s="567"/>
    </row>
    <row r="899" spans="1:27" s="311" customFormat="1" ht="15" customHeight="1" outlineLevel="1">
      <c r="A899" s="273">
        <v>895</v>
      </c>
      <c r="B899" s="273" t="s">
        <v>0</v>
      </c>
      <c r="C899" s="305" t="s">
        <v>1157</v>
      </c>
      <c r="D899" s="306" t="s">
        <v>1158</v>
      </c>
      <c r="E899" s="307" t="s">
        <v>1157</v>
      </c>
      <c r="F899" s="553" t="str">
        <f t="shared" si="82"/>
        <v>PREVPé‐de‐cabra</v>
      </c>
      <c r="G899" s="611" t="s">
        <v>74</v>
      </c>
      <c r="H899" s="307" t="s">
        <v>228</v>
      </c>
      <c r="I899" s="321">
        <v>0.46399999999999997</v>
      </c>
      <c r="J899" s="321">
        <v>0.57999999999999996</v>
      </c>
      <c r="K899" s="321">
        <v>0.57999999999999996</v>
      </c>
      <c r="L899" s="321">
        <v>0.57999999999999996</v>
      </c>
      <c r="M899" s="321">
        <v>0.57999999999999996</v>
      </c>
      <c r="N899" s="321">
        <v>0.57999999999999996</v>
      </c>
      <c r="O899" s="321">
        <v>0.57999999999999996</v>
      </c>
      <c r="P899" s="321">
        <v>0.57999999999999996</v>
      </c>
      <c r="Q899" s="321">
        <v>0.59</v>
      </c>
      <c r="R899" s="321">
        <v>0.59</v>
      </c>
      <c r="S899" s="321">
        <v>0.59</v>
      </c>
      <c r="T899" s="321">
        <v>0.59</v>
      </c>
      <c r="U899" s="321">
        <v>0.11799999999999999</v>
      </c>
      <c r="V899" s="308">
        <f t="shared" si="84"/>
        <v>7.0019999999999998</v>
      </c>
      <c r="W899" s="308">
        <v>3.8</v>
      </c>
      <c r="X899" s="308">
        <f t="shared" si="83"/>
        <v>26.607599999999998</v>
      </c>
      <c r="Y899" s="322" t="s">
        <v>74</v>
      </c>
      <c r="Z899" s="575"/>
      <c r="AA899" s="567"/>
    </row>
    <row r="900" spans="1:27" s="318" customFormat="1" ht="15" customHeight="1" outlineLevel="1">
      <c r="A900" s="282">
        <v>896</v>
      </c>
      <c r="B900" s="282" t="s">
        <v>1</v>
      </c>
      <c r="C900" s="312" t="s">
        <v>1157</v>
      </c>
      <c r="D900" s="313" t="s">
        <v>1158</v>
      </c>
      <c r="E900" s="314" t="s">
        <v>1157</v>
      </c>
      <c r="F900" s="553" t="str">
        <f t="shared" si="82"/>
        <v>REALPé‐de‐cabra</v>
      </c>
      <c r="G900" s="609">
        <f>Y900</f>
        <v>0.33323812244120732</v>
      </c>
      <c r="H900" s="315" t="s">
        <v>228</v>
      </c>
      <c r="I900" s="323">
        <v>0.58333333333333337</v>
      </c>
      <c r="J900" s="323">
        <v>0.58333333333333337</v>
      </c>
      <c r="K900" s="323">
        <v>0.58333333333333337</v>
      </c>
      <c r="L900" s="323">
        <v>0.58333333333333337</v>
      </c>
      <c r="M900" s="323"/>
      <c r="N900" s="323"/>
      <c r="O900" s="323"/>
      <c r="P900" s="323"/>
      <c r="Q900" s="323"/>
      <c r="R900" s="323"/>
      <c r="S900" s="323"/>
      <c r="T900" s="323"/>
      <c r="U900" s="323"/>
      <c r="V900" s="316">
        <f t="shared" si="84"/>
        <v>2.3333333333333335</v>
      </c>
      <c r="W900" s="316">
        <v>3.8</v>
      </c>
      <c r="X900" s="316">
        <f t="shared" si="83"/>
        <v>8.8666666666666671</v>
      </c>
      <c r="Y900" s="322">
        <f>X900/X899</f>
        <v>0.33323812244120732</v>
      </c>
      <c r="Z900" s="572"/>
      <c r="AA900" s="567"/>
    </row>
    <row r="901" spans="1:27" s="311" customFormat="1" ht="15" customHeight="1" outlineLevel="1">
      <c r="A901" s="273">
        <v>897</v>
      </c>
      <c r="B901" s="273" t="s">
        <v>0</v>
      </c>
      <c r="C901" s="305" t="s">
        <v>1159</v>
      </c>
      <c r="D901" s="306" t="s">
        <v>1160</v>
      </c>
      <c r="E901" s="307" t="s">
        <v>1159</v>
      </c>
      <c r="F901" s="553" t="str">
        <f t="shared" si="82"/>
        <v>PREVPicareta com cabo</v>
      </c>
      <c r="G901" s="611" t="s">
        <v>74</v>
      </c>
      <c r="H901" s="307" t="s">
        <v>228</v>
      </c>
      <c r="I901" s="321">
        <v>1.536</v>
      </c>
      <c r="J901" s="321">
        <v>1.92</v>
      </c>
      <c r="K901" s="321">
        <v>1.92</v>
      </c>
      <c r="L901" s="321">
        <v>1.92</v>
      </c>
      <c r="M901" s="321">
        <v>1.92</v>
      </c>
      <c r="N901" s="321">
        <v>1.92</v>
      </c>
      <c r="O901" s="321">
        <v>1.92</v>
      </c>
      <c r="P901" s="321">
        <v>1.92</v>
      </c>
      <c r="Q901" s="321">
        <v>1.91</v>
      </c>
      <c r="R901" s="321">
        <v>1.91</v>
      </c>
      <c r="S901" s="321">
        <v>1.91</v>
      </c>
      <c r="T901" s="321">
        <v>1.91</v>
      </c>
      <c r="U901" s="321">
        <v>0.38200000000000001</v>
      </c>
      <c r="V901" s="308">
        <f t="shared" si="84"/>
        <v>22.998000000000001</v>
      </c>
      <c r="W901" s="308">
        <v>17.63</v>
      </c>
      <c r="X901" s="308">
        <f t="shared" si="83"/>
        <v>405.45474000000002</v>
      </c>
      <c r="Y901" s="322" t="s">
        <v>74</v>
      </c>
      <c r="Z901" s="575"/>
      <c r="AA901" s="567"/>
    </row>
    <row r="902" spans="1:27" s="318" customFormat="1" ht="15" customHeight="1" outlineLevel="1">
      <c r="A902" s="282">
        <v>898</v>
      </c>
      <c r="B902" s="282" t="s">
        <v>1</v>
      </c>
      <c r="C902" s="312" t="s">
        <v>1159</v>
      </c>
      <c r="D902" s="313" t="s">
        <v>1160</v>
      </c>
      <c r="E902" s="314" t="s">
        <v>1159</v>
      </c>
      <c r="F902" s="553" t="str">
        <f t="shared" si="82"/>
        <v>REALPicareta com cabo</v>
      </c>
      <c r="G902" s="609">
        <f>Y902</f>
        <v>0.33336232136127775</v>
      </c>
      <c r="H902" s="315" t="s">
        <v>228</v>
      </c>
      <c r="I902" s="323">
        <v>1.9166666666666667</v>
      </c>
      <c r="J902" s="323">
        <v>1.9166666666666667</v>
      </c>
      <c r="K902" s="323">
        <v>1.9166666666666667</v>
      </c>
      <c r="L902" s="323">
        <v>1.9166666666666667</v>
      </c>
      <c r="M902" s="323"/>
      <c r="N902" s="323"/>
      <c r="O902" s="323"/>
      <c r="P902" s="323"/>
      <c r="Q902" s="323"/>
      <c r="R902" s="323"/>
      <c r="S902" s="323"/>
      <c r="T902" s="323"/>
      <c r="U902" s="323"/>
      <c r="V902" s="316">
        <f t="shared" si="84"/>
        <v>7.666666666666667</v>
      </c>
      <c r="W902" s="316">
        <v>17.63</v>
      </c>
      <c r="X902" s="316">
        <f t="shared" si="83"/>
        <v>135.16333333333333</v>
      </c>
      <c r="Y902" s="322">
        <f>X902/X901</f>
        <v>0.33336232136127775</v>
      </c>
      <c r="Z902" s="572"/>
      <c r="AA902" s="567"/>
    </row>
    <row r="903" spans="1:27" s="311" customFormat="1" ht="15" customHeight="1" outlineLevel="1">
      <c r="A903" s="273">
        <v>899</v>
      </c>
      <c r="B903" s="273" t="s">
        <v>0</v>
      </c>
      <c r="C903" s="305" t="s">
        <v>1161</v>
      </c>
      <c r="D903" s="306" t="s">
        <v>1162</v>
      </c>
      <c r="E903" s="307" t="s">
        <v>1161</v>
      </c>
      <c r="F903" s="553" t="str">
        <f t="shared" si="82"/>
        <v>PREVPistola para pintura</v>
      </c>
      <c r="G903" s="611" t="s">
        <v>74</v>
      </c>
      <c r="H903" s="307" t="s">
        <v>228</v>
      </c>
      <c r="I903" s="321">
        <v>0.13600000000000001</v>
      </c>
      <c r="J903" s="321">
        <v>0.17</v>
      </c>
      <c r="K903" s="321">
        <v>0.17</v>
      </c>
      <c r="L903" s="321">
        <v>0.17</v>
      </c>
      <c r="M903" s="321">
        <v>0.17</v>
      </c>
      <c r="N903" s="321">
        <v>0.17</v>
      </c>
      <c r="O903" s="321">
        <v>0.17</v>
      </c>
      <c r="P903" s="321">
        <v>0.17</v>
      </c>
      <c r="Q903" s="321">
        <v>0.16</v>
      </c>
      <c r="R903" s="321">
        <v>0.16</v>
      </c>
      <c r="S903" s="321">
        <v>0.16</v>
      </c>
      <c r="T903" s="321">
        <v>0.16</v>
      </c>
      <c r="U903" s="321">
        <v>3.2000000000000001E-2</v>
      </c>
      <c r="V903" s="308">
        <f t="shared" si="84"/>
        <v>1.9979999999999998</v>
      </c>
      <c r="W903" s="308">
        <v>16.27</v>
      </c>
      <c r="X903" s="308">
        <f t="shared" si="83"/>
        <v>32.507459999999995</v>
      </c>
      <c r="Y903" s="322" t="s">
        <v>74</v>
      </c>
      <c r="Z903" s="575"/>
      <c r="AA903" s="567"/>
    </row>
    <row r="904" spans="1:27" s="318" customFormat="1" ht="15" customHeight="1" outlineLevel="1">
      <c r="A904" s="282">
        <v>900</v>
      </c>
      <c r="B904" s="282" t="s">
        <v>1</v>
      </c>
      <c r="C904" s="312" t="s">
        <v>1161</v>
      </c>
      <c r="D904" s="313" t="s">
        <v>1162</v>
      </c>
      <c r="E904" s="314">
        <v>52301</v>
      </c>
      <c r="F904" s="553" t="str">
        <f t="shared" si="82"/>
        <v>REALPistola para pintura</v>
      </c>
      <c r="G904" s="609">
        <f>Y904</f>
        <v>0.33366700033366703</v>
      </c>
      <c r="H904" s="315" t="s">
        <v>228</v>
      </c>
      <c r="I904" s="323">
        <v>0.16666666666666666</v>
      </c>
      <c r="J904" s="323">
        <v>0.16666666666666666</v>
      </c>
      <c r="K904" s="323">
        <v>0.16666666666666666</v>
      </c>
      <c r="L904" s="323">
        <v>0.16666666666666666</v>
      </c>
      <c r="M904" s="323"/>
      <c r="N904" s="323"/>
      <c r="O904" s="323"/>
      <c r="P904" s="323"/>
      <c r="Q904" s="323"/>
      <c r="R904" s="323"/>
      <c r="S904" s="323"/>
      <c r="T904" s="323"/>
      <c r="U904" s="323"/>
      <c r="V904" s="316">
        <f t="shared" si="84"/>
        <v>0.66666666666666663</v>
      </c>
      <c r="W904" s="316">
        <v>16.27</v>
      </c>
      <c r="X904" s="316">
        <f t="shared" si="83"/>
        <v>10.846666666666666</v>
      </c>
      <c r="Y904" s="322">
        <f>X904/X903</f>
        <v>0.33366700033366703</v>
      </c>
      <c r="Z904" s="572"/>
      <c r="AA904" s="567"/>
    </row>
    <row r="905" spans="1:27" s="311" customFormat="1" ht="15" customHeight="1" outlineLevel="1">
      <c r="A905" s="273">
        <v>901</v>
      </c>
      <c r="B905" s="273" t="s">
        <v>0</v>
      </c>
      <c r="C905" s="305" t="s">
        <v>1163</v>
      </c>
      <c r="D905" s="306" t="s">
        <v>1164</v>
      </c>
      <c r="E905" s="307" t="s">
        <v>1163</v>
      </c>
      <c r="F905" s="553" t="str">
        <f t="shared" si="82"/>
        <v>PREVPonteiro de aço</v>
      </c>
      <c r="G905" s="611" t="s">
        <v>74</v>
      </c>
      <c r="H905" s="307" t="s">
        <v>228</v>
      </c>
      <c r="I905" s="321">
        <v>0.46399999999999997</v>
      </c>
      <c r="J905" s="321">
        <v>0.57999999999999996</v>
      </c>
      <c r="K905" s="321">
        <v>0.57999999999999996</v>
      </c>
      <c r="L905" s="321">
        <v>0.57999999999999996</v>
      </c>
      <c r="M905" s="321">
        <v>0.57999999999999996</v>
      </c>
      <c r="N905" s="321">
        <v>0.57999999999999996</v>
      </c>
      <c r="O905" s="321">
        <v>0.57999999999999996</v>
      </c>
      <c r="P905" s="321">
        <v>0.57999999999999996</v>
      </c>
      <c r="Q905" s="321">
        <v>0.59</v>
      </c>
      <c r="R905" s="321">
        <v>0.59</v>
      </c>
      <c r="S905" s="321">
        <v>0.59</v>
      </c>
      <c r="T905" s="321">
        <v>0.59</v>
      </c>
      <c r="U905" s="321">
        <v>0.11799999999999999</v>
      </c>
      <c r="V905" s="308">
        <f t="shared" si="84"/>
        <v>7.0019999999999998</v>
      </c>
      <c r="W905" s="308">
        <v>5.67</v>
      </c>
      <c r="X905" s="308">
        <f t="shared" si="83"/>
        <v>39.701339999999995</v>
      </c>
      <c r="Y905" s="322" t="s">
        <v>74</v>
      </c>
      <c r="Z905" s="575"/>
      <c r="AA905" s="567"/>
    </row>
    <row r="906" spans="1:27" s="318" customFormat="1" ht="15" customHeight="1" outlineLevel="1">
      <c r="A906" s="282">
        <v>902</v>
      </c>
      <c r="B906" s="282" t="s">
        <v>1</v>
      </c>
      <c r="C906" s="312" t="s">
        <v>1163</v>
      </c>
      <c r="D906" s="313" t="s">
        <v>1164</v>
      </c>
      <c r="E906" s="314" t="s">
        <v>1163</v>
      </c>
      <c r="F906" s="553" t="str">
        <f t="shared" si="82"/>
        <v>REALPonteiro de aço</v>
      </c>
      <c r="G906" s="609">
        <f>Y906</f>
        <v>0.33323812244120732</v>
      </c>
      <c r="H906" s="315" t="s">
        <v>228</v>
      </c>
      <c r="I906" s="323">
        <v>0.58333333333333337</v>
      </c>
      <c r="J906" s="323">
        <v>0.58333333333333337</v>
      </c>
      <c r="K906" s="323">
        <v>0.58333333333333337</v>
      </c>
      <c r="L906" s="323">
        <v>0.58333333333333337</v>
      </c>
      <c r="M906" s="323"/>
      <c r="N906" s="323"/>
      <c r="O906" s="323"/>
      <c r="P906" s="323"/>
      <c r="Q906" s="323"/>
      <c r="R906" s="323"/>
      <c r="S906" s="323"/>
      <c r="T906" s="323"/>
      <c r="U906" s="323"/>
      <c r="V906" s="316">
        <f t="shared" si="84"/>
        <v>2.3333333333333335</v>
      </c>
      <c r="W906" s="316">
        <v>5.67</v>
      </c>
      <c r="X906" s="316">
        <f t="shared" si="83"/>
        <v>13.23</v>
      </c>
      <c r="Y906" s="322">
        <f>X906/X905</f>
        <v>0.33323812244120732</v>
      </c>
      <c r="Z906" s="572"/>
      <c r="AA906" s="567"/>
    </row>
    <row r="907" spans="1:27" s="311" customFormat="1" ht="15" customHeight="1" outlineLevel="1">
      <c r="A907" s="273">
        <v>903</v>
      </c>
      <c r="B907" s="273" t="s">
        <v>0</v>
      </c>
      <c r="C907" s="305" t="s">
        <v>1165</v>
      </c>
      <c r="D907" s="306" t="s">
        <v>1166</v>
      </c>
      <c r="E907" s="307" t="s">
        <v>1165</v>
      </c>
      <c r="F907" s="553" t="str">
        <f t="shared" si="82"/>
        <v>PREVPrumo de centro</v>
      </c>
      <c r="G907" s="611" t="s">
        <v>74</v>
      </c>
      <c r="H907" s="307" t="s">
        <v>228</v>
      </c>
      <c r="I907" s="321">
        <v>0.13600000000000001</v>
      </c>
      <c r="J907" s="321">
        <v>0.17</v>
      </c>
      <c r="K907" s="321">
        <v>0.17</v>
      </c>
      <c r="L907" s="321">
        <v>0.17</v>
      </c>
      <c r="M907" s="321">
        <v>0.17</v>
      </c>
      <c r="N907" s="321">
        <v>0.17</v>
      </c>
      <c r="O907" s="321">
        <v>0.17</v>
      </c>
      <c r="P907" s="321">
        <v>0.17</v>
      </c>
      <c r="Q907" s="321">
        <v>0.16</v>
      </c>
      <c r="R907" s="321">
        <v>0.16</v>
      </c>
      <c r="S907" s="321">
        <v>0.16</v>
      </c>
      <c r="T907" s="321">
        <v>0.16</v>
      </c>
      <c r="U907" s="321">
        <v>3.2000000000000001E-2</v>
      </c>
      <c r="V907" s="308">
        <f t="shared" si="84"/>
        <v>1.9979999999999998</v>
      </c>
      <c r="W907" s="308">
        <v>7.96</v>
      </c>
      <c r="X907" s="308">
        <f t="shared" si="83"/>
        <v>15.904079999999999</v>
      </c>
      <c r="Y907" s="322" t="s">
        <v>74</v>
      </c>
      <c r="Z907" s="575"/>
      <c r="AA907" s="567"/>
    </row>
    <row r="908" spans="1:27" s="318" customFormat="1" ht="15" customHeight="1" outlineLevel="1">
      <c r="A908" s="282">
        <v>904</v>
      </c>
      <c r="B908" s="282" t="s">
        <v>1</v>
      </c>
      <c r="C908" s="312" t="s">
        <v>1165</v>
      </c>
      <c r="D908" s="313" t="s">
        <v>1166</v>
      </c>
      <c r="E908" s="314" t="s">
        <v>1165</v>
      </c>
      <c r="F908" s="553" t="str">
        <f t="shared" si="82"/>
        <v>REALPrumo de centro</v>
      </c>
      <c r="G908" s="609">
        <f>Y908</f>
        <v>0.33366700033366703</v>
      </c>
      <c r="H908" s="315" t="s">
        <v>228</v>
      </c>
      <c r="I908" s="323">
        <v>0.16666666666666666</v>
      </c>
      <c r="J908" s="323">
        <v>0.16666666666666666</v>
      </c>
      <c r="K908" s="323">
        <v>0.16666666666666666</v>
      </c>
      <c r="L908" s="323">
        <v>0.16666666666666666</v>
      </c>
      <c r="M908" s="323"/>
      <c r="N908" s="323"/>
      <c r="O908" s="323"/>
      <c r="P908" s="323"/>
      <c r="Q908" s="323"/>
      <c r="R908" s="323"/>
      <c r="S908" s="323"/>
      <c r="T908" s="323"/>
      <c r="U908" s="323"/>
      <c r="V908" s="316">
        <f t="shared" si="84"/>
        <v>0.66666666666666663</v>
      </c>
      <c r="W908" s="316">
        <v>7.96</v>
      </c>
      <c r="X908" s="316">
        <f t="shared" si="83"/>
        <v>5.3066666666666666</v>
      </c>
      <c r="Y908" s="322">
        <f>X908/X907</f>
        <v>0.33366700033366703</v>
      </c>
      <c r="Z908" s="572"/>
      <c r="AA908" s="567"/>
    </row>
    <row r="909" spans="1:27" s="311" customFormat="1" ht="15" customHeight="1" outlineLevel="1">
      <c r="A909" s="273">
        <v>905</v>
      </c>
      <c r="B909" s="273" t="s">
        <v>0</v>
      </c>
      <c r="C909" s="305" t="s">
        <v>1167</v>
      </c>
      <c r="D909" s="306" t="s">
        <v>1168</v>
      </c>
      <c r="E909" s="307" t="s">
        <v>1167</v>
      </c>
      <c r="F909" s="553" t="str">
        <f t="shared" si="82"/>
        <v>PREVPrumo de parede</v>
      </c>
      <c r="G909" s="611" t="s">
        <v>74</v>
      </c>
      <c r="H909" s="307" t="s">
        <v>228</v>
      </c>
      <c r="I909" s="321">
        <v>0.13600000000000001</v>
      </c>
      <c r="J909" s="321">
        <v>0.17</v>
      </c>
      <c r="K909" s="321">
        <v>0.17</v>
      </c>
      <c r="L909" s="321">
        <v>0.17</v>
      </c>
      <c r="M909" s="321">
        <v>0.17</v>
      </c>
      <c r="N909" s="321">
        <v>0.17</v>
      </c>
      <c r="O909" s="321">
        <v>0.17</v>
      </c>
      <c r="P909" s="321">
        <v>0.17</v>
      </c>
      <c r="Q909" s="321">
        <v>0.16</v>
      </c>
      <c r="R909" s="321">
        <v>0.16</v>
      </c>
      <c r="S909" s="321">
        <v>0.16</v>
      </c>
      <c r="T909" s="321">
        <v>0.16</v>
      </c>
      <c r="U909" s="321">
        <v>3.2000000000000001E-2</v>
      </c>
      <c r="V909" s="308">
        <f t="shared" si="84"/>
        <v>1.9979999999999998</v>
      </c>
      <c r="W909" s="308">
        <v>9.08</v>
      </c>
      <c r="X909" s="308">
        <f t="shared" si="83"/>
        <v>18.141839999999998</v>
      </c>
      <c r="Y909" s="322" t="s">
        <v>74</v>
      </c>
      <c r="Z909" s="575"/>
      <c r="AA909" s="567"/>
    </row>
    <row r="910" spans="1:27" s="318" customFormat="1" ht="15" customHeight="1" outlineLevel="1">
      <c r="A910" s="282">
        <v>906</v>
      </c>
      <c r="B910" s="282" t="s">
        <v>1</v>
      </c>
      <c r="C910" s="312" t="s">
        <v>1167</v>
      </c>
      <c r="D910" s="313" t="s">
        <v>1168</v>
      </c>
      <c r="E910" s="314" t="s">
        <v>1167</v>
      </c>
      <c r="F910" s="553" t="str">
        <f t="shared" si="82"/>
        <v>REALPrumo de parede</v>
      </c>
      <c r="G910" s="609">
        <f>Y910</f>
        <v>0.33366700033366697</v>
      </c>
      <c r="H910" s="315" t="s">
        <v>228</v>
      </c>
      <c r="I910" s="323">
        <v>0.16666666666666666</v>
      </c>
      <c r="J910" s="323">
        <v>0.16666666666666666</v>
      </c>
      <c r="K910" s="323">
        <v>0.16666666666666666</v>
      </c>
      <c r="L910" s="323">
        <v>0.16666666666666666</v>
      </c>
      <c r="M910" s="323"/>
      <c r="N910" s="323"/>
      <c r="O910" s="323"/>
      <c r="P910" s="323"/>
      <c r="Q910" s="323"/>
      <c r="R910" s="323"/>
      <c r="S910" s="323"/>
      <c r="T910" s="323"/>
      <c r="U910" s="323"/>
      <c r="V910" s="316">
        <f t="shared" si="84"/>
        <v>0.66666666666666663</v>
      </c>
      <c r="W910" s="316">
        <v>9.08</v>
      </c>
      <c r="X910" s="316">
        <f t="shared" si="83"/>
        <v>6.0533333333333328</v>
      </c>
      <c r="Y910" s="322">
        <f>X910/X909</f>
        <v>0.33366700033366697</v>
      </c>
      <c r="Z910" s="572"/>
      <c r="AA910" s="567"/>
    </row>
    <row r="911" spans="1:27" s="311" customFormat="1" ht="15" customHeight="1" outlineLevel="1">
      <c r="A911" s="273">
        <v>907</v>
      </c>
      <c r="B911" s="273" t="s">
        <v>0</v>
      </c>
      <c r="C911" s="305" t="s">
        <v>1169</v>
      </c>
      <c r="D911" s="306" t="s">
        <v>1170</v>
      </c>
      <c r="E911" s="307" t="s">
        <v>1169</v>
      </c>
      <c r="F911" s="553" t="str">
        <f t="shared" si="82"/>
        <v>PREVRastelo (ASG)</v>
      </c>
      <c r="G911" s="611" t="s">
        <v>74</v>
      </c>
      <c r="H911" s="307" t="s">
        <v>228</v>
      </c>
      <c r="I911" s="321">
        <v>0.46399999999999997</v>
      </c>
      <c r="J911" s="321">
        <v>0.57999999999999996</v>
      </c>
      <c r="K911" s="321">
        <v>0.57999999999999996</v>
      </c>
      <c r="L911" s="321">
        <v>0.57999999999999996</v>
      </c>
      <c r="M911" s="321">
        <v>0.57999999999999996</v>
      </c>
      <c r="N911" s="321">
        <v>0.57999999999999996</v>
      </c>
      <c r="O911" s="321">
        <v>0.57999999999999996</v>
      </c>
      <c r="P911" s="321">
        <v>0.57999999999999996</v>
      </c>
      <c r="Q911" s="321">
        <v>0.59</v>
      </c>
      <c r="R911" s="321">
        <v>0.59</v>
      </c>
      <c r="S911" s="321">
        <v>0.59</v>
      </c>
      <c r="T911" s="321">
        <v>0.59</v>
      </c>
      <c r="U911" s="321">
        <v>0.11799999999999999</v>
      </c>
      <c r="V911" s="308">
        <f t="shared" si="84"/>
        <v>7.0019999999999998</v>
      </c>
      <c r="W911" s="308">
        <v>6.88</v>
      </c>
      <c r="X911" s="308">
        <f t="shared" si="83"/>
        <v>48.173759999999994</v>
      </c>
      <c r="Y911" s="322" t="s">
        <v>74</v>
      </c>
      <c r="Z911" s="575"/>
      <c r="AA911" s="567"/>
    </row>
    <row r="912" spans="1:27" s="318" customFormat="1" ht="15" customHeight="1" outlineLevel="1">
      <c r="A912" s="282">
        <v>908</v>
      </c>
      <c r="B912" s="282" t="s">
        <v>1</v>
      </c>
      <c r="C912" s="312" t="s">
        <v>1169</v>
      </c>
      <c r="D912" s="313" t="s">
        <v>1170</v>
      </c>
      <c r="E912" s="314" t="s">
        <v>1169</v>
      </c>
      <c r="F912" s="553" t="str">
        <f t="shared" si="82"/>
        <v>REALRastelo (ASG)</v>
      </c>
      <c r="G912" s="609">
        <f>Y912</f>
        <v>0.33323812244120732</v>
      </c>
      <c r="H912" s="315" t="s">
        <v>228</v>
      </c>
      <c r="I912" s="323">
        <v>0.58333333333333337</v>
      </c>
      <c r="J912" s="323">
        <v>0.58333333333333337</v>
      </c>
      <c r="K912" s="323">
        <v>0.58333333333333337</v>
      </c>
      <c r="L912" s="323">
        <v>0.58333333333333337</v>
      </c>
      <c r="M912" s="323"/>
      <c r="N912" s="323"/>
      <c r="O912" s="323"/>
      <c r="P912" s="323"/>
      <c r="Q912" s="323"/>
      <c r="R912" s="323"/>
      <c r="S912" s="323"/>
      <c r="T912" s="323"/>
      <c r="U912" s="323"/>
      <c r="V912" s="316">
        <f t="shared" si="84"/>
        <v>2.3333333333333335</v>
      </c>
      <c r="W912" s="316">
        <v>6.88</v>
      </c>
      <c r="X912" s="316">
        <f t="shared" si="83"/>
        <v>16.053333333333335</v>
      </c>
      <c r="Y912" s="322">
        <f>X912/X911</f>
        <v>0.33323812244120732</v>
      </c>
      <c r="Z912" s="572"/>
      <c r="AA912" s="567"/>
    </row>
    <row r="913" spans="1:27" s="311" customFormat="1" ht="15" customHeight="1" outlineLevel="1">
      <c r="A913" s="273">
        <v>909</v>
      </c>
      <c r="B913" s="273" t="s">
        <v>0</v>
      </c>
      <c r="C913" s="305" t="s">
        <v>1171</v>
      </c>
      <c r="D913" s="306" t="s">
        <v>1172</v>
      </c>
      <c r="E913" s="307" t="s">
        <v>1171</v>
      </c>
      <c r="F913" s="553" t="str">
        <f t="shared" si="82"/>
        <v>PREVRefletor redondo em alumínio anodizado para lâmpada vapor de mercúrio/sódio, corpo em aluminio com pintura epoxi, para lâmpada E‐27 de 300 W, com suporte redondo e alça regulável para fixação.</v>
      </c>
      <c r="G913" s="611" t="s">
        <v>74</v>
      </c>
      <c r="H913" s="307" t="s">
        <v>228</v>
      </c>
      <c r="I913" s="321">
        <v>0.46399999999999997</v>
      </c>
      <c r="J913" s="321">
        <v>0.57999999999999996</v>
      </c>
      <c r="K913" s="321">
        <v>0.57999999999999996</v>
      </c>
      <c r="L913" s="321">
        <v>0.57999999999999996</v>
      </c>
      <c r="M913" s="321">
        <v>0.57999999999999996</v>
      </c>
      <c r="N913" s="321">
        <v>0.57999999999999996</v>
      </c>
      <c r="O913" s="321">
        <v>0.57999999999999996</v>
      </c>
      <c r="P913" s="321">
        <v>0.57999999999999996</v>
      </c>
      <c r="Q913" s="321">
        <v>0.59</v>
      </c>
      <c r="R913" s="321">
        <v>0.59</v>
      </c>
      <c r="S913" s="321">
        <v>0.59</v>
      </c>
      <c r="T913" s="321">
        <v>0.59</v>
      </c>
      <c r="U913" s="321">
        <v>0.11799999999999999</v>
      </c>
      <c r="V913" s="308">
        <f t="shared" si="84"/>
        <v>7.0019999999999998</v>
      </c>
      <c r="W913" s="308">
        <v>29.06</v>
      </c>
      <c r="X913" s="308">
        <f t="shared" si="83"/>
        <v>203.47811999999999</v>
      </c>
      <c r="Y913" s="322" t="s">
        <v>74</v>
      </c>
      <c r="Z913" s="575"/>
      <c r="AA913" s="567"/>
    </row>
    <row r="914" spans="1:27" s="318" customFormat="1" ht="15" customHeight="1" outlineLevel="1">
      <c r="A914" s="282">
        <v>910</v>
      </c>
      <c r="B914" s="282" t="s">
        <v>1</v>
      </c>
      <c r="C914" s="312" t="s">
        <v>1171</v>
      </c>
      <c r="D914" s="313" t="s">
        <v>1172</v>
      </c>
      <c r="E914" s="314" t="s">
        <v>1171</v>
      </c>
      <c r="F914" s="553" t="str">
        <f t="shared" si="82"/>
        <v>REALRefletor redondo em alumínio anodizado para lâmpada vapor de mercúrio/sódio, corpo em aluminio com pintura epoxi, para lâmpada E‐27 de 300 W, com suporte redondo e alça regulável para fixação.</v>
      </c>
      <c r="G914" s="609">
        <f>Y914</f>
        <v>0.33323812244120732</v>
      </c>
      <c r="H914" s="315" t="s">
        <v>228</v>
      </c>
      <c r="I914" s="323">
        <v>0.58333333333333337</v>
      </c>
      <c r="J914" s="323">
        <v>0.58333333333333337</v>
      </c>
      <c r="K914" s="323">
        <v>0.58333333333333337</v>
      </c>
      <c r="L914" s="323">
        <v>0.58333333333333337</v>
      </c>
      <c r="M914" s="323"/>
      <c r="N914" s="323"/>
      <c r="O914" s="323"/>
      <c r="P914" s="323"/>
      <c r="Q914" s="323"/>
      <c r="R914" s="323"/>
      <c r="S914" s="323"/>
      <c r="T914" s="323"/>
      <c r="U914" s="323"/>
      <c r="V914" s="316">
        <f t="shared" si="84"/>
        <v>2.3333333333333335</v>
      </c>
      <c r="W914" s="316">
        <v>29.06</v>
      </c>
      <c r="X914" s="316">
        <f t="shared" si="83"/>
        <v>67.806666666666672</v>
      </c>
      <c r="Y914" s="322">
        <f>X914/X913</f>
        <v>0.33323812244120732</v>
      </c>
      <c r="Z914" s="572"/>
      <c r="AA914" s="567"/>
    </row>
    <row r="915" spans="1:27" s="311" customFormat="1" ht="15" customHeight="1" outlineLevel="1">
      <c r="A915" s="273">
        <v>911</v>
      </c>
      <c r="B915" s="273" t="s">
        <v>0</v>
      </c>
      <c r="C915" s="305" t="s">
        <v>1173</v>
      </c>
      <c r="D915" s="306" t="s">
        <v>1174</v>
      </c>
      <c r="E915" s="307" t="s">
        <v>1173</v>
      </c>
      <c r="F915" s="553" t="str">
        <f t="shared" si="82"/>
        <v>PREVRégua de alumínio ‐ 2,00m</v>
      </c>
      <c r="G915" s="611" t="s">
        <v>74</v>
      </c>
      <c r="H915" s="307" t="s">
        <v>228</v>
      </c>
      <c r="I915" s="321">
        <v>0.13600000000000001</v>
      </c>
      <c r="J915" s="321">
        <v>0.17</v>
      </c>
      <c r="K915" s="321">
        <v>0.17</v>
      </c>
      <c r="L915" s="321">
        <v>0.17</v>
      </c>
      <c r="M915" s="321">
        <v>0.17</v>
      </c>
      <c r="N915" s="321">
        <v>0.17</v>
      </c>
      <c r="O915" s="321">
        <v>0.17</v>
      </c>
      <c r="P915" s="321">
        <v>0.17</v>
      </c>
      <c r="Q915" s="321">
        <v>0.16</v>
      </c>
      <c r="R915" s="321">
        <v>0.16</v>
      </c>
      <c r="S915" s="321">
        <v>0.16</v>
      </c>
      <c r="T915" s="321">
        <v>0.16</v>
      </c>
      <c r="U915" s="321">
        <v>3.2000000000000001E-2</v>
      </c>
      <c r="V915" s="308">
        <f t="shared" si="84"/>
        <v>1.9979999999999998</v>
      </c>
      <c r="W915" s="308">
        <v>10.65</v>
      </c>
      <c r="X915" s="308">
        <f t="shared" si="83"/>
        <v>21.278699999999997</v>
      </c>
      <c r="Y915" s="322" t="s">
        <v>74</v>
      </c>
      <c r="Z915" s="575"/>
      <c r="AA915" s="567"/>
    </row>
    <row r="916" spans="1:27" s="318" customFormat="1" ht="15" customHeight="1" outlineLevel="1">
      <c r="A916" s="282">
        <v>912</v>
      </c>
      <c r="B916" s="282" t="s">
        <v>1</v>
      </c>
      <c r="C916" s="312" t="s">
        <v>1173</v>
      </c>
      <c r="D916" s="313" t="s">
        <v>1174</v>
      </c>
      <c r="E916" s="314">
        <v>54493</v>
      </c>
      <c r="F916" s="553" t="str">
        <f t="shared" si="82"/>
        <v>REALRégua de alumínio ‐ 2,00m</v>
      </c>
      <c r="G916" s="609">
        <f>Y916</f>
        <v>0.33366700033366703</v>
      </c>
      <c r="H916" s="315" t="s">
        <v>228</v>
      </c>
      <c r="I916" s="323">
        <v>0.16666666666666666</v>
      </c>
      <c r="J916" s="323">
        <v>0.16666666666666666</v>
      </c>
      <c r="K916" s="323">
        <v>0.16666666666666666</v>
      </c>
      <c r="L916" s="323">
        <v>0.16666666666666666</v>
      </c>
      <c r="M916" s="323"/>
      <c r="N916" s="323"/>
      <c r="O916" s="323"/>
      <c r="P916" s="323"/>
      <c r="Q916" s="323"/>
      <c r="R916" s="323"/>
      <c r="S916" s="323"/>
      <c r="T916" s="323"/>
      <c r="U916" s="323"/>
      <c r="V916" s="316">
        <f t="shared" si="84"/>
        <v>0.66666666666666663</v>
      </c>
      <c r="W916" s="316">
        <v>10.65</v>
      </c>
      <c r="X916" s="316">
        <f t="shared" si="83"/>
        <v>7.1</v>
      </c>
      <c r="Y916" s="322">
        <f>X916/X915</f>
        <v>0.33366700033366703</v>
      </c>
      <c r="Z916" s="572"/>
      <c r="AA916" s="567"/>
    </row>
    <row r="917" spans="1:27" s="311" customFormat="1" ht="15" customHeight="1" outlineLevel="1">
      <c r="A917" s="273">
        <v>913</v>
      </c>
      <c r="B917" s="273" t="s">
        <v>0</v>
      </c>
      <c r="C917" s="305" t="s">
        <v>1175</v>
      </c>
      <c r="D917" s="306" t="s">
        <v>1176</v>
      </c>
      <c r="E917" s="307" t="s">
        <v>1175</v>
      </c>
      <c r="F917" s="553" t="str">
        <f t="shared" ref="F917:F928" si="85">B917&amp;D917</f>
        <v>PREVSerrote 40cm</v>
      </c>
      <c r="G917" s="611" t="s">
        <v>74</v>
      </c>
      <c r="H917" s="307" t="s">
        <v>228</v>
      </c>
      <c r="I917" s="321">
        <v>0.2</v>
      </c>
      <c r="J917" s="321">
        <v>0.25</v>
      </c>
      <c r="K917" s="321">
        <v>0.25</v>
      </c>
      <c r="L917" s="321">
        <v>0.25</v>
      </c>
      <c r="M917" s="321">
        <v>0.25</v>
      </c>
      <c r="N917" s="321">
        <v>0.25</v>
      </c>
      <c r="O917" s="321">
        <v>0.25</v>
      </c>
      <c r="P917" s="321">
        <v>0.25</v>
      </c>
      <c r="Q917" s="321">
        <v>0.25</v>
      </c>
      <c r="R917" s="321">
        <v>0.25</v>
      </c>
      <c r="S917" s="321">
        <v>0.25</v>
      </c>
      <c r="T917" s="321">
        <v>0.25</v>
      </c>
      <c r="U917" s="321">
        <v>0.05</v>
      </c>
      <c r="V917" s="308">
        <f t="shared" si="84"/>
        <v>3</v>
      </c>
      <c r="W917" s="308">
        <v>4.91</v>
      </c>
      <c r="X917" s="308">
        <f t="shared" ref="X917:X928" si="86">W917*V917</f>
        <v>14.73</v>
      </c>
      <c r="Y917" s="322" t="s">
        <v>74</v>
      </c>
      <c r="Z917" s="575"/>
      <c r="AA917" s="567"/>
    </row>
    <row r="918" spans="1:27" s="318" customFormat="1" ht="15" customHeight="1" outlineLevel="1">
      <c r="A918" s="282">
        <v>914</v>
      </c>
      <c r="B918" s="282" t="s">
        <v>1</v>
      </c>
      <c r="C918" s="312" t="s">
        <v>1175</v>
      </c>
      <c r="D918" s="313" t="s">
        <v>1176</v>
      </c>
      <c r="E918" s="314" t="s">
        <v>1175</v>
      </c>
      <c r="F918" s="553" t="str">
        <f t="shared" si="85"/>
        <v>REALSerrote 40cm</v>
      </c>
      <c r="G918" s="609">
        <f>Y918</f>
        <v>0.33333333333333331</v>
      </c>
      <c r="H918" s="315" t="s">
        <v>228</v>
      </c>
      <c r="I918" s="323">
        <v>0.25</v>
      </c>
      <c r="J918" s="323">
        <v>0.25</v>
      </c>
      <c r="K918" s="323">
        <v>0.25</v>
      </c>
      <c r="L918" s="323">
        <v>0.25</v>
      </c>
      <c r="M918" s="323"/>
      <c r="N918" s="323"/>
      <c r="O918" s="323"/>
      <c r="P918" s="323"/>
      <c r="Q918" s="323"/>
      <c r="R918" s="323"/>
      <c r="S918" s="323"/>
      <c r="T918" s="323"/>
      <c r="U918" s="323"/>
      <c r="V918" s="316">
        <f t="shared" si="84"/>
        <v>1</v>
      </c>
      <c r="W918" s="316">
        <v>4.91</v>
      </c>
      <c r="X918" s="316">
        <f t="shared" si="86"/>
        <v>4.91</v>
      </c>
      <c r="Y918" s="322">
        <f>X918/X917</f>
        <v>0.33333333333333331</v>
      </c>
      <c r="Z918" s="572"/>
      <c r="AA918" s="567"/>
    </row>
    <row r="919" spans="1:27" s="311" customFormat="1" ht="15" customHeight="1" outlineLevel="1">
      <c r="A919" s="273">
        <v>915</v>
      </c>
      <c r="B919" s="273" t="s">
        <v>0</v>
      </c>
      <c r="C919" s="305" t="s">
        <v>1177</v>
      </c>
      <c r="D919" s="306" t="s">
        <v>1178</v>
      </c>
      <c r="E919" s="307" t="s">
        <v>1177</v>
      </c>
      <c r="F919" s="553" t="str">
        <f t="shared" si="85"/>
        <v>PREVTalhadeira de aço chato 10"</v>
      </c>
      <c r="G919" s="611" t="s">
        <v>74</v>
      </c>
      <c r="H919" s="307" t="s">
        <v>228</v>
      </c>
      <c r="I919" s="321">
        <v>0.46399999999999997</v>
      </c>
      <c r="J919" s="321">
        <v>0.57999999999999996</v>
      </c>
      <c r="K919" s="321">
        <v>0.57999999999999996</v>
      </c>
      <c r="L919" s="321">
        <v>0.57999999999999996</v>
      </c>
      <c r="M919" s="321">
        <v>0.57999999999999996</v>
      </c>
      <c r="N919" s="321">
        <v>0.57999999999999996</v>
      </c>
      <c r="O919" s="321">
        <v>0.57999999999999996</v>
      </c>
      <c r="P919" s="321">
        <v>0.57999999999999996</v>
      </c>
      <c r="Q919" s="321">
        <v>0.59</v>
      </c>
      <c r="R919" s="321">
        <v>0.59</v>
      </c>
      <c r="S919" s="321">
        <v>0.59</v>
      </c>
      <c r="T919" s="321">
        <v>0.59</v>
      </c>
      <c r="U919" s="321">
        <v>0.11799999999999999</v>
      </c>
      <c r="V919" s="308">
        <f t="shared" si="84"/>
        <v>7.0019999999999998</v>
      </c>
      <c r="W919" s="308">
        <v>9.36</v>
      </c>
      <c r="X919" s="308">
        <f t="shared" si="86"/>
        <v>65.538719999999998</v>
      </c>
      <c r="Y919" s="322" t="s">
        <v>74</v>
      </c>
      <c r="Z919" s="575"/>
      <c r="AA919" s="567"/>
    </row>
    <row r="920" spans="1:27" s="318" customFormat="1" ht="15" customHeight="1" outlineLevel="1">
      <c r="A920" s="282">
        <v>916</v>
      </c>
      <c r="B920" s="282" t="s">
        <v>1</v>
      </c>
      <c r="C920" s="312" t="s">
        <v>1177</v>
      </c>
      <c r="D920" s="313" t="s">
        <v>1178</v>
      </c>
      <c r="E920" s="314" t="s">
        <v>1177</v>
      </c>
      <c r="F920" s="553" t="str">
        <f t="shared" si="85"/>
        <v>REALTalhadeira de aço chato 10"</v>
      </c>
      <c r="G920" s="609">
        <f>Y920</f>
        <v>0.33323812244120726</v>
      </c>
      <c r="H920" s="315" t="s">
        <v>228</v>
      </c>
      <c r="I920" s="323">
        <v>0.58333333333333337</v>
      </c>
      <c r="J920" s="323">
        <v>0.58333333333333337</v>
      </c>
      <c r="K920" s="323">
        <v>0.58333333333333337</v>
      </c>
      <c r="L920" s="323">
        <v>0.58333333333333337</v>
      </c>
      <c r="M920" s="323"/>
      <c r="N920" s="323"/>
      <c r="O920" s="323"/>
      <c r="P920" s="323"/>
      <c r="Q920" s="323"/>
      <c r="R920" s="323"/>
      <c r="S920" s="323"/>
      <c r="T920" s="323"/>
      <c r="U920" s="323"/>
      <c r="V920" s="316">
        <f t="shared" si="84"/>
        <v>2.3333333333333335</v>
      </c>
      <c r="W920" s="316">
        <v>9.36</v>
      </c>
      <c r="X920" s="316">
        <f t="shared" si="86"/>
        <v>21.84</v>
      </c>
      <c r="Y920" s="322">
        <f>X920/X919</f>
        <v>0.33323812244120726</v>
      </c>
      <c r="Z920" s="572"/>
      <c r="AA920" s="567"/>
    </row>
    <row r="921" spans="1:27" s="311" customFormat="1" ht="15" customHeight="1" outlineLevel="1">
      <c r="A921" s="273">
        <v>917</v>
      </c>
      <c r="B921" s="273" t="s">
        <v>0</v>
      </c>
      <c r="C921" s="305" t="s">
        <v>1179</v>
      </c>
      <c r="D921" s="306" t="s">
        <v>1180</v>
      </c>
      <c r="E921" s="307" t="s">
        <v>1179</v>
      </c>
      <c r="F921" s="553" t="str">
        <f t="shared" si="85"/>
        <v>PREVTurquesa</v>
      </c>
      <c r="G921" s="611" t="s">
        <v>74</v>
      </c>
      <c r="H921" s="307" t="s">
        <v>228</v>
      </c>
      <c r="I921" s="321">
        <v>0.26400000000000001</v>
      </c>
      <c r="J921" s="321">
        <v>0.33</v>
      </c>
      <c r="K921" s="321">
        <v>0.33</v>
      </c>
      <c r="L921" s="321">
        <v>0.33</v>
      </c>
      <c r="M921" s="321">
        <v>0.33</v>
      </c>
      <c r="N921" s="321">
        <v>0.33</v>
      </c>
      <c r="O921" s="321">
        <v>0.33</v>
      </c>
      <c r="P921" s="321">
        <v>0.33</v>
      </c>
      <c r="Q921" s="321">
        <v>0.34</v>
      </c>
      <c r="R921" s="321">
        <v>0.34</v>
      </c>
      <c r="S921" s="321">
        <v>0.34</v>
      </c>
      <c r="T921" s="321">
        <v>0.34</v>
      </c>
      <c r="U921" s="321">
        <v>6.8000000000000005E-2</v>
      </c>
      <c r="V921" s="308">
        <f t="shared" si="84"/>
        <v>4.0019999999999998</v>
      </c>
      <c r="W921" s="308">
        <v>3.56</v>
      </c>
      <c r="X921" s="308">
        <f t="shared" si="86"/>
        <v>14.247119999999999</v>
      </c>
      <c r="Y921" s="322" t="s">
        <v>74</v>
      </c>
      <c r="Z921" s="575"/>
      <c r="AA921" s="567"/>
    </row>
    <row r="922" spans="1:27" s="318" customFormat="1" ht="15" customHeight="1" outlineLevel="1">
      <c r="A922" s="282">
        <v>918</v>
      </c>
      <c r="B922" s="282" t="s">
        <v>1</v>
      </c>
      <c r="C922" s="312" t="s">
        <v>1179</v>
      </c>
      <c r="D922" s="313" t="s">
        <v>1180</v>
      </c>
      <c r="E922" s="314" t="s">
        <v>1179</v>
      </c>
      <c r="F922" s="553" t="str">
        <f t="shared" si="85"/>
        <v>REALTurquesa</v>
      </c>
      <c r="G922" s="609">
        <f>Y922</f>
        <v>0.33316674995835416</v>
      </c>
      <c r="H922" s="315" t="s">
        <v>228</v>
      </c>
      <c r="I922" s="323">
        <v>0.33333333333333331</v>
      </c>
      <c r="J922" s="323">
        <v>0.33333333333333331</v>
      </c>
      <c r="K922" s="323">
        <v>0.33333333333333331</v>
      </c>
      <c r="L922" s="323">
        <v>0.33333333333333331</v>
      </c>
      <c r="M922" s="323"/>
      <c r="N922" s="323"/>
      <c r="O922" s="323"/>
      <c r="P922" s="323"/>
      <c r="Q922" s="323"/>
      <c r="R922" s="323"/>
      <c r="S922" s="323"/>
      <c r="T922" s="323"/>
      <c r="U922" s="323"/>
      <c r="V922" s="316">
        <f t="shared" si="84"/>
        <v>1.3333333333333333</v>
      </c>
      <c r="W922" s="316">
        <v>3.56</v>
      </c>
      <c r="X922" s="316">
        <f t="shared" si="86"/>
        <v>4.7466666666666661</v>
      </c>
      <c r="Y922" s="322">
        <f>X922/X921</f>
        <v>0.33316674995835416</v>
      </c>
      <c r="Z922" s="572"/>
      <c r="AA922" s="567"/>
    </row>
    <row r="923" spans="1:27" s="311" customFormat="1" ht="15" customHeight="1" outlineLevel="1">
      <c r="A923" s="273">
        <v>919</v>
      </c>
      <c r="B923" s="273" t="s">
        <v>0</v>
      </c>
      <c r="C923" s="305" t="s">
        <v>1181</v>
      </c>
      <c r="D923" s="306" t="s">
        <v>1182</v>
      </c>
      <c r="E923" s="307" t="s">
        <v>1181</v>
      </c>
      <c r="F923" s="553" t="str">
        <f t="shared" si="85"/>
        <v>PREVTrena Metálica 8 m</v>
      </c>
      <c r="G923" s="611" t="s">
        <v>74</v>
      </c>
      <c r="H923" s="307" t="s">
        <v>228</v>
      </c>
      <c r="I923" s="321">
        <v>0.46399999999999997</v>
      </c>
      <c r="J923" s="321">
        <v>0.57999999999999996</v>
      </c>
      <c r="K923" s="321">
        <v>0.57999999999999996</v>
      </c>
      <c r="L923" s="321">
        <v>0.57999999999999996</v>
      </c>
      <c r="M923" s="321">
        <v>0.57999999999999996</v>
      </c>
      <c r="N923" s="321">
        <v>0.57999999999999996</v>
      </c>
      <c r="O923" s="321">
        <v>0.57999999999999996</v>
      </c>
      <c r="P923" s="321">
        <v>0.57999999999999996</v>
      </c>
      <c r="Q923" s="321">
        <v>0.59</v>
      </c>
      <c r="R923" s="321">
        <v>0.59</v>
      </c>
      <c r="S923" s="321">
        <v>0.59</v>
      </c>
      <c r="T923" s="321">
        <v>0.59</v>
      </c>
      <c r="U923" s="321">
        <v>0.11799999999999999</v>
      </c>
      <c r="V923" s="308">
        <f t="shared" si="84"/>
        <v>7.0019999999999998</v>
      </c>
      <c r="W923" s="308">
        <v>10.02</v>
      </c>
      <c r="X923" s="308">
        <f t="shared" si="86"/>
        <v>70.160039999999995</v>
      </c>
      <c r="Y923" s="322" t="s">
        <v>74</v>
      </c>
      <c r="Z923" s="575"/>
      <c r="AA923" s="567"/>
    </row>
    <row r="924" spans="1:27" s="318" customFormat="1" ht="15" customHeight="1" outlineLevel="1">
      <c r="A924" s="282">
        <v>920</v>
      </c>
      <c r="B924" s="282" t="s">
        <v>1</v>
      </c>
      <c r="C924" s="312" t="s">
        <v>1181</v>
      </c>
      <c r="D924" s="313" t="s">
        <v>1182</v>
      </c>
      <c r="E924" s="314">
        <v>55954</v>
      </c>
      <c r="F924" s="553" t="str">
        <f t="shared" si="85"/>
        <v>REALTrena Metálica 8 m</v>
      </c>
      <c r="G924" s="609">
        <f>Y924</f>
        <v>0.33323812244120726</v>
      </c>
      <c r="H924" s="315" t="s">
        <v>228</v>
      </c>
      <c r="I924" s="323">
        <v>0.58333333333333337</v>
      </c>
      <c r="J924" s="323">
        <v>0.58333333333333337</v>
      </c>
      <c r="K924" s="323">
        <v>0.58333333333333337</v>
      </c>
      <c r="L924" s="323">
        <v>0.58333333333333337</v>
      </c>
      <c r="M924" s="323"/>
      <c r="N924" s="323"/>
      <c r="O924" s="323"/>
      <c r="P924" s="323"/>
      <c r="Q924" s="323"/>
      <c r="R924" s="323"/>
      <c r="S924" s="323"/>
      <c r="T924" s="323"/>
      <c r="U924" s="323"/>
      <c r="V924" s="316">
        <f t="shared" si="84"/>
        <v>2.3333333333333335</v>
      </c>
      <c r="W924" s="316">
        <v>10.02</v>
      </c>
      <c r="X924" s="316">
        <f t="shared" si="86"/>
        <v>23.38</v>
      </c>
      <c r="Y924" s="322">
        <f>X924/X923</f>
        <v>0.33323812244120726</v>
      </c>
      <c r="Z924" s="572"/>
      <c r="AA924" s="567"/>
    </row>
    <row r="925" spans="1:27" s="311" customFormat="1" ht="15" customHeight="1" outlineLevel="1">
      <c r="A925" s="273">
        <v>921</v>
      </c>
      <c r="B925" s="273" t="s">
        <v>0</v>
      </c>
      <c r="C925" s="305" t="s">
        <v>1183</v>
      </c>
      <c r="D925" s="306" t="s">
        <v>1184</v>
      </c>
      <c r="E925" s="307" t="s">
        <v>1183</v>
      </c>
      <c r="F925" s="553" t="str">
        <f t="shared" si="85"/>
        <v>PREVTrena de Fita 20m</v>
      </c>
      <c r="G925" s="611" t="s">
        <v>74</v>
      </c>
      <c r="H925" s="307" t="s">
        <v>228</v>
      </c>
      <c r="I925" s="321">
        <v>6.4000000000000001E-2</v>
      </c>
      <c r="J925" s="321">
        <v>0.08</v>
      </c>
      <c r="K925" s="321">
        <v>0.08</v>
      </c>
      <c r="L925" s="321">
        <v>0.08</v>
      </c>
      <c r="M925" s="321">
        <v>0.08</v>
      </c>
      <c r="N925" s="321">
        <v>0.08</v>
      </c>
      <c r="O925" s="321">
        <v>0.08</v>
      </c>
      <c r="P925" s="321">
        <v>0.08</v>
      </c>
      <c r="Q925" s="321">
        <v>0.09</v>
      </c>
      <c r="R925" s="321">
        <v>0.09</v>
      </c>
      <c r="S925" s="321">
        <v>0.09</v>
      </c>
      <c r="T925" s="321">
        <v>0.09</v>
      </c>
      <c r="U925" s="321">
        <v>1.7999999999999999E-2</v>
      </c>
      <c r="V925" s="465">
        <v>1</v>
      </c>
      <c r="W925" s="308">
        <v>4.91</v>
      </c>
      <c r="X925" s="308">
        <f t="shared" si="86"/>
        <v>4.91</v>
      </c>
      <c r="Y925" s="322" t="s">
        <v>74</v>
      </c>
      <c r="Z925" s="575"/>
      <c r="AA925" s="567"/>
    </row>
    <row r="926" spans="1:27" s="318" customFormat="1" ht="15" customHeight="1" outlineLevel="1">
      <c r="A926" s="282">
        <v>922</v>
      </c>
      <c r="B926" s="282" t="s">
        <v>1</v>
      </c>
      <c r="C926" s="312" t="s">
        <v>1183</v>
      </c>
      <c r="D926" s="313" t="s">
        <v>1184</v>
      </c>
      <c r="E926" s="314">
        <v>56319</v>
      </c>
      <c r="F926" s="553" t="str">
        <f t="shared" si="85"/>
        <v>REALTrena de Fita 20m</v>
      </c>
      <c r="G926" s="609">
        <f>Y926</f>
        <v>0.33333333333333331</v>
      </c>
      <c r="H926" s="315" t="s">
        <v>228</v>
      </c>
      <c r="I926" s="323">
        <v>8.3333333333333329E-2</v>
      </c>
      <c r="J926" s="323">
        <v>8.3333333333333329E-2</v>
      </c>
      <c r="K926" s="323">
        <v>8.3333333333333329E-2</v>
      </c>
      <c r="L926" s="323">
        <v>8.3333333333333329E-2</v>
      </c>
      <c r="M926" s="323"/>
      <c r="N926" s="323"/>
      <c r="O926" s="323"/>
      <c r="P926" s="323"/>
      <c r="Q926" s="323"/>
      <c r="R926" s="323"/>
      <c r="S926" s="323"/>
      <c r="T926" s="323"/>
      <c r="U926" s="323"/>
      <c r="V926" s="316">
        <f>SUM(I926:U926)</f>
        <v>0.33333333333333331</v>
      </c>
      <c r="W926" s="316">
        <v>4.91</v>
      </c>
      <c r="X926" s="316">
        <f t="shared" si="86"/>
        <v>1.6366666666666667</v>
      </c>
      <c r="Y926" s="322">
        <f>X926/X925</f>
        <v>0.33333333333333331</v>
      </c>
      <c r="Z926" s="572"/>
      <c r="AA926" s="567"/>
    </row>
    <row r="927" spans="1:27" s="311" customFormat="1" ht="15" customHeight="1" outlineLevel="1">
      <c r="A927" s="273">
        <v>923</v>
      </c>
      <c r="B927" s="273" t="s">
        <v>0</v>
      </c>
      <c r="C927" s="305" t="s">
        <v>1185</v>
      </c>
      <c r="D927" s="306" t="s">
        <v>1186</v>
      </c>
      <c r="E927" s="307" t="s">
        <v>1185</v>
      </c>
      <c r="F927" s="553" t="str">
        <f t="shared" si="85"/>
        <v>PREVTrena de Fita 50m</v>
      </c>
      <c r="G927" s="611" t="s">
        <v>74</v>
      </c>
      <c r="H927" s="307" t="s">
        <v>228</v>
      </c>
      <c r="I927" s="321">
        <v>6.4000000000000001E-2</v>
      </c>
      <c r="J927" s="321">
        <v>0.08</v>
      </c>
      <c r="K927" s="321">
        <v>0.08</v>
      </c>
      <c r="L927" s="321">
        <v>0.08</v>
      </c>
      <c r="M927" s="321">
        <v>0.08</v>
      </c>
      <c r="N927" s="321">
        <v>0.08</v>
      </c>
      <c r="O927" s="321">
        <v>0.08</v>
      </c>
      <c r="P927" s="321">
        <v>0.08</v>
      </c>
      <c r="Q927" s="321">
        <v>0.09</v>
      </c>
      <c r="R927" s="321">
        <v>0.09</v>
      </c>
      <c r="S927" s="321">
        <v>0.09</v>
      </c>
      <c r="T927" s="321">
        <v>0.09</v>
      </c>
      <c r="U927" s="321">
        <v>1.7999999999999999E-2</v>
      </c>
      <c r="V927" s="308">
        <f>SUM(I927:U927)</f>
        <v>1.0019999999999998</v>
      </c>
      <c r="W927" s="308">
        <v>7.14</v>
      </c>
      <c r="X927" s="308">
        <f t="shared" si="86"/>
        <v>7.1542799999999982</v>
      </c>
      <c r="Y927" s="322" t="s">
        <v>74</v>
      </c>
      <c r="Z927" s="575"/>
      <c r="AA927" s="567"/>
    </row>
    <row r="928" spans="1:27" s="318" customFormat="1" ht="15" customHeight="1" outlineLevel="1">
      <c r="A928" s="282">
        <v>924</v>
      </c>
      <c r="B928" s="282" t="s">
        <v>1</v>
      </c>
      <c r="C928" s="312" t="s">
        <v>1185</v>
      </c>
      <c r="D928" s="313" t="s">
        <v>1186</v>
      </c>
      <c r="E928" s="314">
        <v>56684</v>
      </c>
      <c r="F928" s="553" t="str">
        <f t="shared" si="85"/>
        <v>REALTrena de Fita 50m</v>
      </c>
      <c r="G928" s="609">
        <f>Y928</f>
        <v>0.3326679973386561</v>
      </c>
      <c r="H928" s="315" t="s">
        <v>228</v>
      </c>
      <c r="I928" s="323">
        <v>8.3333333333333329E-2</v>
      </c>
      <c r="J928" s="323">
        <v>8.3333333333333329E-2</v>
      </c>
      <c r="K928" s="323">
        <v>8.3333333333333329E-2</v>
      </c>
      <c r="L928" s="323">
        <v>8.3333333333333329E-2</v>
      </c>
      <c r="M928" s="323"/>
      <c r="N928" s="323"/>
      <c r="O928" s="323"/>
      <c r="P928" s="323"/>
      <c r="Q928" s="323"/>
      <c r="R928" s="323"/>
      <c r="S928" s="323"/>
      <c r="T928" s="323"/>
      <c r="U928" s="323"/>
      <c r="V928" s="316">
        <f>SUM(I928:U928)</f>
        <v>0.33333333333333331</v>
      </c>
      <c r="W928" s="316">
        <v>7.14</v>
      </c>
      <c r="X928" s="316">
        <f t="shared" si="86"/>
        <v>2.38</v>
      </c>
      <c r="Y928" s="322">
        <f>X928/X927</f>
        <v>0.3326679973386561</v>
      </c>
      <c r="Z928" s="572"/>
      <c r="AA928" s="567"/>
    </row>
    <row r="929" spans="1:27" s="311" customFormat="1" ht="15" customHeight="1">
      <c r="A929" s="273">
        <v>925</v>
      </c>
      <c r="B929" s="273" t="s">
        <v>0</v>
      </c>
      <c r="C929" s="289" t="s">
        <v>1187</v>
      </c>
      <c r="D929" s="289" t="s">
        <v>313</v>
      </c>
      <c r="E929" s="291" t="s">
        <v>1187</v>
      </c>
      <c r="F929" s="291"/>
      <c r="G929" s="610"/>
      <c r="H929" s="292"/>
      <c r="I929" s="396"/>
      <c r="J929" s="396"/>
      <c r="K929" s="396"/>
      <c r="L929" s="396"/>
      <c r="M929" s="396"/>
      <c r="N929" s="396"/>
      <c r="O929" s="396"/>
      <c r="P929" s="396"/>
      <c r="Q929" s="396"/>
      <c r="R929" s="396"/>
      <c r="S929" s="396"/>
      <c r="T929" s="396"/>
      <c r="U929" s="396"/>
      <c r="V929" s="319"/>
      <c r="W929" s="319"/>
      <c r="X929" s="370">
        <f>SUMIF(B931:B932,B929,X931:X932)</f>
        <v>270788.7</v>
      </c>
      <c r="Y929" s="295" t="s">
        <v>74</v>
      </c>
      <c r="Z929" s="578"/>
      <c r="AA929" s="567"/>
    </row>
    <row r="930" spans="1:27" s="318" customFormat="1" ht="15" customHeight="1">
      <c r="A930" s="282">
        <v>926</v>
      </c>
      <c r="B930" s="282" t="s">
        <v>1</v>
      </c>
      <c r="C930" s="297" t="s">
        <v>1187</v>
      </c>
      <c r="D930" s="297" t="s">
        <v>313</v>
      </c>
      <c r="E930" s="320" t="s">
        <v>1187</v>
      </c>
      <c r="F930" s="320"/>
      <c r="G930" s="612"/>
      <c r="H930" s="300"/>
      <c r="I930" s="397"/>
      <c r="J930" s="397"/>
      <c r="K930" s="397"/>
      <c r="L930" s="397"/>
      <c r="M930" s="397"/>
      <c r="N930" s="397"/>
      <c r="O930" s="397"/>
      <c r="P930" s="397"/>
      <c r="Q930" s="397"/>
      <c r="R930" s="397"/>
      <c r="S930" s="397"/>
      <c r="T930" s="397"/>
      <c r="U930" s="397"/>
      <c r="V930" s="302">
        <f>SUM(I930:U930)</f>
        <v>0</v>
      </c>
      <c r="W930" s="302">
        <v>0</v>
      </c>
      <c r="X930" s="303">
        <f>SUMIF(B931:B932,B930,X931:X932)</f>
        <v>0</v>
      </c>
      <c r="Y930" s="295">
        <f>X930/X929</f>
        <v>0</v>
      </c>
      <c r="Z930" s="571"/>
      <c r="AA930" s="567"/>
    </row>
    <row r="931" spans="1:27" s="311" customFormat="1" ht="15" customHeight="1">
      <c r="A931" s="273">
        <v>927</v>
      </c>
      <c r="B931" s="273" t="s">
        <v>0</v>
      </c>
      <c r="C931" s="305" t="s">
        <v>1188</v>
      </c>
      <c r="D931" s="306" t="s">
        <v>239</v>
      </c>
      <c r="E931" s="307" t="s">
        <v>1188</v>
      </c>
      <c r="F931" s="553" t="str">
        <f>B931&amp;D931</f>
        <v>PREVTransporte de componentes e equipamentos de elétrica</v>
      </c>
      <c r="G931" s="611" t="s">
        <v>74</v>
      </c>
      <c r="H931" s="307" t="s">
        <v>314</v>
      </c>
      <c r="I931" s="384">
        <v>25789.4</v>
      </c>
      <c r="J931" s="384">
        <v>32236.75</v>
      </c>
      <c r="K931" s="384">
        <v>32236.75</v>
      </c>
      <c r="L931" s="384">
        <v>32236.75</v>
      </c>
      <c r="M931" s="384">
        <v>32236.75</v>
      </c>
      <c r="N931" s="384">
        <v>32236.75</v>
      </c>
      <c r="O931" s="384">
        <v>32236.75</v>
      </c>
      <c r="P931" s="384">
        <v>32236.75</v>
      </c>
      <c r="Q931" s="384">
        <v>32236.75</v>
      </c>
      <c r="R931" s="384">
        <v>32236.75</v>
      </c>
      <c r="S931" s="384">
        <v>32236.75</v>
      </c>
      <c r="T931" s="384">
        <v>32236.75</v>
      </c>
      <c r="U931" s="384">
        <v>6447.35</v>
      </c>
      <c r="V931" s="308">
        <f>SUM(I931:U931)</f>
        <v>386841</v>
      </c>
      <c r="W931" s="308">
        <v>0.7</v>
      </c>
      <c r="X931" s="308">
        <f>W931*V931</f>
        <v>270788.7</v>
      </c>
      <c r="Y931" s="322" t="s">
        <v>74</v>
      </c>
      <c r="Z931" s="575"/>
      <c r="AA931" s="567"/>
    </row>
    <row r="932" spans="1:27" s="318" customFormat="1" ht="15" customHeight="1">
      <c r="A932" s="282">
        <v>928</v>
      </c>
      <c r="B932" s="282" t="s">
        <v>1</v>
      </c>
      <c r="C932" s="312" t="s">
        <v>1188</v>
      </c>
      <c r="D932" s="313" t="s">
        <v>239</v>
      </c>
      <c r="E932" s="314" t="s">
        <v>1188</v>
      </c>
      <c r="F932" s="553" t="str">
        <f>B932&amp;D932</f>
        <v>REALTransporte de componentes e equipamentos de elétrica</v>
      </c>
      <c r="G932" s="609">
        <f>Y932</f>
        <v>0</v>
      </c>
      <c r="H932" s="315" t="s">
        <v>314</v>
      </c>
      <c r="I932" s="323">
        <v>0</v>
      </c>
      <c r="J932" s="323">
        <v>0</v>
      </c>
      <c r="K932" s="323">
        <v>0</v>
      </c>
      <c r="L932" s="323">
        <v>0</v>
      </c>
      <c r="M932" s="323"/>
      <c r="N932" s="323"/>
      <c r="O932" s="323"/>
      <c r="P932" s="323"/>
      <c r="Q932" s="323"/>
      <c r="R932" s="323"/>
      <c r="S932" s="323"/>
      <c r="T932" s="323"/>
      <c r="U932" s="323"/>
      <c r="V932" s="316">
        <f>SUM(I932:U932)</f>
        <v>0</v>
      </c>
      <c r="W932" s="316">
        <v>0.7</v>
      </c>
      <c r="X932" s="316">
        <f>W932*V932</f>
        <v>0</v>
      </c>
      <c r="Y932" s="322">
        <f>X932/X931</f>
        <v>0</v>
      </c>
      <c r="Z932" s="572"/>
      <c r="AA932" s="567"/>
    </row>
    <row r="933" spans="1:27" s="311" customFormat="1" ht="15" customHeight="1">
      <c r="A933" s="273">
        <v>929</v>
      </c>
      <c r="B933" s="273" t="s">
        <v>0</v>
      </c>
      <c r="C933" s="289" t="s">
        <v>1189</v>
      </c>
      <c r="D933" s="289" t="s">
        <v>1190</v>
      </c>
      <c r="E933" s="291" t="s">
        <v>1189</v>
      </c>
      <c r="F933" s="291"/>
      <c r="G933" s="610"/>
      <c r="H933" s="292"/>
      <c r="I933" s="396"/>
      <c r="J933" s="396"/>
      <c r="K933" s="396"/>
      <c r="L933" s="396"/>
      <c r="M933" s="396"/>
      <c r="N933" s="396"/>
      <c r="O933" s="396"/>
      <c r="P933" s="396"/>
      <c r="Q933" s="396"/>
      <c r="R933" s="396"/>
      <c r="S933" s="396"/>
      <c r="T933" s="396"/>
      <c r="U933" s="396"/>
      <c r="V933" s="319"/>
      <c r="W933" s="319"/>
      <c r="X933" s="370">
        <f>SUMIF(B935:B938,B933,X935:X938)</f>
        <v>16308.35</v>
      </c>
      <c r="Y933" s="295" t="s">
        <v>74</v>
      </c>
      <c r="Z933" s="578"/>
      <c r="AA933" s="567"/>
    </row>
    <row r="934" spans="1:27" s="318" customFormat="1" ht="15" customHeight="1">
      <c r="A934" s="282">
        <v>930</v>
      </c>
      <c r="B934" s="282" t="s">
        <v>1</v>
      </c>
      <c r="C934" s="297" t="s">
        <v>1189</v>
      </c>
      <c r="D934" s="297" t="s">
        <v>1190</v>
      </c>
      <c r="E934" s="320" t="s">
        <v>1189</v>
      </c>
      <c r="F934" s="320"/>
      <c r="G934" s="612"/>
      <c r="H934" s="300"/>
      <c r="I934" s="397"/>
      <c r="J934" s="397"/>
      <c r="K934" s="397"/>
      <c r="L934" s="397"/>
      <c r="M934" s="397"/>
      <c r="N934" s="397"/>
      <c r="O934" s="397"/>
      <c r="P934" s="397"/>
      <c r="Q934" s="397"/>
      <c r="R934" s="397"/>
      <c r="S934" s="397"/>
      <c r="T934" s="397"/>
      <c r="U934" s="397"/>
      <c r="V934" s="302">
        <f>SUM(I934:U934)</f>
        <v>0</v>
      </c>
      <c r="W934" s="302">
        <v>0</v>
      </c>
      <c r="X934" s="303">
        <f>SUMIF(B935:B938,B934,X935:X938)</f>
        <v>8154.1750000000002</v>
      </c>
      <c r="Y934" s="295">
        <f>X934/X933</f>
        <v>0.5</v>
      </c>
      <c r="Z934" s="571"/>
      <c r="AA934" s="567"/>
    </row>
    <row r="935" spans="1:27" s="311" customFormat="1" ht="15" customHeight="1">
      <c r="A935" s="273">
        <v>931</v>
      </c>
      <c r="B935" s="273" t="s">
        <v>0</v>
      </c>
      <c r="C935" s="305" t="s">
        <v>1191</v>
      </c>
      <c r="D935" s="306" t="s">
        <v>1192</v>
      </c>
      <c r="E935" s="307" t="s">
        <v>1191</v>
      </c>
      <c r="F935" s="553" t="str">
        <f>B935&amp;D935</f>
        <v>PREVMobilização e Desmobilização dos equipamentos ‐ eixo norte</v>
      </c>
      <c r="G935" s="611" t="s">
        <v>74</v>
      </c>
      <c r="H935" s="307" t="s">
        <v>228</v>
      </c>
      <c r="I935" s="321">
        <v>0.5</v>
      </c>
      <c r="J935" s="321"/>
      <c r="K935" s="321"/>
      <c r="L935" s="321"/>
      <c r="M935" s="321"/>
      <c r="N935" s="321"/>
      <c r="O935" s="321"/>
      <c r="P935" s="321"/>
      <c r="Q935" s="321"/>
      <c r="R935" s="321"/>
      <c r="S935" s="321"/>
      <c r="T935" s="321"/>
      <c r="U935" s="321">
        <v>0.5</v>
      </c>
      <c r="V935" s="308">
        <f>SUM(I935:U935)</f>
        <v>1</v>
      </c>
      <c r="W935" s="308">
        <v>9854.1200000000008</v>
      </c>
      <c r="X935" s="308">
        <f>W935*V935</f>
        <v>9854.1200000000008</v>
      </c>
      <c r="Y935" s="322" t="s">
        <v>74</v>
      </c>
      <c r="Z935" s="575"/>
      <c r="AA935" s="567"/>
    </row>
    <row r="936" spans="1:27" s="318" customFormat="1" ht="15" customHeight="1">
      <c r="A936" s="282">
        <v>932</v>
      </c>
      <c r="B936" s="282" t="s">
        <v>1</v>
      </c>
      <c r="C936" s="312" t="s">
        <v>1191</v>
      </c>
      <c r="D936" s="313" t="s">
        <v>1192</v>
      </c>
      <c r="E936" s="314" t="s">
        <v>1191</v>
      </c>
      <c r="F936" s="553" t="str">
        <f>B936&amp;D936</f>
        <v>REALMobilização e Desmobilização dos equipamentos ‐ eixo norte</v>
      </c>
      <c r="G936" s="609">
        <f>Y936</f>
        <v>0.5</v>
      </c>
      <c r="H936" s="315" t="s">
        <v>228</v>
      </c>
      <c r="I936" s="323">
        <v>0.5</v>
      </c>
      <c r="J936" s="323">
        <v>0</v>
      </c>
      <c r="K936" s="323">
        <v>0</v>
      </c>
      <c r="L936" s="323">
        <v>0</v>
      </c>
      <c r="M936" s="323"/>
      <c r="N936" s="323"/>
      <c r="O936" s="323"/>
      <c r="P936" s="323"/>
      <c r="Q936" s="323"/>
      <c r="R936" s="323"/>
      <c r="S936" s="323"/>
      <c r="T936" s="323"/>
      <c r="U936" s="323"/>
      <c r="V936" s="316">
        <f>SUM(I936:U936)</f>
        <v>0.5</v>
      </c>
      <c r="W936" s="316">
        <v>9854.1200000000008</v>
      </c>
      <c r="X936" s="316">
        <f>W936*V936</f>
        <v>4927.0600000000004</v>
      </c>
      <c r="Y936" s="322">
        <f>X936/X935</f>
        <v>0.5</v>
      </c>
      <c r="Z936" s="572"/>
      <c r="AA936" s="567"/>
    </row>
    <row r="937" spans="1:27" s="311" customFormat="1" ht="15" customHeight="1">
      <c r="A937" s="273">
        <v>933</v>
      </c>
      <c r="B937" s="273" t="s">
        <v>0</v>
      </c>
      <c r="C937" s="305" t="s">
        <v>1193</v>
      </c>
      <c r="D937" s="306" t="s">
        <v>1194</v>
      </c>
      <c r="E937" s="307" t="s">
        <v>1193</v>
      </c>
      <c r="F937" s="553" t="str">
        <f>B937&amp;D937</f>
        <v>PREVMobilização e Desmobilização dos equipamentos ‐ eixo leste</v>
      </c>
      <c r="G937" s="611" t="s">
        <v>74</v>
      </c>
      <c r="H937" s="307" t="s">
        <v>228</v>
      </c>
      <c r="I937" s="321">
        <v>0.5</v>
      </c>
      <c r="J937" s="321"/>
      <c r="K937" s="321"/>
      <c r="L937" s="321"/>
      <c r="M937" s="321"/>
      <c r="N937" s="321"/>
      <c r="O937" s="321"/>
      <c r="P937" s="321"/>
      <c r="Q937" s="321"/>
      <c r="R937" s="321"/>
      <c r="S937" s="321"/>
      <c r="T937" s="321"/>
      <c r="U937" s="321">
        <v>0.5</v>
      </c>
      <c r="V937" s="308">
        <f>SUM(I937:U937)</f>
        <v>1</v>
      </c>
      <c r="W937" s="308">
        <v>6454.23</v>
      </c>
      <c r="X937" s="308">
        <v>6454.23</v>
      </c>
      <c r="Y937" s="322" t="s">
        <v>74</v>
      </c>
      <c r="Z937" s="575"/>
      <c r="AA937" s="567"/>
    </row>
    <row r="938" spans="1:27" s="318" customFormat="1" ht="15" customHeight="1">
      <c r="A938" s="282">
        <v>934</v>
      </c>
      <c r="B938" s="282" t="s">
        <v>1</v>
      </c>
      <c r="C938" s="312" t="s">
        <v>1193</v>
      </c>
      <c r="D938" s="313" t="s">
        <v>1194</v>
      </c>
      <c r="E938" s="314" t="s">
        <v>1193</v>
      </c>
      <c r="F938" s="553" t="str">
        <f>B938&amp;D938</f>
        <v>REALMobilização e Desmobilização dos equipamentos ‐ eixo leste</v>
      </c>
      <c r="G938" s="609">
        <f>Y938</f>
        <v>0.5</v>
      </c>
      <c r="H938" s="315" t="s">
        <v>228</v>
      </c>
      <c r="I938" s="323">
        <v>0.5</v>
      </c>
      <c r="J938" s="323">
        <v>0</v>
      </c>
      <c r="K938" s="323">
        <v>0</v>
      </c>
      <c r="L938" s="323">
        <v>0</v>
      </c>
      <c r="M938" s="323"/>
      <c r="N938" s="323"/>
      <c r="O938" s="323"/>
      <c r="P938" s="323"/>
      <c r="Q938" s="323"/>
      <c r="R938" s="323"/>
      <c r="S938" s="323"/>
      <c r="T938" s="323"/>
      <c r="U938" s="323"/>
      <c r="V938" s="316">
        <f>SUM(I938:U938)</f>
        <v>0.5</v>
      </c>
      <c r="W938" s="316">
        <v>6454.23</v>
      </c>
      <c r="X938" s="316">
        <f>W938*V938</f>
        <v>3227.1149999999998</v>
      </c>
      <c r="Y938" s="322">
        <f>X938/X937</f>
        <v>0.5</v>
      </c>
      <c r="Z938" s="572"/>
      <c r="AA938" s="567"/>
    </row>
    <row r="939" spans="1:27" s="311" customFormat="1" ht="15" customHeight="1">
      <c r="A939" s="273">
        <v>935</v>
      </c>
      <c r="B939" s="273" t="s">
        <v>0</v>
      </c>
      <c r="C939" s="351" t="s">
        <v>1195</v>
      </c>
      <c r="D939" s="352"/>
      <c r="E939" s="353"/>
      <c r="F939" s="354"/>
      <c r="G939" s="615"/>
      <c r="H939" s="354"/>
      <c r="I939" s="356"/>
      <c r="J939" s="356"/>
      <c r="K939" s="356"/>
      <c r="L939" s="356"/>
      <c r="M939" s="356"/>
      <c r="N939" s="356"/>
      <c r="O939" s="356"/>
      <c r="P939" s="356"/>
      <c r="Q939" s="356"/>
      <c r="R939" s="356"/>
      <c r="S939" s="356"/>
      <c r="T939" s="356"/>
      <c r="U939" s="356"/>
      <c r="V939" s="355"/>
      <c r="W939" s="357"/>
      <c r="X939" s="358"/>
      <c r="Y939" s="322"/>
      <c r="Z939" s="570"/>
      <c r="AA939" s="567"/>
    </row>
    <row r="940" spans="1:27" s="318" customFormat="1" ht="15" customHeight="1">
      <c r="A940" s="282">
        <v>936</v>
      </c>
      <c r="B940" s="282" t="s">
        <v>1</v>
      </c>
      <c r="C940" s="359" t="s">
        <v>1195</v>
      </c>
      <c r="D940" s="360"/>
      <c r="E940" s="361"/>
      <c r="F940" s="552"/>
      <c r="G940" s="616"/>
      <c r="H940" s="362"/>
      <c r="I940" s="364"/>
      <c r="J940" s="364"/>
      <c r="K940" s="364"/>
      <c r="L940" s="364"/>
      <c r="M940" s="364"/>
      <c r="N940" s="364"/>
      <c r="O940" s="364"/>
      <c r="P940" s="364"/>
      <c r="Q940" s="364"/>
      <c r="R940" s="364"/>
      <c r="S940" s="364"/>
      <c r="T940" s="364"/>
      <c r="U940" s="364"/>
      <c r="V940" s="363"/>
      <c r="W940" s="365"/>
      <c r="X940" s="366"/>
      <c r="Y940" s="322"/>
      <c r="Z940" s="576"/>
      <c r="AA940" s="567"/>
    </row>
    <row r="941" spans="1:27" s="311" customFormat="1" ht="15" customHeight="1">
      <c r="A941" s="273">
        <v>937</v>
      </c>
      <c r="B941" s="273" t="s">
        <v>0</v>
      </c>
      <c r="C941" s="289"/>
      <c r="D941" s="289" t="s">
        <v>36</v>
      </c>
      <c r="E941" s="291"/>
      <c r="F941" s="291"/>
      <c r="G941" s="610"/>
      <c r="H941" s="292"/>
      <c r="I941" s="396"/>
      <c r="J941" s="396"/>
      <c r="K941" s="396"/>
      <c r="L941" s="396"/>
      <c r="M941" s="396"/>
      <c r="N941" s="396"/>
      <c r="O941" s="396"/>
      <c r="P941" s="396"/>
      <c r="Q941" s="396"/>
      <c r="R941" s="396"/>
      <c r="S941" s="396"/>
      <c r="T941" s="396"/>
      <c r="U941" s="396"/>
      <c r="V941" s="293"/>
      <c r="W941" s="293"/>
      <c r="X941" s="370"/>
      <c r="Y941" s="295"/>
      <c r="Z941" s="578"/>
      <c r="AA941" s="567"/>
    </row>
    <row r="942" spans="1:27" s="311" customFormat="1" ht="15" customHeight="1">
      <c r="A942" s="282">
        <v>938</v>
      </c>
      <c r="B942" s="273" t="s">
        <v>0</v>
      </c>
      <c r="C942" s="289"/>
      <c r="D942" s="289" t="s">
        <v>254</v>
      </c>
      <c r="E942" s="291"/>
      <c r="F942" s="291"/>
      <c r="G942" s="610"/>
      <c r="H942" s="292" t="s">
        <v>329</v>
      </c>
      <c r="I942" s="396">
        <v>6.6666666666666666E-2</v>
      </c>
      <c r="J942" s="396">
        <v>8.3333333333333329E-2</v>
      </c>
      <c r="K942" s="396">
        <v>8.3333333333333329E-2</v>
      </c>
      <c r="L942" s="396">
        <v>8.3333333333333329E-2</v>
      </c>
      <c r="M942" s="396">
        <v>8.3333333333333329E-2</v>
      </c>
      <c r="N942" s="396">
        <v>8.3333333333333329E-2</v>
      </c>
      <c r="O942" s="396">
        <v>8.3333333333333329E-2</v>
      </c>
      <c r="P942" s="396">
        <v>8.3333333333333329E-2</v>
      </c>
      <c r="Q942" s="396">
        <v>8.3333333333333329E-2</v>
      </c>
      <c r="R942" s="396">
        <v>8.3333333333333329E-2</v>
      </c>
      <c r="S942" s="396">
        <v>8.3333333333333329E-2</v>
      </c>
      <c r="T942" s="396">
        <v>8.3333333333333329E-2</v>
      </c>
      <c r="U942" s="396">
        <v>1.6666666666666666E-2</v>
      </c>
      <c r="V942" s="293">
        <f>SUM(I942:U942)</f>
        <v>1.0000000000000002</v>
      </c>
      <c r="W942" s="293">
        <v>337157.91</v>
      </c>
      <c r="X942" s="370">
        <f>W942*V942</f>
        <v>337157.91000000003</v>
      </c>
      <c r="Y942" s="295" t="s">
        <v>74</v>
      </c>
      <c r="Z942" s="578"/>
      <c r="AA942" s="567"/>
    </row>
    <row r="943" spans="1:27" s="318" customFormat="1" ht="15" customHeight="1">
      <c r="A943" s="273">
        <v>939</v>
      </c>
      <c r="B943" s="282" t="s">
        <v>1</v>
      </c>
      <c r="C943" s="297"/>
      <c r="D943" s="297" t="s">
        <v>254</v>
      </c>
      <c r="E943" s="320"/>
      <c r="F943" s="320"/>
      <c r="G943" s="612"/>
      <c r="H943" s="300" t="s">
        <v>329</v>
      </c>
      <c r="I943" s="424"/>
      <c r="J943" s="424"/>
      <c r="K943" s="424"/>
      <c r="L943" s="424"/>
      <c r="M943" s="424"/>
      <c r="N943" s="399"/>
      <c r="O943" s="399"/>
      <c r="P943" s="399"/>
      <c r="Q943" s="399"/>
      <c r="R943" s="399"/>
      <c r="S943" s="399"/>
      <c r="T943" s="399"/>
      <c r="U943" s="399"/>
      <c r="V943" s="301">
        <f>SUM(I943:U943)</f>
        <v>0</v>
      </c>
      <c r="W943" s="301">
        <v>337157.91</v>
      </c>
      <c r="X943" s="303">
        <f>W943*V943</f>
        <v>0</v>
      </c>
      <c r="Y943" s="295">
        <f>X943/X942</f>
        <v>0</v>
      </c>
      <c r="Z943" s="571"/>
      <c r="AA943" s="567"/>
    </row>
    <row r="944" spans="1:27" ht="24.95" customHeight="1">
      <c r="A944" s="282">
        <v>940</v>
      </c>
      <c r="B944" s="4" t="s">
        <v>0</v>
      </c>
      <c r="C944" s="385" t="s">
        <v>1196</v>
      </c>
      <c r="D944" s="215"/>
      <c r="E944" s="215"/>
      <c r="F944" s="215"/>
      <c r="G944" s="619"/>
      <c r="H944" s="234"/>
      <c r="I944" s="400"/>
      <c r="J944" s="400"/>
      <c r="K944" s="400"/>
      <c r="L944" s="400"/>
      <c r="M944" s="400"/>
      <c r="N944" s="400"/>
      <c r="O944" s="400"/>
      <c r="P944" s="400"/>
      <c r="Q944" s="400"/>
      <c r="R944" s="400"/>
      <c r="S944" s="400"/>
      <c r="T944" s="400"/>
      <c r="U944" s="400"/>
      <c r="V944" s="189"/>
      <c r="W944" s="189"/>
      <c r="X944" s="220">
        <f>X933+X929+X819+X743+X705+X663+X437+X219+X187+X157+X143+X133+X123+X109+X101+X81+X69+X19+X7</f>
        <v>10077146.460046668</v>
      </c>
      <c r="Y944" s="191" t="s">
        <v>74</v>
      </c>
      <c r="Z944" s="233"/>
      <c r="AA944" s="266"/>
    </row>
    <row r="945" spans="1:27" s="31" customFormat="1" ht="24.95" customHeight="1">
      <c r="A945" s="273">
        <v>941</v>
      </c>
      <c r="B945" s="144" t="s">
        <v>1</v>
      </c>
      <c r="C945" s="386" t="s">
        <v>1196</v>
      </c>
      <c r="D945" s="218"/>
      <c r="E945" s="235"/>
      <c r="F945" s="235"/>
      <c r="G945" s="620"/>
      <c r="H945" s="235"/>
      <c r="I945" s="401"/>
      <c r="J945" s="401"/>
      <c r="K945" s="401"/>
      <c r="L945" s="401"/>
      <c r="M945" s="401"/>
      <c r="N945" s="401"/>
      <c r="O945" s="401"/>
      <c r="P945" s="401"/>
      <c r="Q945" s="401"/>
      <c r="R945" s="401"/>
      <c r="S945" s="401"/>
      <c r="T945" s="401"/>
      <c r="U945" s="401"/>
      <c r="V945" s="197"/>
      <c r="W945" s="197"/>
      <c r="X945" s="220">
        <f>X934+X930+X820+X744+X706+X664+X438+X220+X188+X158+X144+X134+X124+X110+X102+X82+X70+X20+X8</f>
        <v>2677626.1405401025</v>
      </c>
      <c r="Y945" s="191">
        <f>X945/X944</f>
        <v>0.26571273436941811</v>
      </c>
      <c r="Z945" s="221"/>
      <c r="AA945" s="387"/>
    </row>
    <row r="946" spans="1:27" ht="24.95" customHeight="1">
      <c r="C946" s="659">
        <f>VLOOKUP($C$956&amp;$D$955,$F$6:$Y$938,COLUMN(T948),0)</f>
        <v>0.16944444444444445</v>
      </c>
      <c r="D946" s="668"/>
      <c r="E946" s="668"/>
      <c r="F946" s="668"/>
      <c r="G946" s="621"/>
      <c r="H946" s="668"/>
      <c r="I946" s="402">
        <f t="shared" ref="I946:P946" si="87">SUBTOTAL(9,I189:I945)</f>
        <v>32264.759842535786</v>
      </c>
      <c r="J946" s="402">
        <f t="shared" si="87"/>
        <v>40692.94117586912</v>
      </c>
      <c r="K946" s="402">
        <f t="shared" si="87"/>
        <v>43673.563428425361</v>
      </c>
      <c r="L946" s="402">
        <f t="shared" si="87"/>
        <v>43569.875761758689</v>
      </c>
      <c r="M946" s="402">
        <f t="shared" si="87"/>
        <v>38102.753333333334</v>
      </c>
      <c r="N946" s="402">
        <f t="shared" si="87"/>
        <v>38115.906666666669</v>
      </c>
      <c r="O946" s="402">
        <f t="shared" si="87"/>
        <v>38115.906666666669</v>
      </c>
      <c r="P946" s="402">
        <f t="shared" si="87"/>
        <v>38115.906666666669</v>
      </c>
      <c r="U946" s="266"/>
      <c r="V946" s="150"/>
      <c r="W946" s="150"/>
      <c r="X946" s="388"/>
      <c r="Y946" s="82"/>
      <c r="Z946" s="217"/>
      <c r="AA946" s="266"/>
    </row>
    <row r="947" spans="1:27">
      <c r="G947" s="622"/>
      <c r="H947" s="4"/>
      <c r="U947" s="266"/>
      <c r="V947" s="390"/>
      <c r="W947" s="149"/>
      <c r="X947" s="391"/>
      <c r="Y947" s="175"/>
      <c r="Z947" s="581"/>
      <c r="AA947" s="266"/>
    </row>
    <row r="948" spans="1:27">
      <c r="G948" s="622"/>
      <c r="H948" s="4"/>
      <c r="U948" s="266"/>
      <c r="V948" s="390"/>
      <c r="W948" s="149"/>
      <c r="X948" s="392"/>
      <c r="Y948" s="82"/>
      <c r="Z948" s="582"/>
      <c r="AA948" s="266"/>
    </row>
    <row r="952" spans="1:27">
      <c r="C952" s="729" t="s">
        <v>332</v>
      </c>
      <c r="D952" s="732" t="s">
        <v>333</v>
      </c>
      <c r="E952" s="726" t="s">
        <v>334</v>
      </c>
      <c r="F952" s="727"/>
      <c r="G952" s="727"/>
      <c r="H952" s="727"/>
      <c r="I952" s="727"/>
      <c r="J952" s="727"/>
      <c r="K952" s="727"/>
      <c r="L952" s="727"/>
      <c r="M952" s="727"/>
      <c r="N952" s="727"/>
      <c r="O952" s="727"/>
      <c r="P952" s="727"/>
      <c r="Q952" s="728"/>
    </row>
    <row r="953" spans="1:27">
      <c r="C953" s="730"/>
      <c r="D953" s="733"/>
      <c r="E953" s="500" t="s">
        <v>27</v>
      </c>
      <c r="F953" s="500">
        <v>25</v>
      </c>
      <c r="G953" s="500">
        <v>26</v>
      </c>
      <c r="H953" s="500">
        <v>27</v>
      </c>
      <c r="I953" s="500">
        <v>28</v>
      </c>
      <c r="J953" s="500">
        <v>29</v>
      </c>
      <c r="K953" s="500">
        <v>30</v>
      </c>
      <c r="L953" s="500">
        <v>31</v>
      </c>
      <c r="M953" s="500">
        <v>32</v>
      </c>
      <c r="N953" s="500">
        <v>33</v>
      </c>
      <c r="O953" s="500">
        <v>34</v>
      </c>
      <c r="P953" s="500">
        <v>35</v>
      </c>
      <c r="Q953" s="594">
        <v>36</v>
      </c>
    </row>
    <row r="954" spans="1:27">
      <c r="C954" s="731"/>
      <c r="D954" s="734"/>
      <c r="E954" s="508">
        <v>45474</v>
      </c>
      <c r="F954" s="508">
        <v>45505</v>
      </c>
      <c r="G954" s="508">
        <v>45536</v>
      </c>
      <c r="H954" s="508">
        <v>45566</v>
      </c>
      <c r="I954" s="508">
        <v>45597</v>
      </c>
      <c r="J954" s="508">
        <v>45627</v>
      </c>
      <c r="K954" s="508">
        <v>45658</v>
      </c>
      <c r="L954" s="508">
        <v>45689</v>
      </c>
      <c r="M954" s="508">
        <v>45717</v>
      </c>
      <c r="N954" s="508">
        <v>45748</v>
      </c>
      <c r="O954" s="508">
        <v>45778</v>
      </c>
      <c r="P954" s="508">
        <v>45809</v>
      </c>
      <c r="Q954" s="595">
        <v>45839</v>
      </c>
    </row>
    <row r="955" spans="1:27">
      <c r="C955" s="596" t="s">
        <v>0</v>
      </c>
      <c r="D955" s="722" t="s">
        <v>150</v>
      </c>
      <c r="E955" s="519">
        <f t="shared" ref="E955:Q955" si="88">SUMIF($F$9:$F$938,$C$955&amp;$D$955,I$9:I$938)</f>
        <v>24</v>
      </c>
      <c r="F955" s="519">
        <f t="shared" si="88"/>
        <v>30</v>
      </c>
      <c r="G955" s="519">
        <f t="shared" si="88"/>
        <v>30</v>
      </c>
      <c r="H955" s="519">
        <f t="shared" si="88"/>
        <v>30</v>
      </c>
      <c r="I955" s="519">
        <f t="shared" si="88"/>
        <v>30</v>
      </c>
      <c r="J955" s="519">
        <f t="shared" si="88"/>
        <v>30</v>
      </c>
      <c r="K955" s="519">
        <f t="shared" si="88"/>
        <v>30</v>
      </c>
      <c r="L955" s="519">
        <f t="shared" si="88"/>
        <v>30</v>
      </c>
      <c r="M955" s="519">
        <f t="shared" si="88"/>
        <v>30</v>
      </c>
      <c r="N955" s="519">
        <f t="shared" si="88"/>
        <v>30</v>
      </c>
      <c r="O955" s="519">
        <f t="shared" si="88"/>
        <v>30</v>
      </c>
      <c r="P955" s="519">
        <f t="shared" si="88"/>
        <v>30</v>
      </c>
      <c r="Q955" s="597">
        <f t="shared" si="88"/>
        <v>6</v>
      </c>
    </row>
    <row r="956" spans="1:27">
      <c r="C956" s="598" t="s">
        <v>1</v>
      </c>
      <c r="D956" s="723"/>
      <c r="E956" s="522">
        <f>SUMIF($F$9:$F$938,$C$956&amp;$D$955,I$9:I$938)</f>
        <v>8.5</v>
      </c>
      <c r="F956" s="522">
        <f t="shared" ref="F956:Q956" si="89">SUMIF($F$9:$F$938,$C$956&amp;$D$955,J$9:J$938)</f>
        <v>13</v>
      </c>
      <c r="G956" s="522">
        <f t="shared" si="89"/>
        <v>23.5</v>
      </c>
      <c r="H956" s="522">
        <f t="shared" si="89"/>
        <v>16</v>
      </c>
      <c r="I956" s="522">
        <f t="shared" si="89"/>
        <v>0</v>
      </c>
      <c r="J956" s="522">
        <f t="shared" si="89"/>
        <v>0</v>
      </c>
      <c r="K956" s="522">
        <f t="shared" si="89"/>
        <v>0</v>
      </c>
      <c r="L956" s="522">
        <f t="shared" si="89"/>
        <v>0</v>
      </c>
      <c r="M956" s="522">
        <f t="shared" si="89"/>
        <v>0</v>
      </c>
      <c r="N956" s="522">
        <f t="shared" si="89"/>
        <v>0</v>
      </c>
      <c r="O956" s="522">
        <f t="shared" si="89"/>
        <v>0</v>
      </c>
      <c r="P956" s="522">
        <f t="shared" si="89"/>
        <v>0</v>
      </c>
      <c r="Q956" s="599">
        <f t="shared" si="89"/>
        <v>0</v>
      </c>
      <c r="Z956" s="266" t="s">
        <v>406</v>
      </c>
    </row>
    <row r="957" spans="1:27" ht="20.45" customHeight="1">
      <c r="C957" s="600"/>
      <c r="D957" s="584">
        <f>C946</f>
        <v>0.16944444444444445</v>
      </c>
      <c r="E957" s="558"/>
      <c r="F957" s="558"/>
      <c r="G957" s="558"/>
      <c r="H957" s="559"/>
      <c r="I957" s="559"/>
      <c r="J957" s="559"/>
      <c r="K957" s="559"/>
      <c r="L957" s="559"/>
      <c r="M957" s="559"/>
      <c r="N957" s="559"/>
      <c r="O957" s="559"/>
      <c r="P957" s="559"/>
      <c r="Q957" s="601"/>
      <c r="Z957" s="266" t="s">
        <v>1007</v>
      </c>
    </row>
    <row r="958" spans="1:27">
      <c r="C958" s="602"/>
      <c r="D958" s="560"/>
      <c r="E958" s="561"/>
      <c r="F958" s="561"/>
      <c r="G958" s="561"/>
      <c r="H958" s="562"/>
      <c r="I958" s="562"/>
      <c r="J958" s="562"/>
      <c r="K958" s="562"/>
      <c r="L958" s="562"/>
      <c r="M958" s="562"/>
      <c r="N958" s="562"/>
      <c r="O958" s="562"/>
      <c r="P958" s="562"/>
      <c r="Q958" s="603"/>
      <c r="Z958" s="266" t="s">
        <v>1009</v>
      </c>
    </row>
    <row r="959" spans="1:27">
      <c r="C959" s="600"/>
      <c r="D959" s="557"/>
      <c r="E959" s="558"/>
      <c r="F959" s="558"/>
      <c r="G959" s="558"/>
      <c r="H959" s="559"/>
      <c r="I959" s="559"/>
      <c r="J959" s="559"/>
      <c r="K959" s="559"/>
      <c r="L959" s="559"/>
      <c r="M959" s="559"/>
      <c r="N959" s="559"/>
      <c r="O959" s="559"/>
      <c r="P959" s="559"/>
      <c r="Q959" s="601"/>
      <c r="Z959" s="266" t="s">
        <v>1011</v>
      </c>
    </row>
    <row r="960" spans="1:27">
      <c r="C960" s="602"/>
      <c r="D960" s="560"/>
      <c r="E960" s="561"/>
      <c r="F960" s="561"/>
      <c r="G960" s="561"/>
      <c r="H960" s="562"/>
      <c r="I960" s="562"/>
      <c r="J960" s="562"/>
      <c r="K960" s="562"/>
      <c r="L960" s="562"/>
      <c r="M960" s="562"/>
      <c r="N960" s="562"/>
      <c r="O960" s="562"/>
      <c r="P960" s="562"/>
      <c r="Q960" s="603"/>
      <c r="Z960" s="266" t="s">
        <v>1013</v>
      </c>
    </row>
    <row r="961" spans="3:26">
      <c r="C961" s="600"/>
      <c r="D961" s="557"/>
      <c r="E961" s="558"/>
      <c r="F961" s="558"/>
      <c r="G961" s="558"/>
      <c r="H961" s="559"/>
      <c r="I961" s="559"/>
      <c r="J961" s="559"/>
      <c r="K961" s="559"/>
      <c r="L961" s="559"/>
      <c r="M961" s="559"/>
      <c r="N961" s="559"/>
      <c r="O961" s="559"/>
      <c r="P961" s="559"/>
      <c r="Q961" s="601"/>
      <c r="Z961" s="266" t="s">
        <v>1015</v>
      </c>
    </row>
    <row r="962" spans="3:26">
      <c r="C962" s="602"/>
      <c r="D962" s="560"/>
      <c r="E962" s="561"/>
      <c r="F962" s="561"/>
      <c r="G962" s="561"/>
      <c r="H962" s="562"/>
      <c r="I962" s="562"/>
      <c r="J962" s="562"/>
      <c r="K962" s="562"/>
      <c r="L962" s="562"/>
      <c r="M962" s="562"/>
      <c r="N962" s="562"/>
      <c r="O962" s="562"/>
      <c r="P962" s="562"/>
      <c r="Q962" s="603"/>
      <c r="Z962" s="266" t="s">
        <v>485</v>
      </c>
    </row>
    <row r="963" spans="3:26">
      <c r="C963" s="600"/>
      <c r="D963" s="557"/>
      <c r="E963" s="558"/>
      <c r="F963" s="558"/>
      <c r="G963" s="558"/>
      <c r="H963" s="559"/>
      <c r="I963" s="559"/>
      <c r="J963" s="559"/>
      <c r="K963" s="559"/>
      <c r="L963" s="559"/>
      <c r="M963" s="559"/>
      <c r="N963" s="559"/>
      <c r="O963" s="559"/>
      <c r="P963" s="559"/>
      <c r="Q963" s="601"/>
      <c r="Z963" s="266" t="s">
        <v>700</v>
      </c>
    </row>
    <row r="964" spans="3:26">
      <c r="C964" s="602"/>
      <c r="D964" s="560"/>
      <c r="E964" s="561"/>
      <c r="F964" s="561"/>
      <c r="G964" s="561"/>
      <c r="H964" s="562"/>
      <c r="I964" s="562"/>
      <c r="J964" s="562"/>
      <c r="K964" s="562"/>
      <c r="L964" s="562"/>
      <c r="M964" s="562"/>
      <c r="N964" s="562"/>
      <c r="O964" s="562"/>
      <c r="P964" s="562"/>
      <c r="Q964" s="603"/>
      <c r="Z964" s="266" t="s">
        <v>1085</v>
      </c>
    </row>
    <row r="965" spans="3:26">
      <c r="C965" s="600"/>
      <c r="D965" s="557"/>
      <c r="E965" s="558"/>
      <c r="F965" s="558"/>
      <c r="G965" s="558"/>
      <c r="H965" s="559"/>
      <c r="I965" s="559"/>
      <c r="J965" s="559"/>
      <c r="K965" s="559"/>
      <c r="L965" s="559"/>
      <c r="M965" s="559"/>
      <c r="N965" s="559"/>
      <c r="O965" s="559"/>
      <c r="P965" s="559"/>
      <c r="Q965" s="601"/>
      <c r="Z965" s="266" t="s">
        <v>487</v>
      </c>
    </row>
    <row r="966" spans="3:26">
      <c r="C966" s="602"/>
      <c r="D966" s="560"/>
      <c r="E966" s="561"/>
      <c r="F966" s="561"/>
      <c r="G966" s="561"/>
      <c r="H966" s="562"/>
      <c r="I966" s="562"/>
      <c r="J966" s="562"/>
      <c r="K966" s="562"/>
      <c r="L966" s="562"/>
      <c r="M966" s="562"/>
      <c r="N966" s="562"/>
      <c r="O966" s="562"/>
      <c r="P966" s="562"/>
      <c r="Q966" s="603"/>
      <c r="Z966" s="266" t="s">
        <v>969</v>
      </c>
    </row>
    <row r="967" spans="3:26">
      <c r="C967" s="600"/>
      <c r="D967" s="557"/>
      <c r="E967" s="558"/>
      <c r="F967" s="558"/>
      <c r="G967" s="558"/>
      <c r="H967" s="559"/>
      <c r="I967" s="559"/>
      <c r="J967" s="559"/>
      <c r="K967" s="559"/>
      <c r="L967" s="559"/>
      <c r="M967" s="559"/>
      <c r="N967" s="559"/>
      <c r="O967" s="559"/>
      <c r="P967" s="559"/>
      <c r="Q967" s="601"/>
      <c r="Z967" s="266" t="s">
        <v>971</v>
      </c>
    </row>
    <row r="968" spans="3:26">
      <c r="C968" s="602"/>
      <c r="D968" s="560"/>
      <c r="E968" s="561"/>
      <c r="F968" s="561"/>
      <c r="G968" s="561"/>
      <c r="H968" s="562"/>
      <c r="I968" s="562"/>
      <c r="J968" s="562"/>
      <c r="K968" s="562"/>
      <c r="L968" s="562"/>
      <c r="M968" s="562"/>
      <c r="N968" s="562"/>
      <c r="O968" s="562"/>
      <c r="P968" s="562"/>
      <c r="Q968" s="603"/>
      <c r="Z968" s="266" t="s">
        <v>489</v>
      </c>
    </row>
    <row r="969" spans="3:26">
      <c r="C969" s="600"/>
      <c r="D969" s="557"/>
      <c r="E969" s="558"/>
      <c r="F969" s="558"/>
      <c r="G969" s="558"/>
      <c r="H969" s="559"/>
      <c r="I969" s="559"/>
      <c r="J969" s="559"/>
      <c r="K969" s="559"/>
      <c r="L969" s="559"/>
      <c r="M969" s="559"/>
      <c r="N969" s="559"/>
      <c r="O969" s="559"/>
      <c r="P969" s="559"/>
      <c r="Q969" s="601"/>
      <c r="Z969" s="266" t="s">
        <v>491</v>
      </c>
    </row>
    <row r="970" spans="3:26">
      <c r="C970" s="602"/>
      <c r="D970" s="560"/>
      <c r="E970" s="561"/>
      <c r="F970" s="561"/>
      <c r="G970" s="561"/>
      <c r="H970" s="562"/>
      <c r="I970" s="562"/>
      <c r="J970" s="562"/>
      <c r="K970" s="562"/>
      <c r="L970" s="562"/>
      <c r="M970" s="562"/>
      <c r="N970" s="562"/>
      <c r="O970" s="562"/>
      <c r="P970" s="562"/>
      <c r="Q970" s="603"/>
      <c r="Z970" s="266" t="s">
        <v>505</v>
      </c>
    </row>
    <row r="971" spans="3:26">
      <c r="C971" s="600"/>
      <c r="D971" s="557"/>
      <c r="E971" s="558"/>
      <c r="F971" s="558"/>
      <c r="G971" s="558"/>
      <c r="H971" s="559"/>
      <c r="I971" s="559"/>
      <c r="J971" s="559"/>
      <c r="K971" s="559"/>
      <c r="L971" s="559"/>
      <c r="M971" s="559"/>
      <c r="N971" s="559"/>
      <c r="O971" s="559"/>
      <c r="P971" s="559"/>
      <c r="Q971" s="601"/>
      <c r="Z971" s="266" t="s">
        <v>501</v>
      </c>
    </row>
    <row r="972" spans="3:26">
      <c r="C972" s="604"/>
      <c r="D972" s="605"/>
      <c r="E972" s="606"/>
      <c r="F972" s="606"/>
      <c r="G972" s="606"/>
      <c r="H972" s="607"/>
      <c r="I972" s="607"/>
      <c r="J972" s="607"/>
      <c r="K972" s="607"/>
      <c r="L972" s="607"/>
      <c r="M972" s="607"/>
      <c r="N972" s="607"/>
      <c r="O972" s="607"/>
      <c r="P972" s="607"/>
      <c r="Q972" s="608"/>
      <c r="Z972" s="266" t="s">
        <v>503</v>
      </c>
    </row>
    <row r="973" spans="3:26">
      <c r="Z973" s="266" t="s">
        <v>507</v>
      </c>
    </row>
    <row r="974" spans="3:26">
      <c r="Z974" s="266" t="s">
        <v>499</v>
      </c>
    </row>
    <row r="975" spans="3:26">
      <c r="Z975" s="266" t="s">
        <v>497</v>
      </c>
    </row>
    <row r="976" spans="3:26">
      <c r="Z976" s="266" t="s">
        <v>509</v>
      </c>
    </row>
    <row r="977" spans="26:26">
      <c r="Z977" s="266" t="s">
        <v>973</v>
      </c>
    </row>
    <row r="978" spans="26:26">
      <c r="Z978" s="266" t="s">
        <v>511</v>
      </c>
    </row>
    <row r="979" spans="26:26">
      <c r="Z979" s="266" t="s">
        <v>513</v>
      </c>
    </row>
    <row r="980" spans="26:26">
      <c r="Z980" s="266" t="s">
        <v>494</v>
      </c>
    </row>
    <row r="981" spans="26:26">
      <c r="Z981" s="266" t="s">
        <v>381</v>
      </c>
    </row>
    <row r="982" spans="26:26">
      <c r="Z982" s="266" t="s">
        <v>374</v>
      </c>
    </row>
    <row r="983" spans="26:26">
      <c r="Z983" s="266" t="s">
        <v>154</v>
      </c>
    </row>
    <row r="984" spans="26:26">
      <c r="Z984" s="266" t="s">
        <v>158</v>
      </c>
    </row>
    <row r="985" spans="26:26">
      <c r="Z985" s="266" t="s">
        <v>157</v>
      </c>
    </row>
    <row r="986" spans="26:26">
      <c r="Z986" s="266" t="s">
        <v>411</v>
      </c>
    </row>
    <row r="987" spans="26:26">
      <c r="Z987" s="266" t="s">
        <v>937</v>
      </c>
    </row>
    <row r="988" spans="26:26">
      <c r="Z988" s="266" t="s">
        <v>940</v>
      </c>
    </row>
    <row r="989" spans="26:26">
      <c r="Z989" s="266" t="s">
        <v>1087</v>
      </c>
    </row>
    <row r="990" spans="26:26">
      <c r="Z990" s="266" t="s">
        <v>476</v>
      </c>
    </row>
    <row r="991" spans="26:26">
      <c r="Z991" s="266" t="s">
        <v>478</v>
      </c>
    </row>
    <row r="992" spans="26:26">
      <c r="Z992" s="266" t="s">
        <v>480</v>
      </c>
    </row>
    <row r="993" spans="26:26">
      <c r="Z993" s="266" t="s">
        <v>482</v>
      </c>
    </row>
    <row r="994" spans="26:26">
      <c r="Z994" s="266" t="s">
        <v>452</v>
      </c>
    </row>
    <row r="995" spans="26:26">
      <c r="Z995" s="266" t="s">
        <v>428</v>
      </c>
    </row>
    <row r="996" spans="26:26">
      <c r="Z996" s="266" t="s">
        <v>1017</v>
      </c>
    </row>
    <row r="997" spans="26:26">
      <c r="Z997" s="266" t="s">
        <v>1019</v>
      </c>
    </row>
    <row r="998" spans="26:26">
      <c r="Z998" s="266" t="s">
        <v>1021</v>
      </c>
    </row>
    <row r="999" spans="26:26">
      <c r="Z999" s="266" t="s">
        <v>1089</v>
      </c>
    </row>
    <row r="1000" spans="26:26">
      <c r="Z1000" s="266" t="s">
        <v>515</v>
      </c>
    </row>
    <row r="1001" spans="26:26">
      <c r="Z1001" s="266" t="s">
        <v>1023</v>
      </c>
    </row>
    <row r="1002" spans="26:26">
      <c r="Z1002" s="266" t="s">
        <v>1026</v>
      </c>
    </row>
    <row r="1003" spans="26:26">
      <c r="Z1003" s="266" t="s">
        <v>533</v>
      </c>
    </row>
    <row r="1004" spans="26:26">
      <c r="Z1004" s="266" t="s">
        <v>1091</v>
      </c>
    </row>
    <row r="1005" spans="26:26">
      <c r="Z1005" s="266" t="s">
        <v>249</v>
      </c>
    </row>
    <row r="1006" spans="26:26">
      <c r="Z1006" s="266" t="s">
        <v>529</v>
      </c>
    </row>
    <row r="1007" spans="26:26">
      <c r="Z1007" s="266" t="s">
        <v>942</v>
      </c>
    </row>
    <row r="1008" spans="26:26">
      <c r="Z1008" s="266" t="s">
        <v>527</v>
      </c>
    </row>
    <row r="1009" spans="26:26">
      <c r="Z1009" s="266" t="s">
        <v>521</v>
      </c>
    </row>
    <row r="1010" spans="26:26">
      <c r="Z1010" s="266" t="s">
        <v>519</v>
      </c>
    </row>
    <row r="1011" spans="26:26">
      <c r="Z1011" s="266" t="s">
        <v>525</v>
      </c>
    </row>
    <row r="1012" spans="26:26">
      <c r="Z1012" s="266" t="s">
        <v>517</v>
      </c>
    </row>
    <row r="1013" spans="26:26">
      <c r="Z1013" s="266" t="s">
        <v>523</v>
      </c>
    </row>
    <row r="1014" spans="26:26">
      <c r="Z1014" s="266" t="s">
        <v>252</v>
      </c>
    </row>
    <row r="1015" spans="26:26">
      <c r="Z1015" s="266" t="s">
        <v>531</v>
      </c>
    </row>
    <row r="1016" spans="26:26">
      <c r="Z1016" s="266" t="s">
        <v>185</v>
      </c>
    </row>
    <row r="1017" spans="26:26">
      <c r="Z1017" s="266" t="s">
        <v>702</v>
      </c>
    </row>
    <row r="1018" spans="26:26">
      <c r="Z1018" s="266" t="s">
        <v>710</v>
      </c>
    </row>
    <row r="1019" spans="26:26">
      <c r="Z1019" s="266" t="s">
        <v>704</v>
      </c>
    </row>
    <row r="1020" spans="26:26">
      <c r="Z1020" s="266" t="s">
        <v>706</v>
      </c>
    </row>
    <row r="1021" spans="26:26">
      <c r="Z1021" s="266" t="s">
        <v>708</v>
      </c>
    </row>
    <row r="1022" spans="26:26">
      <c r="Z1022" s="266" t="s">
        <v>1028</v>
      </c>
    </row>
    <row r="1023" spans="26:26">
      <c r="Z1023" s="266" t="s">
        <v>739</v>
      </c>
    </row>
    <row r="1024" spans="26:26">
      <c r="Z1024" s="266" t="s">
        <v>732</v>
      </c>
    </row>
    <row r="1025" spans="26:26">
      <c r="Z1025" s="266" t="s">
        <v>735</v>
      </c>
    </row>
    <row r="1026" spans="26:26">
      <c r="Z1026" s="266" t="s">
        <v>737</v>
      </c>
    </row>
    <row r="1027" spans="26:26">
      <c r="Z1027" s="266" t="s">
        <v>741</v>
      </c>
    </row>
    <row r="1028" spans="26:26">
      <c r="Z1028" s="266" t="s">
        <v>743</v>
      </c>
    </row>
    <row r="1029" spans="26:26">
      <c r="Z1029" s="266" t="s">
        <v>745</v>
      </c>
    </row>
    <row r="1030" spans="26:26">
      <c r="Z1030" s="266" t="s">
        <v>965</v>
      </c>
    </row>
    <row r="1031" spans="26:26">
      <c r="Z1031" s="266" t="s">
        <v>542</v>
      </c>
    </row>
    <row r="1032" spans="26:26">
      <c r="Z1032" s="266" t="s">
        <v>926</v>
      </c>
    </row>
    <row r="1033" spans="26:26">
      <c r="Z1033" s="266" t="s">
        <v>929</v>
      </c>
    </row>
    <row r="1034" spans="26:26">
      <c r="Z1034" s="266" t="s">
        <v>931</v>
      </c>
    </row>
    <row r="1035" spans="26:26">
      <c r="Z1035" s="266" t="s">
        <v>933</v>
      </c>
    </row>
    <row r="1036" spans="26:26">
      <c r="Z1036" s="266" t="s">
        <v>935</v>
      </c>
    </row>
    <row r="1037" spans="26:26">
      <c r="Z1037" s="266" t="s">
        <v>1030</v>
      </c>
    </row>
    <row r="1038" spans="26:26">
      <c r="Z1038" s="266" t="s">
        <v>546</v>
      </c>
    </row>
    <row r="1039" spans="26:26">
      <c r="Z1039" s="266" t="s">
        <v>544</v>
      </c>
    </row>
    <row r="1040" spans="26:26">
      <c r="Z1040" s="266" t="s">
        <v>548</v>
      </c>
    </row>
    <row r="1041" spans="26:26">
      <c r="Z1041" s="266" t="s">
        <v>1032</v>
      </c>
    </row>
    <row r="1042" spans="26:26">
      <c r="Z1042" s="266" t="s">
        <v>975</v>
      </c>
    </row>
    <row r="1043" spans="26:26">
      <c r="Z1043" s="266" t="s">
        <v>181</v>
      </c>
    </row>
    <row r="1044" spans="26:26">
      <c r="Z1044" s="266" t="s">
        <v>550</v>
      </c>
    </row>
    <row r="1045" spans="26:26">
      <c r="Z1045" s="666" t="s">
        <v>354</v>
      </c>
    </row>
    <row r="1046" spans="26:26">
      <c r="Z1046" s="266" t="s">
        <v>220</v>
      </c>
    </row>
    <row r="1047" spans="26:26">
      <c r="Z1047" s="266" t="s">
        <v>219</v>
      </c>
    </row>
    <row r="1048" spans="26:26">
      <c r="Z1048" s="266" t="s">
        <v>212</v>
      </c>
    </row>
    <row r="1049" spans="26:26">
      <c r="Z1049" s="266" t="s">
        <v>209</v>
      </c>
    </row>
    <row r="1050" spans="26:26">
      <c r="Z1050" s="266" t="s">
        <v>435</v>
      </c>
    </row>
    <row r="1051" spans="26:26">
      <c r="Z1051" s="266" t="s">
        <v>437</v>
      </c>
    </row>
    <row r="1052" spans="26:26">
      <c r="Z1052" s="266" t="s">
        <v>217</v>
      </c>
    </row>
    <row r="1053" spans="26:26">
      <c r="Z1053" s="266" t="s">
        <v>216</v>
      </c>
    </row>
    <row r="1054" spans="26:26">
      <c r="Z1054" s="266" t="s">
        <v>1095</v>
      </c>
    </row>
    <row r="1055" spans="26:26">
      <c r="Z1055" s="266" t="s">
        <v>712</v>
      </c>
    </row>
    <row r="1056" spans="26:26">
      <c r="Z1056" s="266" t="s">
        <v>714</v>
      </c>
    </row>
    <row r="1057" spans="26:26">
      <c r="Z1057" s="266" t="s">
        <v>1097</v>
      </c>
    </row>
    <row r="1058" spans="26:26">
      <c r="Z1058" s="266" t="s">
        <v>214</v>
      </c>
    </row>
    <row r="1059" spans="26:26">
      <c r="Z1059" s="266" t="s">
        <v>213</v>
      </c>
    </row>
    <row r="1060" spans="26:26">
      <c r="Z1060" s="266" t="s">
        <v>552</v>
      </c>
    </row>
    <row r="1061" spans="26:26">
      <c r="Z1061" s="266" t="s">
        <v>716</v>
      </c>
    </row>
    <row r="1062" spans="26:26">
      <c r="Z1062" s="266" t="s">
        <v>538</v>
      </c>
    </row>
    <row r="1063" spans="26:26">
      <c r="Z1063" s="266" t="s">
        <v>540</v>
      </c>
    </row>
    <row r="1064" spans="26:26">
      <c r="Z1064" s="266" t="s">
        <v>536</v>
      </c>
    </row>
    <row r="1065" spans="26:26">
      <c r="Z1065" s="266" t="s">
        <v>718</v>
      </c>
    </row>
    <row r="1066" spans="26:26">
      <c r="Z1066" s="266" t="s">
        <v>720</v>
      </c>
    </row>
    <row r="1067" spans="26:26">
      <c r="Z1067" s="266" t="s">
        <v>722</v>
      </c>
    </row>
    <row r="1068" spans="26:26">
      <c r="Z1068" s="266" t="s">
        <v>724</v>
      </c>
    </row>
    <row r="1069" spans="26:26">
      <c r="Z1069" s="266" t="s">
        <v>1099</v>
      </c>
    </row>
    <row r="1070" spans="26:26">
      <c r="Z1070" s="266" t="s">
        <v>1034</v>
      </c>
    </row>
    <row r="1071" spans="26:26">
      <c r="Z1071" s="266" t="s">
        <v>1101</v>
      </c>
    </row>
    <row r="1072" spans="26:26">
      <c r="Z1072" s="266" t="s">
        <v>1036</v>
      </c>
    </row>
    <row r="1073" spans="26:26">
      <c r="Z1073" s="266" t="s">
        <v>726</v>
      </c>
    </row>
    <row r="1074" spans="26:26">
      <c r="Z1074" s="266" t="s">
        <v>728</v>
      </c>
    </row>
    <row r="1075" spans="26:26">
      <c r="Z1075" s="266" t="s">
        <v>947</v>
      </c>
    </row>
    <row r="1076" spans="26:26">
      <c r="Z1076" s="266" t="s">
        <v>945</v>
      </c>
    </row>
    <row r="1077" spans="26:26">
      <c r="Z1077" s="266" t="s">
        <v>949</v>
      </c>
    </row>
    <row r="1078" spans="26:26">
      <c r="Z1078" s="266" t="s">
        <v>554</v>
      </c>
    </row>
    <row r="1079" spans="26:26">
      <c r="Z1079" s="266" t="s">
        <v>556</v>
      </c>
    </row>
    <row r="1080" spans="26:26">
      <c r="Z1080" s="266" t="s">
        <v>558</v>
      </c>
    </row>
    <row r="1081" spans="26:26">
      <c r="Z1081" s="266" t="s">
        <v>560</v>
      </c>
    </row>
    <row r="1082" spans="26:26">
      <c r="Z1082" s="266" t="s">
        <v>1103</v>
      </c>
    </row>
    <row r="1083" spans="26:26">
      <c r="Z1083" s="266" t="s">
        <v>1105</v>
      </c>
    </row>
    <row r="1084" spans="26:26">
      <c r="Z1084" s="266" t="s">
        <v>749</v>
      </c>
    </row>
    <row r="1085" spans="26:26">
      <c r="Z1085" s="266" t="s">
        <v>751</v>
      </c>
    </row>
    <row r="1086" spans="26:26">
      <c r="Z1086" s="266" t="s">
        <v>753</v>
      </c>
    </row>
    <row r="1087" spans="26:26">
      <c r="Z1087" s="266" t="s">
        <v>756</v>
      </c>
    </row>
    <row r="1088" spans="26:26">
      <c r="Z1088" s="266" t="s">
        <v>730</v>
      </c>
    </row>
    <row r="1089" spans="26:26">
      <c r="Z1089" s="266" t="s">
        <v>758</v>
      </c>
    </row>
    <row r="1090" spans="26:26">
      <c r="Z1090" s="266" t="s">
        <v>760</v>
      </c>
    </row>
    <row r="1091" spans="26:26">
      <c r="Z1091" s="266" t="s">
        <v>747</v>
      </c>
    </row>
    <row r="1092" spans="26:26">
      <c r="Z1092" s="266" t="s">
        <v>1107</v>
      </c>
    </row>
    <row r="1093" spans="26:26">
      <c r="Z1093" s="266" t="s">
        <v>361</v>
      </c>
    </row>
    <row r="1094" spans="26:26">
      <c r="Z1094" s="266" t="s">
        <v>379</v>
      </c>
    </row>
    <row r="1095" spans="26:26">
      <c r="Z1095" s="266" t="s">
        <v>1109</v>
      </c>
    </row>
    <row r="1096" spans="26:26">
      <c r="Z1096" s="266" t="s">
        <v>1111</v>
      </c>
    </row>
    <row r="1097" spans="26:26">
      <c r="Z1097" s="266" t="s">
        <v>1039</v>
      </c>
    </row>
    <row r="1098" spans="26:26">
      <c r="Z1098" s="266" t="s">
        <v>562</v>
      </c>
    </row>
    <row r="1099" spans="26:26">
      <c r="Z1099" s="266" t="s">
        <v>564</v>
      </c>
    </row>
    <row r="1100" spans="26:26">
      <c r="Z1100" s="266" t="s">
        <v>150</v>
      </c>
    </row>
    <row r="1101" spans="26:26">
      <c r="Z1101" s="266" t="s">
        <v>1041</v>
      </c>
    </row>
    <row r="1102" spans="26:26">
      <c r="Z1102" s="266" t="s">
        <v>1113</v>
      </c>
    </row>
    <row r="1103" spans="26:26">
      <c r="Z1103" s="266" t="s">
        <v>764</v>
      </c>
    </row>
    <row r="1104" spans="26:26">
      <c r="Z1104" s="266" t="s">
        <v>766</v>
      </c>
    </row>
    <row r="1105" spans="26:26">
      <c r="Z1105" s="266" t="s">
        <v>770</v>
      </c>
    </row>
    <row r="1106" spans="26:26">
      <c r="Z1106" s="266" t="s">
        <v>768</v>
      </c>
    </row>
    <row r="1107" spans="26:26">
      <c r="Z1107" s="266" t="s">
        <v>772</v>
      </c>
    </row>
    <row r="1108" spans="26:26">
      <c r="Z1108" s="266" t="s">
        <v>774</v>
      </c>
    </row>
    <row r="1109" spans="26:26">
      <c r="Z1109" s="266" t="s">
        <v>776</v>
      </c>
    </row>
    <row r="1110" spans="26:26">
      <c r="Z1110" s="266" t="s">
        <v>778</v>
      </c>
    </row>
    <row r="1111" spans="26:26">
      <c r="Z1111" s="266" t="s">
        <v>780</v>
      </c>
    </row>
    <row r="1112" spans="26:26">
      <c r="Z1112" s="266" t="s">
        <v>782</v>
      </c>
    </row>
    <row r="1113" spans="26:26">
      <c r="Z1113" s="266" t="s">
        <v>784</v>
      </c>
    </row>
    <row r="1114" spans="26:26">
      <c r="Z1114" s="266" t="s">
        <v>786</v>
      </c>
    </row>
    <row r="1115" spans="26:26">
      <c r="Z1115" s="266" t="s">
        <v>788</v>
      </c>
    </row>
    <row r="1116" spans="26:26">
      <c r="Z1116" s="266" t="s">
        <v>790</v>
      </c>
    </row>
    <row r="1117" spans="26:26">
      <c r="Z1117" s="266" t="s">
        <v>792</v>
      </c>
    </row>
    <row r="1118" spans="26:26">
      <c r="Z1118" s="666" t="s">
        <v>794</v>
      </c>
    </row>
    <row r="1119" spans="26:26">
      <c r="Z1119" s="266" t="s">
        <v>796</v>
      </c>
    </row>
    <row r="1120" spans="26:26">
      <c r="Z1120" s="266" t="s">
        <v>798</v>
      </c>
    </row>
    <row r="1121" spans="26:26">
      <c r="Z1121" s="266" t="s">
        <v>800</v>
      </c>
    </row>
    <row r="1122" spans="26:26">
      <c r="Z1122" s="266" t="s">
        <v>802</v>
      </c>
    </row>
    <row r="1123" spans="26:26">
      <c r="Z1123" s="266" t="s">
        <v>804</v>
      </c>
    </row>
    <row r="1124" spans="26:26">
      <c r="Z1124" s="266" t="s">
        <v>806</v>
      </c>
    </row>
    <row r="1125" spans="26:26">
      <c r="Z1125" s="266" t="s">
        <v>808</v>
      </c>
    </row>
    <row r="1126" spans="26:26">
      <c r="Z1126" s="666" t="s">
        <v>810</v>
      </c>
    </row>
    <row r="1127" spans="26:26">
      <c r="Z1127" s="266" t="s">
        <v>812</v>
      </c>
    </row>
    <row r="1128" spans="26:26">
      <c r="Z1128" s="266" t="s">
        <v>814</v>
      </c>
    </row>
    <row r="1129" spans="26:26">
      <c r="Z1129" s="266" t="s">
        <v>816</v>
      </c>
    </row>
    <row r="1130" spans="26:26">
      <c r="Z1130" s="266" t="s">
        <v>818</v>
      </c>
    </row>
    <row r="1131" spans="26:26">
      <c r="Z1131" s="266" t="s">
        <v>762</v>
      </c>
    </row>
    <row r="1132" spans="26:26">
      <c r="Z1132" s="266" t="s">
        <v>820</v>
      </c>
    </row>
    <row r="1133" spans="26:26">
      <c r="Z1133" s="266" t="s">
        <v>822</v>
      </c>
    </row>
    <row r="1134" spans="26:26">
      <c r="Z1134" s="266" t="s">
        <v>951</v>
      </c>
    </row>
    <row r="1135" spans="26:26">
      <c r="Z1135" s="266" t="s">
        <v>953</v>
      </c>
    </row>
    <row r="1136" spans="26:26">
      <c r="Z1136" s="266" t="s">
        <v>955</v>
      </c>
    </row>
    <row r="1137" spans="26:26">
      <c r="Z1137" s="266" t="s">
        <v>566</v>
      </c>
    </row>
    <row r="1138" spans="26:26">
      <c r="Z1138" s="266" t="s">
        <v>1115</v>
      </c>
    </row>
    <row r="1139" spans="26:26">
      <c r="Z1139" s="266" t="s">
        <v>254</v>
      </c>
    </row>
    <row r="1140" spans="26:26">
      <c r="Z1140" s="266" t="s">
        <v>1117</v>
      </c>
    </row>
    <row r="1141" spans="26:26">
      <c r="Z1141" s="266" t="s">
        <v>570</v>
      </c>
    </row>
    <row r="1142" spans="26:26">
      <c r="Z1142" s="266" t="s">
        <v>568</v>
      </c>
    </row>
    <row r="1143" spans="26:26">
      <c r="Z1143" s="266" t="s">
        <v>572</v>
      </c>
    </row>
    <row r="1144" spans="26:26">
      <c r="Z1144" s="266" t="s">
        <v>1119</v>
      </c>
    </row>
    <row r="1145" spans="26:26">
      <c r="Z1145" s="266" t="s">
        <v>1121</v>
      </c>
    </row>
    <row r="1146" spans="26:26">
      <c r="Z1146" s="266" t="s">
        <v>1123</v>
      </c>
    </row>
    <row r="1147" spans="26:26">
      <c r="Z1147" s="266" t="s">
        <v>1125</v>
      </c>
    </row>
    <row r="1148" spans="26:26">
      <c r="Z1148" s="266" t="s">
        <v>1127</v>
      </c>
    </row>
    <row r="1149" spans="26:26">
      <c r="Z1149" s="266" t="s">
        <v>1129</v>
      </c>
    </row>
    <row r="1150" spans="26:26">
      <c r="Z1150" s="266" t="s">
        <v>824</v>
      </c>
    </row>
    <row r="1151" spans="26:26">
      <c r="Z1151" s="266" t="s">
        <v>574</v>
      </c>
    </row>
    <row r="1152" spans="26:26">
      <c r="Z1152" s="266" t="s">
        <v>576</v>
      </c>
    </row>
    <row r="1153" spans="26:26">
      <c r="Z1153" s="266" t="s">
        <v>977</v>
      </c>
    </row>
    <row r="1154" spans="26:26">
      <c r="Z1154" s="266" t="s">
        <v>578</v>
      </c>
    </row>
    <row r="1155" spans="26:26">
      <c r="Z1155" s="266" t="s">
        <v>580</v>
      </c>
    </row>
    <row r="1156" spans="26:26">
      <c r="Z1156" s="266" t="s">
        <v>582</v>
      </c>
    </row>
    <row r="1157" spans="26:26">
      <c r="Z1157" s="266" t="s">
        <v>584</v>
      </c>
    </row>
    <row r="1158" spans="26:26">
      <c r="Z1158" s="266" t="s">
        <v>586</v>
      </c>
    </row>
    <row r="1159" spans="26:26">
      <c r="Z1159" s="266" t="s">
        <v>588</v>
      </c>
    </row>
    <row r="1160" spans="26:26">
      <c r="Z1160" s="266" t="s">
        <v>590</v>
      </c>
    </row>
    <row r="1161" spans="26:26">
      <c r="Z1161" s="266" t="s">
        <v>592</v>
      </c>
    </row>
    <row r="1162" spans="26:26">
      <c r="Z1162" s="266" t="s">
        <v>594</v>
      </c>
    </row>
    <row r="1163" spans="26:26">
      <c r="Z1163" s="266" t="s">
        <v>596</v>
      </c>
    </row>
    <row r="1164" spans="26:26">
      <c r="Z1164" s="266" t="s">
        <v>598</v>
      </c>
    </row>
    <row r="1165" spans="26:26">
      <c r="Z1165" s="266" t="s">
        <v>600</v>
      </c>
    </row>
    <row r="1166" spans="26:26">
      <c r="Z1166" s="266" t="s">
        <v>602</v>
      </c>
    </row>
    <row r="1167" spans="26:26">
      <c r="Z1167" s="266" t="s">
        <v>604</v>
      </c>
    </row>
    <row r="1168" spans="26:26">
      <c r="Z1168" s="266" t="s">
        <v>606</v>
      </c>
    </row>
    <row r="1169" spans="26:26">
      <c r="Z1169" s="266" t="s">
        <v>608</v>
      </c>
    </row>
    <row r="1170" spans="26:26">
      <c r="Z1170" s="266" t="s">
        <v>610</v>
      </c>
    </row>
    <row r="1171" spans="26:26">
      <c r="Z1171" s="266" t="s">
        <v>612</v>
      </c>
    </row>
    <row r="1172" spans="26:26">
      <c r="Z1172" s="266" t="s">
        <v>614</v>
      </c>
    </row>
    <row r="1173" spans="26:26">
      <c r="Z1173" s="266" t="s">
        <v>616</v>
      </c>
    </row>
    <row r="1174" spans="26:26">
      <c r="Z1174" s="266" t="s">
        <v>618</v>
      </c>
    </row>
    <row r="1175" spans="26:26">
      <c r="Z1175" s="266" t="s">
        <v>620</v>
      </c>
    </row>
    <row r="1176" spans="26:26">
      <c r="Z1176" s="266" t="s">
        <v>622</v>
      </c>
    </row>
    <row r="1177" spans="26:26">
      <c r="Z1177" s="266" t="s">
        <v>463</v>
      </c>
    </row>
    <row r="1178" spans="26:26">
      <c r="Z1178" s="266" t="s">
        <v>467</v>
      </c>
    </row>
    <row r="1179" spans="26:26">
      <c r="Z1179" s="266" t="s">
        <v>1043</v>
      </c>
    </row>
    <row r="1180" spans="26:26">
      <c r="Z1180" s="266" t="s">
        <v>469</v>
      </c>
    </row>
    <row r="1181" spans="26:26">
      <c r="Z1181" s="266" t="s">
        <v>1132</v>
      </c>
    </row>
    <row r="1182" spans="26:26">
      <c r="Z1182" s="266" t="s">
        <v>624</v>
      </c>
    </row>
    <row r="1183" spans="26:26">
      <c r="Z1183" s="266" t="s">
        <v>826</v>
      </c>
    </row>
    <row r="1184" spans="26:26">
      <c r="Z1184" s="266" t="s">
        <v>979</v>
      </c>
    </row>
    <row r="1185" spans="26:26">
      <c r="Z1185" s="266" t="s">
        <v>626</v>
      </c>
    </row>
    <row r="1186" spans="26:26">
      <c r="Z1186" s="266" t="s">
        <v>628</v>
      </c>
    </row>
    <row r="1187" spans="26:26">
      <c r="Z1187" s="266" t="s">
        <v>828</v>
      </c>
    </row>
    <row r="1188" spans="26:26">
      <c r="Z1188" s="266" t="s">
        <v>830</v>
      </c>
    </row>
    <row r="1189" spans="26:26">
      <c r="Z1189" s="266" t="s">
        <v>832</v>
      </c>
    </row>
    <row r="1190" spans="26:26">
      <c r="Z1190" s="266" t="s">
        <v>834</v>
      </c>
    </row>
    <row r="1191" spans="26:26">
      <c r="Z1191" s="266" t="s">
        <v>1045</v>
      </c>
    </row>
    <row r="1192" spans="26:26">
      <c r="Z1192" s="266" t="s">
        <v>178</v>
      </c>
    </row>
    <row r="1193" spans="26:26">
      <c r="Z1193" s="266" t="s">
        <v>630</v>
      </c>
    </row>
    <row r="1194" spans="26:26">
      <c r="Z1194" s="266" t="s">
        <v>959</v>
      </c>
    </row>
    <row r="1195" spans="26:26">
      <c r="Z1195" s="266" t="s">
        <v>961</v>
      </c>
    </row>
    <row r="1196" spans="26:26">
      <c r="Z1196" s="266" t="s">
        <v>1047</v>
      </c>
    </row>
    <row r="1197" spans="26:26">
      <c r="Z1197" s="266" t="s">
        <v>248</v>
      </c>
    </row>
    <row r="1198" spans="26:26">
      <c r="Z1198" s="266" t="s">
        <v>957</v>
      </c>
    </row>
    <row r="1199" spans="26:26">
      <c r="Z1199" s="266" t="s">
        <v>357</v>
      </c>
    </row>
    <row r="1200" spans="26:26">
      <c r="Z1200" s="266" t="s">
        <v>200</v>
      </c>
    </row>
    <row r="1201" spans="26:26">
      <c r="Z1201" s="266" t="s">
        <v>632</v>
      </c>
    </row>
    <row r="1202" spans="26:26">
      <c r="Z1202" s="266" t="s">
        <v>634</v>
      </c>
    </row>
    <row r="1203" spans="26:26">
      <c r="Z1203" s="266" t="s">
        <v>642</v>
      </c>
    </row>
    <row r="1204" spans="26:26">
      <c r="Z1204" s="266" t="s">
        <v>644</v>
      </c>
    </row>
    <row r="1205" spans="26:26">
      <c r="Z1205" s="266" t="s">
        <v>640</v>
      </c>
    </row>
    <row r="1206" spans="26:26">
      <c r="Z1206" s="266" t="s">
        <v>636</v>
      </c>
    </row>
    <row r="1207" spans="26:26">
      <c r="Z1207" s="266" t="s">
        <v>638</v>
      </c>
    </row>
    <row r="1208" spans="26:26">
      <c r="Z1208" s="266" t="s">
        <v>646</v>
      </c>
    </row>
    <row r="1209" spans="26:26">
      <c r="Z1209" s="266" t="s">
        <v>648</v>
      </c>
    </row>
    <row r="1210" spans="26:26">
      <c r="Z1210" s="266" t="s">
        <v>650</v>
      </c>
    </row>
    <row r="1211" spans="26:26">
      <c r="Z1211" s="266" t="s">
        <v>674</v>
      </c>
    </row>
    <row r="1212" spans="26:26">
      <c r="Z1212" s="266" t="s">
        <v>1049</v>
      </c>
    </row>
    <row r="1213" spans="26:26">
      <c r="Z1213" s="266" t="s">
        <v>836</v>
      </c>
    </row>
    <row r="1214" spans="26:26">
      <c r="Z1214" s="266" t="s">
        <v>1051</v>
      </c>
    </row>
    <row r="1215" spans="26:26">
      <c r="Z1215" s="266" t="s">
        <v>838</v>
      </c>
    </row>
    <row r="1216" spans="26:26">
      <c r="Z1216" s="266" t="s">
        <v>840</v>
      </c>
    </row>
    <row r="1217" spans="26:26">
      <c r="Z1217" s="266" t="s">
        <v>842</v>
      </c>
    </row>
    <row r="1218" spans="26:26">
      <c r="Z1218" s="266" t="s">
        <v>844</v>
      </c>
    </row>
    <row r="1219" spans="26:26">
      <c r="Z1219" s="266" t="s">
        <v>846</v>
      </c>
    </row>
    <row r="1220" spans="26:26">
      <c r="Z1220" s="266" t="s">
        <v>848</v>
      </c>
    </row>
    <row r="1221" spans="26:26">
      <c r="Z1221" s="266" t="s">
        <v>850</v>
      </c>
    </row>
    <row r="1222" spans="26:26">
      <c r="Z1222" s="266" t="s">
        <v>852</v>
      </c>
    </row>
    <row r="1223" spans="26:26">
      <c r="Z1223" s="266" t="s">
        <v>854</v>
      </c>
    </row>
    <row r="1224" spans="26:26">
      <c r="Z1224" s="266" t="s">
        <v>856</v>
      </c>
    </row>
    <row r="1225" spans="26:26">
      <c r="Z1225" s="266" t="s">
        <v>1053</v>
      </c>
    </row>
    <row r="1226" spans="26:26">
      <c r="Z1226" s="266" t="s">
        <v>858</v>
      </c>
    </row>
    <row r="1227" spans="26:26">
      <c r="Z1227" s="266" t="s">
        <v>860</v>
      </c>
    </row>
    <row r="1228" spans="26:26">
      <c r="Z1228" s="266" t="s">
        <v>862</v>
      </c>
    </row>
    <row r="1229" spans="26:26">
      <c r="Z1229" s="266" t="s">
        <v>1135</v>
      </c>
    </row>
    <row r="1230" spans="26:26">
      <c r="Z1230" s="266" t="s">
        <v>652</v>
      </c>
    </row>
    <row r="1231" spans="26:26">
      <c r="Z1231" s="266" t="s">
        <v>656</v>
      </c>
    </row>
    <row r="1232" spans="26:26">
      <c r="Z1232" s="266" t="s">
        <v>654</v>
      </c>
    </row>
    <row r="1233" spans="26:26">
      <c r="Z1233" s="266" t="s">
        <v>459</v>
      </c>
    </row>
    <row r="1234" spans="26:26">
      <c r="Z1234" s="266" t="s">
        <v>1055</v>
      </c>
    </row>
    <row r="1235" spans="26:26">
      <c r="Z1235" s="266" t="s">
        <v>244</v>
      </c>
    </row>
    <row r="1236" spans="26:26">
      <c r="Z1236" s="266" t="s">
        <v>1057</v>
      </c>
    </row>
    <row r="1237" spans="26:26">
      <c r="Z1237" s="266" t="s">
        <v>658</v>
      </c>
    </row>
    <row r="1238" spans="26:26">
      <c r="Z1238" s="266" t="s">
        <v>963</v>
      </c>
    </row>
    <row r="1239" spans="26:26">
      <c r="Z1239" s="266" t="s">
        <v>662</v>
      </c>
    </row>
    <row r="1240" spans="26:26">
      <c r="Z1240" s="266" t="s">
        <v>660</v>
      </c>
    </row>
    <row r="1241" spans="26:26">
      <c r="Z1241" s="266" t="s">
        <v>664</v>
      </c>
    </row>
    <row r="1242" spans="26:26">
      <c r="Z1242" s="266" t="s">
        <v>1137</v>
      </c>
    </row>
    <row r="1243" spans="26:26">
      <c r="Z1243" s="266" t="s">
        <v>1139</v>
      </c>
    </row>
    <row r="1244" spans="26:26">
      <c r="Z1244" s="266" t="s">
        <v>1141</v>
      </c>
    </row>
    <row r="1245" spans="26:26">
      <c r="Z1245" s="266" t="s">
        <v>1143</v>
      </c>
    </row>
    <row r="1246" spans="26:26">
      <c r="Z1246" s="266" t="s">
        <v>1145</v>
      </c>
    </row>
    <row r="1247" spans="26:26">
      <c r="Z1247" s="266" t="s">
        <v>666</v>
      </c>
    </row>
    <row r="1248" spans="26:26">
      <c r="Z1248" s="266" t="s">
        <v>668</v>
      </c>
    </row>
    <row r="1249" spans="26:26">
      <c r="Z1249" s="266" t="s">
        <v>1148</v>
      </c>
    </row>
    <row r="1250" spans="26:26">
      <c r="Z1250" s="266" t="s">
        <v>1150</v>
      </c>
    </row>
    <row r="1251" spans="26:26">
      <c r="Z1251" s="266" t="s">
        <v>672</v>
      </c>
    </row>
    <row r="1252" spans="26:26">
      <c r="Z1252" s="266" t="s">
        <v>670</v>
      </c>
    </row>
    <row r="1253" spans="26:26">
      <c r="Z1253" s="266" t="s">
        <v>1059</v>
      </c>
    </row>
    <row r="1254" spans="26:26">
      <c r="Z1254" s="266" t="s">
        <v>981</v>
      </c>
    </row>
    <row r="1255" spans="26:26">
      <c r="Z1255" s="266" t="s">
        <v>983</v>
      </c>
    </row>
    <row r="1256" spans="26:26">
      <c r="Z1256" s="266" t="s">
        <v>985</v>
      </c>
    </row>
    <row r="1257" spans="26:26">
      <c r="Z1257" s="266" t="s">
        <v>987</v>
      </c>
    </row>
    <row r="1258" spans="26:26">
      <c r="Z1258" s="266" t="s">
        <v>864</v>
      </c>
    </row>
    <row r="1259" spans="26:26">
      <c r="Z1259" s="266" t="s">
        <v>866</v>
      </c>
    </row>
    <row r="1260" spans="26:26">
      <c r="Z1260" s="266" t="s">
        <v>874</v>
      </c>
    </row>
    <row r="1261" spans="26:26">
      <c r="Z1261" s="266" t="s">
        <v>876</v>
      </c>
    </row>
    <row r="1262" spans="26:26">
      <c r="Z1262" s="266" t="s">
        <v>878</v>
      </c>
    </row>
    <row r="1263" spans="26:26">
      <c r="Z1263" s="266" t="s">
        <v>880</v>
      </c>
    </row>
    <row r="1264" spans="26:26">
      <c r="Z1264" s="266" t="s">
        <v>868</v>
      </c>
    </row>
    <row r="1265" spans="26:26">
      <c r="Z1265" s="266" t="s">
        <v>870</v>
      </c>
    </row>
    <row r="1266" spans="26:26">
      <c r="Z1266" s="266" t="s">
        <v>872</v>
      </c>
    </row>
    <row r="1267" spans="26:26">
      <c r="Z1267" s="266" t="s">
        <v>174</v>
      </c>
    </row>
    <row r="1268" spans="26:26">
      <c r="Z1268" s="266" t="s">
        <v>201</v>
      </c>
    </row>
    <row r="1269" spans="26:26">
      <c r="Z1269" s="266" t="s">
        <v>1194</v>
      </c>
    </row>
    <row r="1270" spans="26:26">
      <c r="Z1270" s="266" t="s">
        <v>1192</v>
      </c>
    </row>
    <row r="1271" spans="26:26">
      <c r="Z1271" s="266" t="s">
        <v>882</v>
      </c>
    </row>
    <row r="1272" spans="26:26">
      <c r="Z1272" s="266" t="s">
        <v>223</v>
      </c>
    </row>
    <row r="1273" spans="26:26">
      <c r="Z1273" s="266" t="s">
        <v>222</v>
      </c>
    </row>
    <row r="1274" spans="26:26">
      <c r="Z1274" s="266" t="s">
        <v>1061</v>
      </c>
    </row>
    <row r="1275" spans="26:26">
      <c r="Z1275" s="266" t="s">
        <v>991</v>
      </c>
    </row>
    <row r="1276" spans="26:26">
      <c r="Z1276" s="266" t="s">
        <v>989</v>
      </c>
    </row>
    <row r="1277" spans="26:26">
      <c r="Z1277" s="266" t="s">
        <v>1152</v>
      </c>
    </row>
    <row r="1278" spans="26:26">
      <c r="Z1278" s="266" t="s">
        <v>1154</v>
      </c>
    </row>
    <row r="1279" spans="26:26">
      <c r="Z1279" s="266" t="s">
        <v>473</v>
      </c>
    </row>
    <row r="1280" spans="26:26">
      <c r="Z1280" s="266" t="s">
        <v>349</v>
      </c>
    </row>
    <row r="1281" spans="26:26">
      <c r="Z1281" s="266" t="s">
        <v>993</v>
      </c>
    </row>
    <row r="1282" spans="26:26">
      <c r="Z1282" s="266" t="s">
        <v>1156</v>
      </c>
    </row>
    <row r="1283" spans="26:26">
      <c r="Z1283" s="266" t="s">
        <v>676</v>
      </c>
    </row>
    <row r="1284" spans="26:26">
      <c r="Z1284" s="266" t="s">
        <v>456</v>
      </c>
    </row>
    <row r="1285" spans="26:26">
      <c r="Z1285" s="266" t="s">
        <v>678</v>
      </c>
    </row>
    <row r="1286" spans="26:26">
      <c r="Z1286" s="266" t="s">
        <v>1158</v>
      </c>
    </row>
    <row r="1287" spans="26:26">
      <c r="Z1287" s="266" t="s">
        <v>1160</v>
      </c>
    </row>
    <row r="1288" spans="26:26">
      <c r="Z1288" s="266" t="s">
        <v>454</v>
      </c>
    </row>
    <row r="1289" spans="26:26">
      <c r="Z1289" s="266" t="s">
        <v>1063</v>
      </c>
    </row>
    <row r="1290" spans="26:26">
      <c r="Z1290" s="266" t="s">
        <v>1162</v>
      </c>
    </row>
    <row r="1291" spans="26:26">
      <c r="Z1291" s="266" t="s">
        <v>680</v>
      </c>
    </row>
    <row r="1292" spans="26:26">
      <c r="Z1292" s="266" t="s">
        <v>1164</v>
      </c>
    </row>
    <row r="1293" spans="26:26">
      <c r="Z1293" s="266" t="s">
        <v>995</v>
      </c>
    </row>
    <row r="1294" spans="26:26">
      <c r="Z1294" s="266" t="s">
        <v>1065</v>
      </c>
    </row>
    <row r="1295" spans="26:26">
      <c r="Z1295" s="266" t="s">
        <v>1166</v>
      </c>
    </row>
    <row r="1296" spans="26:26">
      <c r="Z1296" s="266" t="s">
        <v>1168</v>
      </c>
    </row>
    <row r="1297" spans="26:26">
      <c r="Z1297" s="266" t="s">
        <v>682</v>
      </c>
    </row>
    <row r="1298" spans="26:26">
      <c r="Z1298" s="266" t="s">
        <v>402</v>
      </c>
    </row>
    <row r="1299" spans="26:26">
      <c r="Z1299" s="266" t="s">
        <v>391</v>
      </c>
    </row>
    <row r="1300" spans="26:26">
      <c r="Z1300" s="266" t="s">
        <v>404</v>
      </c>
    </row>
    <row r="1301" spans="26:26">
      <c r="Z1301" s="266" t="s">
        <v>194</v>
      </c>
    </row>
    <row r="1302" spans="26:26">
      <c r="Z1302" s="266" t="s">
        <v>190</v>
      </c>
    </row>
    <row r="1303" spans="26:26">
      <c r="Z1303" s="266" t="s">
        <v>1170</v>
      </c>
    </row>
    <row r="1304" spans="26:26">
      <c r="Z1304" s="266" t="s">
        <v>471</v>
      </c>
    </row>
    <row r="1305" spans="26:26">
      <c r="Z1305" s="266" t="s">
        <v>1172</v>
      </c>
    </row>
    <row r="1306" spans="26:26">
      <c r="Z1306" s="266" t="s">
        <v>1174</v>
      </c>
    </row>
    <row r="1307" spans="26:26">
      <c r="Z1307" s="266" t="s">
        <v>886</v>
      </c>
    </row>
    <row r="1308" spans="26:26">
      <c r="Z1308" s="266" t="s">
        <v>884</v>
      </c>
    </row>
    <row r="1309" spans="26:26">
      <c r="Z1309" s="266" t="s">
        <v>888</v>
      </c>
    </row>
    <row r="1310" spans="26:26">
      <c r="Z1310" s="266" t="s">
        <v>890</v>
      </c>
    </row>
    <row r="1311" spans="26:26">
      <c r="Z1311" s="266" t="s">
        <v>892</v>
      </c>
    </row>
    <row r="1312" spans="26:26">
      <c r="Z1312" s="266" t="s">
        <v>894</v>
      </c>
    </row>
    <row r="1313" spans="26:26">
      <c r="Z1313" s="266" t="s">
        <v>896</v>
      </c>
    </row>
    <row r="1314" spans="26:26">
      <c r="Z1314" s="266" t="s">
        <v>904</v>
      </c>
    </row>
    <row r="1315" spans="26:26">
      <c r="Z1315" s="266" t="s">
        <v>898</v>
      </c>
    </row>
    <row r="1316" spans="26:26">
      <c r="Z1316" s="266" t="s">
        <v>900</v>
      </c>
    </row>
    <row r="1317" spans="26:26">
      <c r="Z1317" s="266" t="s">
        <v>902</v>
      </c>
    </row>
    <row r="1318" spans="26:26">
      <c r="Z1318" s="266" t="s">
        <v>908</v>
      </c>
    </row>
    <row r="1319" spans="26:26">
      <c r="Z1319" s="266" t="s">
        <v>906</v>
      </c>
    </row>
    <row r="1320" spans="26:26">
      <c r="Z1320" s="266" t="s">
        <v>226</v>
      </c>
    </row>
    <row r="1321" spans="26:26">
      <c r="Z1321" s="266" t="s">
        <v>225</v>
      </c>
    </row>
    <row r="1322" spans="26:26">
      <c r="Z1322" s="266" t="s">
        <v>1069</v>
      </c>
    </row>
    <row r="1323" spans="26:26">
      <c r="Z1323" s="266" t="s">
        <v>1067</v>
      </c>
    </row>
    <row r="1324" spans="26:26">
      <c r="Z1324" s="266" t="s">
        <v>465</v>
      </c>
    </row>
    <row r="1325" spans="26:26">
      <c r="Z1325" s="266" t="s">
        <v>1073</v>
      </c>
    </row>
    <row r="1326" spans="26:26">
      <c r="Z1326" s="266" t="s">
        <v>684</v>
      </c>
    </row>
    <row r="1327" spans="26:26">
      <c r="Z1327" s="266" t="s">
        <v>686</v>
      </c>
    </row>
    <row r="1328" spans="26:26">
      <c r="Z1328" s="266" t="s">
        <v>1176</v>
      </c>
    </row>
    <row r="1329" spans="26:26">
      <c r="Z1329" s="266" t="s">
        <v>408</v>
      </c>
    </row>
    <row r="1330" spans="26:26">
      <c r="Z1330" s="266" t="s">
        <v>394</v>
      </c>
    </row>
    <row r="1331" spans="26:26">
      <c r="Z1331" s="266" t="s">
        <v>912</v>
      </c>
    </row>
    <row r="1332" spans="26:26">
      <c r="Z1332" s="266" t="s">
        <v>914</v>
      </c>
    </row>
    <row r="1333" spans="26:26">
      <c r="Z1333" s="266" t="s">
        <v>918</v>
      </c>
    </row>
    <row r="1334" spans="26:26">
      <c r="Z1334" s="266" t="s">
        <v>916</v>
      </c>
    </row>
    <row r="1335" spans="26:26">
      <c r="Z1335" s="266" t="s">
        <v>910</v>
      </c>
    </row>
    <row r="1336" spans="26:26">
      <c r="Z1336" s="266" t="s">
        <v>920</v>
      </c>
    </row>
    <row r="1337" spans="26:26">
      <c r="Z1337" s="266" t="s">
        <v>399</v>
      </c>
    </row>
    <row r="1338" spans="26:26">
      <c r="Z1338" s="266" t="s">
        <v>388</v>
      </c>
    </row>
    <row r="1339" spans="26:26">
      <c r="Z1339" s="266" t="s">
        <v>461</v>
      </c>
    </row>
    <row r="1340" spans="26:26">
      <c r="Z1340" s="266" t="s">
        <v>688</v>
      </c>
    </row>
    <row r="1341" spans="26:26">
      <c r="Z1341" s="266" t="s">
        <v>1071</v>
      </c>
    </row>
    <row r="1342" spans="26:26">
      <c r="Z1342" s="266" t="s">
        <v>690</v>
      </c>
    </row>
    <row r="1343" spans="26:26">
      <c r="Z1343" s="266" t="s">
        <v>1178</v>
      </c>
    </row>
    <row r="1344" spans="26:26">
      <c r="Z1344" s="266" t="s">
        <v>251</v>
      </c>
    </row>
    <row r="1345" spans="26:26">
      <c r="Z1345" s="266" t="s">
        <v>997</v>
      </c>
    </row>
    <row r="1346" spans="26:26">
      <c r="Z1346" s="266" t="s">
        <v>922</v>
      </c>
    </row>
    <row r="1347" spans="26:26">
      <c r="Z1347" s="266" t="s">
        <v>999</v>
      </c>
    </row>
    <row r="1348" spans="26:26">
      <c r="Z1348" s="266" t="s">
        <v>692</v>
      </c>
    </row>
    <row r="1349" spans="26:26">
      <c r="Z1349" s="266" t="s">
        <v>1001</v>
      </c>
    </row>
    <row r="1350" spans="26:26">
      <c r="Z1350" s="266" t="s">
        <v>696</v>
      </c>
    </row>
    <row r="1351" spans="26:26">
      <c r="Z1351" s="266" t="s">
        <v>694</v>
      </c>
    </row>
    <row r="1352" spans="26:26">
      <c r="Z1352" s="266" t="s">
        <v>1075</v>
      </c>
    </row>
    <row r="1353" spans="26:26">
      <c r="Z1353" s="266" t="s">
        <v>1077</v>
      </c>
    </row>
    <row r="1354" spans="26:26">
      <c r="Z1354" s="266" t="s">
        <v>1079</v>
      </c>
    </row>
    <row r="1355" spans="26:26">
      <c r="Z1355" s="266" t="s">
        <v>1081</v>
      </c>
    </row>
    <row r="1356" spans="26:26">
      <c r="Z1356" s="266" t="s">
        <v>239</v>
      </c>
    </row>
    <row r="1357" spans="26:26">
      <c r="Z1357" s="266" t="s">
        <v>1184</v>
      </c>
    </row>
    <row r="1358" spans="26:26">
      <c r="Z1358" s="266" t="s">
        <v>1186</v>
      </c>
    </row>
    <row r="1359" spans="26:26">
      <c r="Z1359" s="266" t="s">
        <v>1182</v>
      </c>
    </row>
    <row r="1360" spans="26:26">
      <c r="Z1360" s="266" t="s">
        <v>1180</v>
      </c>
    </row>
    <row r="1361" spans="26:26">
      <c r="Z1361" s="266" t="s">
        <v>343</v>
      </c>
    </row>
    <row r="1362" spans="26:26">
      <c r="Z1362" s="266" t="s">
        <v>341</v>
      </c>
    </row>
    <row r="1363" spans="26:26">
      <c r="Z1363" s="266" t="s">
        <v>345</v>
      </c>
    </row>
    <row r="1364" spans="26:26">
      <c r="Z1364" s="266" t="s">
        <v>347</v>
      </c>
    </row>
    <row r="1365" spans="26:26">
      <c r="Z1365" s="266" t="s">
        <v>418</v>
      </c>
    </row>
    <row r="1366" spans="26:26">
      <c r="Z1366" s="266" t="s">
        <v>1003</v>
      </c>
    </row>
    <row r="1367" spans="26:26">
      <c r="Z1367" s="266" t="s">
        <v>365</v>
      </c>
    </row>
    <row r="1368" spans="26:26">
      <c r="Z1368" s="266" t="s">
        <v>367</v>
      </c>
    </row>
    <row r="1369" spans="26:26">
      <c r="Z1369" s="266" t="s">
        <v>369</v>
      </c>
    </row>
    <row r="1370" spans="26:26">
      <c r="Z1370" s="266" t="s">
        <v>371</v>
      </c>
    </row>
    <row r="1481" spans="26:26">
      <c r="Z1481" s="666"/>
    </row>
    <row r="1569" spans="26:26">
      <c r="Z1569" s="666"/>
    </row>
  </sheetData>
  <autoFilter ref="A4:AD945" xr:uid="{CF7AECB3-9992-4894-A2AF-0AB5597B5F5A}">
    <sortState xmlns:xlrd2="http://schemas.microsoft.com/office/spreadsheetml/2017/richdata2" ref="A5:AD945">
      <sortCondition ref="A4:A945"/>
    </sortState>
  </autoFilter>
  <sortState xmlns:xlrd2="http://schemas.microsoft.com/office/spreadsheetml/2017/richdata2" ref="AA957:AA1884">
    <sortCondition ref="AA1884"/>
  </sortState>
  <mergeCells count="13">
    <mergeCell ref="C952:C954"/>
    <mergeCell ref="D952:D954"/>
    <mergeCell ref="E952:Q952"/>
    <mergeCell ref="D955:D956"/>
    <mergeCell ref="Y2:Y3"/>
    <mergeCell ref="Z2:Z3"/>
    <mergeCell ref="C1:W1"/>
    <mergeCell ref="C2:C3"/>
    <mergeCell ref="H2:H3"/>
    <mergeCell ref="I2:U2"/>
    <mergeCell ref="V2:V3"/>
    <mergeCell ref="W2:W3"/>
    <mergeCell ref="X2:X3"/>
  </mergeCells>
  <conditionalFormatting sqref="Z952:Z1890">
    <cfRule type="duplicateValues" dxfId="0" priority="1"/>
  </conditionalFormatting>
  <dataValidations disablePrompts="1" count="1">
    <dataValidation type="list" allowBlank="1" showInputMessage="1" showErrorMessage="1" sqref="D955:D956" xr:uid="{C702BD9A-18DA-4D24-A43B-A8E0D1660465}">
      <formula1>$Z$957:$Z$1370</formula1>
    </dataValidation>
  </dataValidations>
  <pageMargins left="0.39370078740157483" right="0.39370078740157483" top="0.59055118110236227" bottom="0.78740157480314965" header="0.31496062992125984" footer="0.31496062992125984"/>
  <pageSetup paperSize="9" scale="47" fitToHeight="0" orientation="landscape" r:id="rId1"/>
  <headerFooter>
    <oddFooter>&amp;R&amp;P/&amp;N</oddFooter>
  </headerFooter>
  <rowBreaks count="3" manualBreakCount="3">
    <brk id="811" max="24" man="1"/>
    <brk id="881" max="24" man="1"/>
    <brk id="946" max="2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D3AC-9C9C-4B30-987C-1D844927D506}">
  <sheetPr codeName="Plan12">
    <tabColor rgb="FFFFFF00"/>
    <pageSetUpPr fitToPage="1"/>
  </sheetPr>
  <dimension ref="A1:X204"/>
  <sheetViews>
    <sheetView view="pageBreakPreview" topLeftCell="A4" zoomScale="90" zoomScaleNormal="100" zoomScaleSheetLayoutView="90" workbookViewId="0">
      <pane ySplit="1800" topLeftCell="A7" activePane="bottomLeft"/>
      <selection pane="bottomLeft" activeCell="N657" sqref="N657"/>
      <selection activeCell="N657" sqref="N657"/>
    </sheetView>
  </sheetViews>
  <sheetFormatPr defaultColWidth="9.140625" defaultRowHeight="14.45" outlineLevelCol="1"/>
  <cols>
    <col min="1" max="2" width="9.140625" style="4" customWidth="1"/>
    <col min="3" max="3" width="9.42578125" style="260" customWidth="1"/>
    <col min="4" max="4" width="53.5703125" style="261" bestFit="1" customWidth="1"/>
    <col min="5" max="5" width="11.28515625" style="4" bestFit="1" customWidth="1"/>
    <col min="6" max="6" width="14.5703125" style="4" bestFit="1" customWidth="1"/>
    <col min="7" max="19" width="8.5703125" style="4" customWidth="1" outlineLevel="1"/>
    <col min="20" max="21" width="13.5703125" style="149" customWidth="1"/>
    <col min="22" max="22" width="15.7109375" style="149" customWidth="1"/>
    <col min="23" max="23" width="14.28515625" style="82" customWidth="1"/>
    <col min="24" max="24" width="15.7109375" style="264" customWidth="1"/>
    <col min="25" max="16384" width="9.140625" style="2"/>
  </cols>
  <sheetData>
    <row r="1" spans="1:24" ht="28.9" customHeight="1">
      <c r="C1" s="752" t="s">
        <v>1197</v>
      </c>
      <c r="D1" s="753"/>
      <c r="E1" s="753"/>
      <c r="F1" s="753"/>
      <c r="G1" s="753"/>
      <c r="H1" s="753"/>
      <c r="I1" s="753"/>
      <c r="J1" s="753"/>
      <c r="K1" s="753"/>
      <c r="L1" s="753"/>
      <c r="M1" s="753"/>
      <c r="N1" s="753"/>
      <c r="O1" s="753"/>
      <c r="P1" s="753"/>
      <c r="Q1" s="753"/>
      <c r="R1" s="753"/>
      <c r="S1" s="753"/>
      <c r="T1" s="753"/>
      <c r="U1" s="753"/>
      <c r="V1" s="754"/>
      <c r="W1" s="680"/>
      <c r="X1" s="681"/>
    </row>
    <row r="2" spans="1:24" s="4" customFormat="1" ht="28.5" customHeight="1">
      <c r="C2" s="755" t="s">
        <v>2</v>
      </c>
      <c r="D2" s="756" t="s">
        <v>3</v>
      </c>
      <c r="E2" s="755" t="s">
        <v>45</v>
      </c>
      <c r="F2" s="755" t="s">
        <v>336</v>
      </c>
      <c r="G2" s="755" t="s">
        <v>47</v>
      </c>
      <c r="H2" s="755"/>
      <c r="I2" s="755"/>
      <c r="J2" s="755"/>
      <c r="K2" s="755"/>
      <c r="L2" s="755"/>
      <c r="M2" s="755"/>
      <c r="N2" s="755"/>
      <c r="O2" s="755"/>
      <c r="P2" s="755"/>
      <c r="Q2" s="755"/>
      <c r="R2" s="755"/>
      <c r="S2" s="755"/>
      <c r="T2" s="755" t="s">
        <v>48</v>
      </c>
      <c r="U2" s="756" t="s">
        <v>49</v>
      </c>
      <c r="V2" s="755" t="s">
        <v>337</v>
      </c>
      <c r="W2" s="749" t="s">
        <v>1198</v>
      </c>
      <c r="X2" s="751"/>
    </row>
    <row r="3" spans="1:24" s="4" customFormat="1" ht="15" customHeight="1">
      <c r="C3" s="755"/>
      <c r="D3" s="756"/>
      <c r="E3" s="755"/>
      <c r="F3" s="755"/>
      <c r="G3" s="268" t="s">
        <v>27</v>
      </c>
      <c r="H3" s="268">
        <v>25</v>
      </c>
      <c r="I3" s="268">
        <v>26</v>
      </c>
      <c r="J3" s="268">
        <v>27</v>
      </c>
      <c r="K3" s="268">
        <v>28</v>
      </c>
      <c r="L3" s="268">
        <v>29</v>
      </c>
      <c r="M3" s="268">
        <v>30</v>
      </c>
      <c r="N3" s="268">
        <v>31</v>
      </c>
      <c r="O3" s="268">
        <v>32</v>
      </c>
      <c r="P3" s="268">
        <v>33</v>
      </c>
      <c r="Q3" s="268">
        <v>34</v>
      </c>
      <c r="R3" s="268">
        <v>35</v>
      </c>
      <c r="S3" s="268">
        <v>36</v>
      </c>
      <c r="T3" s="755"/>
      <c r="U3" s="756"/>
      <c r="V3" s="755"/>
      <c r="W3" s="750"/>
      <c r="X3" s="751"/>
    </row>
    <row r="4" spans="1:24" s="4" customFormat="1" ht="15" customHeight="1">
      <c r="C4" s="682"/>
      <c r="D4" s="683"/>
      <c r="E4" s="682"/>
      <c r="F4" s="682"/>
      <c r="G4" s="682" t="s">
        <v>58</v>
      </c>
      <c r="H4" s="682" t="s">
        <v>59</v>
      </c>
      <c r="I4" s="682" t="s">
        <v>60</v>
      </c>
      <c r="J4" s="682" t="s">
        <v>61</v>
      </c>
      <c r="K4" s="682" t="s">
        <v>62</v>
      </c>
      <c r="L4" s="682" t="s">
        <v>63</v>
      </c>
      <c r="M4" s="682" t="s">
        <v>64</v>
      </c>
      <c r="N4" s="682" t="s">
        <v>65</v>
      </c>
      <c r="O4" s="682" t="s">
        <v>66</v>
      </c>
      <c r="P4" s="682" t="s">
        <v>67</v>
      </c>
      <c r="Q4" s="682" t="s">
        <v>68</v>
      </c>
      <c r="R4" s="682" t="s">
        <v>69</v>
      </c>
      <c r="S4" s="682" t="s">
        <v>58</v>
      </c>
      <c r="T4" s="682"/>
      <c r="U4" s="683"/>
      <c r="V4" s="682"/>
      <c r="W4" s="680"/>
      <c r="X4" s="681"/>
    </row>
    <row r="5" spans="1:24" s="159" customFormat="1" ht="15" customHeight="1">
      <c r="A5" s="151">
        <v>1</v>
      </c>
      <c r="B5" s="151" t="s">
        <v>0</v>
      </c>
      <c r="C5" s="152">
        <v>1</v>
      </c>
      <c r="D5" s="153" t="s">
        <v>338</v>
      </c>
      <c r="E5" s="154"/>
      <c r="F5" s="154"/>
      <c r="G5" s="155"/>
      <c r="H5" s="154"/>
      <c r="I5" s="154"/>
      <c r="J5" s="154"/>
      <c r="K5" s="154"/>
      <c r="L5" s="154"/>
      <c r="M5" s="154"/>
      <c r="N5" s="154"/>
      <c r="O5" s="154"/>
      <c r="P5" s="154"/>
      <c r="Q5" s="154"/>
      <c r="R5" s="154"/>
      <c r="S5" s="154"/>
      <c r="T5" s="156"/>
      <c r="U5" s="156"/>
      <c r="V5" s="156"/>
      <c r="W5" s="157"/>
      <c r="X5" s="158"/>
    </row>
    <row r="6" spans="1:24" s="167" customFormat="1" ht="15" customHeight="1">
      <c r="A6" s="160">
        <v>2</v>
      </c>
      <c r="B6" s="160" t="s">
        <v>1</v>
      </c>
      <c r="C6" s="161">
        <v>1</v>
      </c>
      <c r="D6" s="162" t="s">
        <v>338</v>
      </c>
      <c r="E6" s="163"/>
      <c r="F6" s="163"/>
      <c r="G6" s="164"/>
      <c r="H6" s="163"/>
      <c r="I6" s="163"/>
      <c r="J6" s="163"/>
      <c r="K6" s="163"/>
      <c r="L6" s="163"/>
      <c r="M6" s="163"/>
      <c r="N6" s="163"/>
      <c r="O6" s="163"/>
      <c r="P6" s="163"/>
      <c r="Q6" s="163"/>
      <c r="R6" s="163"/>
      <c r="S6" s="163"/>
      <c r="T6" s="165"/>
      <c r="U6" s="165"/>
      <c r="V6" s="165"/>
      <c r="W6" s="157"/>
      <c r="X6" s="166"/>
    </row>
    <row r="7" spans="1:24" ht="15" customHeight="1">
      <c r="A7" s="151">
        <v>3</v>
      </c>
      <c r="B7" s="151" t="s">
        <v>0</v>
      </c>
      <c r="C7" s="168" t="s">
        <v>71</v>
      </c>
      <c r="D7" s="169" t="s">
        <v>1199</v>
      </c>
      <c r="E7" s="170"/>
      <c r="F7" s="171"/>
      <c r="G7" s="172"/>
      <c r="H7" s="171"/>
      <c r="I7" s="171"/>
      <c r="J7" s="171"/>
      <c r="K7" s="171"/>
      <c r="L7" s="171"/>
      <c r="M7" s="171"/>
      <c r="N7" s="171"/>
      <c r="O7" s="171"/>
      <c r="P7" s="171"/>
      <c r="Q7" s="171"/>
      <c r="R7" s="171"/>
      <c r="S7" s="171"/>
      <c r="T7" s="173"/>
      <c r="U7" s="174"/>
      <c r="V7" s="174"/>
      <c r="W7" s="175"/>
      <c r="X7" s="176"/>
    </row>
    <row r="8" spans="1:24" s="31" customFormat="1" ht="15" customHeight="1">
      <c r="A8" s="160">
        <v>4</v>
      </c>
      <c r="B8" s="160" t="s">
        <v>1</v>
      </c>
      <c r="C8" s="177" t="s">
        <v>71</v>
      </c>
      <c r="D8" s="178" t="s">
        <v>1199</v>
      </c>
      <c r="E8" s="179"/>
      <c r="F8" s="180"/>
      <c r="G8" s="181"/>
      <c r="H8" s="180"/>
      <c r="I8" s="180"/>
      <c r="J8" s="180"/>
      <c r="K8" s="180"/>
      <c r="L8" s="180"/>
      <c r="M8" s="180"/>
      <c r="N8" s="180"/>
      <c r="O8" s="180"/>
      <c r="P8" s="180"/>
      <c r="Q8" s="180"/>
      <c r="R8" s="180"/>
      <c r="S8" s="180"/>
      <c r="T8" s="182"/>
      <c r="U8" s="183"/>
      <c r="V8" s="183"/>
      <c r="W8" s="175"/>
      <c r="X8" s="184"/>
    </row>
    <row r="9" spans="1:24" ht="15" customHeight="1">
      <c r="A9" s="151">
        <v>5</v>
      </c>
      <c r="B9" s="151" t="s">
        <v>0</v>
      </c>
      <c r="C9" s="185" t="s">
        <v>340</v>
      </c>
      <c r="D9" s="186" t="s">
        <v>126</v>
      </c>
      <c r="E9" s="187" t="s">
        <v>172</v>
      </c>
      <c r="F9" s="187" t="s">
        <v>1200</v>
      </c>
      <c r="G9" s="188">
        <v>0.8</v>
      </c>
      <c r="H9" s="188">
        <v>1</v>
      </c>
      <c r="I9" s="188">
        <v>1</v>
      </c>
      <c r="J9" s="188">
        <v>1</v>
      </c>
      <c r="K9" s="188">
        <v>1</v>
      </c>
      <c r="L9" s="188">
        <v>1</v>
      </c>
      <c r="M9" s="188">
        <v>1</v>
      </c>
      <c r="N9" s="188">
        <v>1</v>
      </c>
      <c r="O9" s="188">
        <v>1</v>
      </c>
      <c r="P9" s="188">
        <v>1</v>
      </c>
      <c r="Q9" s="188">
        <v>1</v>
      </c>
      <c r="R9" s="188">
        <v>1</v>
      </c>
      <c r="S9" s="188">
        <v>0.2</v>
      </c>
      <c r="T9" s="189">
        <f t="shared" ref="T9:T48" si="0">SUM(G9:S9)</f>
        <v>12</v>
      </c>
      <c r="U9" s="190">
        <v>32114.49</v>
      </c>
      <c r="V9" s="189">
        <f t="shared" ref="V9:V48" si="1">U9*T9</f>
        <v>385373.88</v>
      </c>
      <c r="W9" s="191" t="s">
        <v>74</v>
      </c>
      <c r="X9" s="192"/>
    </row>
    <row r="10" spans="1:24" s="31" customFormat="1" ht="15" customHeight="1">
      <c r="A10" s="160">
        <v>6</v>
      </c>
      <c r="B10" s="160" t="s">
        <v>1</v>
      </c>
      <c r="C10" s="193" t="s">
        <v>340</v>
      </c>
      <c r="D10" s="194" t="s">
        <v>126</v>
      </c>
      <c r="E10" s="195" t="s">
        <v>172</v>
      </c>
      <c r="F10" s="195" t="s">
        <v>1200</v>
      </c>
      <c r="G10" s="196">
        <v>0.79999999999999993</v>
      </c>
      <c r="H10" s="196">
        <v>1</v>
      </c>
      <c r="I10" s="196">
        <v>1</v>
      </c>
      <c r="J10" s="196">
        <v>1</v>
      </c>
      <c r="K10" s="196"/>
      <c r="L10" s="196"/>
      <c r="M10" s="196"/>
      <c r="N10" s="196"/>
      <c r="O10" s="196"/>
      <c r="P10" s="196"/>
      <c r="Q10" s="196"/>
      <c r="R10" s="196"/>
      <c r="S10" s="196"/>
      <c r="T10" s="197">
        <f t="shared" si="0"/>
        <v>3.8</v>
      </c>
      <c r="U10" s="198">
        <v>32114.49</v>
      </c>
      <c r="V10" s="197">
        <f t="shared" si="1"/>
        <v>122035.06200000001</v>
      </c>
      <c r="W10" s="191">
        <f>V10/V9</f>
        <v>0.31666666666666665</v>
      </c>
      <c r="X10" s="199"/>
    </row>
    <row r="11" spans="1:24" ht="15" customHeight="1">
      <c r="A11" s="151">
        <v>7</v>
      </c>
      <c r="B11" s="151" t="s">
        <v>0</v>
      </c>
      <c r="C11" s="185" t="s">
        <v>342</v>
      </c>
      <c r="D11" s="200" t="s">
        <v>78</v>
      </c>
      <c r="E11" s="187" t="s">
        <v>81</v>
      </c>
      <c r="F11" s="187" t="s">
        <v>1200</v>
      </c>
      <c r="G11" s="188">
        <v>0.8</v>
      </c>
      <c r="H11" s="188">
        <v>1</v>
      </c>
      <c r="I11" s="188">
        <v>1</v>
      </c>
      <c r="J11" s="188">
        <v>1</v>
      </c>
      <c r="K11" s="188">
        <v>1</v>
      </c>
      <c r="L11" s="188">
        <v>1</v>
      </c>
      <c r="M11" s="188">
        <v>1</v>
      </c>
      <c r="N11" s="188">
        <v>1</v>
      </c>
      <c r="O11" s="188">
        <v>1</v>
      </c>
      <c r="P11" s="188">
        <v>1</v>
      </c>
      <c r="Q11" s="188">
        <v>1</v>
      </c>
      <c r="R11" s="188">
        <v>1</v>
      </c>
      <c r="S11" s="188">
        <v>0.2</v>
      </c>
      <c r="T11" s="189">
        <f t="shared" si="0"/>
        <v>12</v>
      </c>
      <c r="U11" s="190">
        <v>4487.3500000000004</v>
      </c>
      <c r="V11" s="189">
        <f t="shared" si="1"/>
        <v>53848.200000000004</v>
      </c>
      <c r="W11" s="191" t="s">
        <v>74</v>
      </c>
      <c r="X11" s="192"/>
    </row>
    <row r="12" spans="1:24" s="31" customFormat="1" ht="15" customHeight="1">
      <c r="A12" s="160">
        <v>8</v>
      </c>
      <c r="B12" s="160" t="s">
        <v>1</v>
      </c>
      <c r="C12" s="193" t="s">
        <v>342</v>
      </c>
      <c r="D12" s="201" t="s">
        <v>78</v>
      </c>
      <c r="E12" s="195" t="s">
        <v>81</v>
      </c>
      <c r="F12" s="195" t="s">
        <v>1200</v>
      </c>
      <c r="G12" s="196">
        <v>0</v>
      </c>
      <c r="H12" s="196">
        <v>1</v>
      </c>
      <c r="I12" s="196">
        <v>1</v>
      </c>
      <c r="J12" s="196">
        <v>1</v>
      </c>
      <c r="K12" s="196"/>
      <c r="L12" s="196"/>
      <c r="M12" s="196"/>
      <c r="N12" s="196"/>
      <c r="O12" s="196"/>
      <c r="P12" s="196"/>
      <c r="Q12" s="196"/>
      <c r="R12" s="196"/>
      <c r="S12" s="196"/>
      <c r="T12" s="197">
        <f t="shared" si="0"/>
        <v>3</v>
      </c>
      <c r="U12" s="198">
        <v>4487.3500000000004</v>
      </c>
      <c r="V12" s="197">
        <f t="shared" si="1"/>
        <v>13462.050000000001</v>
      </c>
      <c r="W12" s="191">
        <f>V12/V11</f>
        <v>0.25</v>
      </c>
      <c r="X12" s="199"/>
    </row>
    <row r="13" spans="1:24" ht="15" customHeight="1">
      <c r="A13" s="151">
        <v>9</v>
      </c>
      <c r="B13" s="151" t="s">
        <v>0</v>
      </c>
      <c r="C13" s="185" t="s">
        <v>344</v>
      </c>
      <c r="D13" s="200" t="s">
        <v>106</v>
      </c>
      <c r="E13" s="187" t="s">
        <v>135</v>
      </c>
      <c r="F13" s="187" t="s">
        <v>1200</v>
      </c>
      <c r="G13" s="188">
        <v>0.8</v>
      </c>
      <c r="H13" s="188">
        <v>1</v>
      </c>
      <c r="I13" s="188">
        <v>1</v>
      </c>
      <c r="J13" s="188">
        <v>1</v>
      </c>
      <c r="K13" s="188">
        <v>1</v>
      </c>
      <c r="L13" s="188">
        <v>1</v>
      </c>
      <c r="M13" s="188">
        <v>0.70000000000000007</v>
      </c>
      <c r="N13" s="188">
        <v>0.70000000000000007</v>
      </c>
      <c r="O13" s="188">
        <v>1</v>
      </c>
      <c r="P13" s="188">
        <v>1</v>
      </c>
      <c r="Q13" s="188">
        <v>1</v>
      </c>
      <c r="R13" s="188">
        <v>1</v>
      </c>
      <c r="S13" s="188">
        <v>0.2</v>
      </c>
      <c r="T13" s="189">
        <f t="shared" si="0"/>
        <v>11.399999999999999</v>
      </c>
      <c r="U13" s="190">
        <v>6370.42</v>
      </c>
      <c r="V13" s="189">
        <f t="shared" si="1"/>
        <v>72622.787999999986</v>
      </c>
      <c r="W13" s="191" t="s">
        <v>74</v>
      </c>
      <c r="X13" s="192"/>
    </row>
    <row r="14" spans="1:24" s="31" customFormat="1" ht="15" customHeight="1">
      <c r="A14" s="160">
        <v>10</v>
      </c>
      <c r="B14" s="160" t="s">
        <v>1</v>
      </c>
      <c r="C14" s="193" t="s">
        <v>344</v>
      </c>
      <c r="D14" s="201" t="s">
        <v>106</v>
      </c>
      <c r="E14" s="195" t="s">
        <v>135</v>
      </c>
      <c r="F14" s="195" t="s">
        <v>1200</v>
      </c>
      <c r="G14" s="196">
        <v>0.8</v>
      </c>
      <c r="H14" s="196">
        <v>1</v>
      </c>
      <c r="I14" s="196">
        <v>0.5</v>
      </c>
      <c r="J14" s="196">
        <v>1</v>
      </c>
      <c r="K14" s="196"/>
      <c r="L14" s="196"/>
      <c r="M14" s="196"/>
      <c r="N14" s="196"/>
      <c r="O14" s="196"/>
      <c r="P14" s="196"/>
      <c r="Q14" s="196"/>
      <c r="R14" s="196"/>
      <c r="S14" s="196"/>
      <c r="T14" s="197">
        <f t="shared" si="0"/>
        <v>3.3</v>
      </c>
      <c r="U14" s="198">
        <v>6370.42</v>
      </c>
      <c r="V14" s="197">
        <f t="shared" si="1"/>
        <v>21022.385999999999</v>
      </c>
      <c r="W14" s="191">
        <f>V14/V13</f>
        <v>0.28947368421052633</v>
      </c>
      <c r="X14" s="199"/>
    </row>
    <row r="15" spans="1:24" s="203" customFormat="1" ht="15" customHeight="1">
      <c r="A15" s="151">
        <v>11</v>
      </c>
      <c r="B15" s="151" t="s">
        <v>0</v>
      </c>
      <c r="C15" s="168" t="s">
        <v>76</v>
      </c>
      <c r="D15" s="169" t="s">
        <v>1201</v>
      </c>
      <c r="E15" s="170"/>
      <c r="F15" s="169"/>
      <c r="G15" s="202"/>
      <c r="H15" s="202"/>
      <c r="I15" s="202"/>
      <c r="J15" s="202"/>
      <c r="K15" s="202"/>
      <c r="L15" s="202"/>
      <c r="M15" s="202"/>
      <c r="N15" s="202"/>
      <c r="O15" s="202"/>
      <c r="P15" s="202"/>
      <c r="Q15" s="202"/>
      <c r="R15" s="202"/>
      <c r="S15" s="202"/>
      <c r="T15" s="174">
        <f t="shared" si="0"/>
        <v>0</v>
      </c>
      <c r="U15" s="174"/>
      <c r="V15" s="174">
        <f t="shared" si="1"/>
        <v>0</v>
      </c>
      <c r="W15" s="175"/>
      <c r="X15" s="176"/>
    </row>
    <row r="16" spans="1:24" s="205" customFormat="1" ht="15" customHeight="1">
      <c r="A16" s="160">
        <v>12</v>
      </c>
      <c r="B16" s="160" t="s">
        <v>1</v>
      </c>
      <c r="C16" s="177" t="s">
        <v>76</v>
      </c>
      <c r="D16" s="178" t="s">
        <v>1201</v>
      </c>
      <c r="E16" s="179"/>
      <c r="F16" s="178"/>
      <c r="G16" s="204"/>
      <c r="H16" s="204"/>
      <c r="I16" s="204"/>
      <c r="J16" s="204"/>
      <c r="K16" s="204"/>
      <c r="L16" s="204"/>
      <c r="M16" s="204"/>
      <c r="N16" s="204"/>
      <c r="O16" s="204"/>
      <c r="P16" s="204"/>
      <c r="Q16" s="204"/>
      <c r="R16" s="204"/>
      <c r="S16" s="204"/>
      <c r="T16" s="183">
        <f t="shared" si="0"/>
        <v>0</v>
      </c>
      <c r="U16" s="183"/>
      <c r="V16" s="183">
        <f t="shared" si="1"/>
        <v>0</v>
      </c>
      <c r="W16" s="175"/>
      <c r="X16" s="184"/>
    </row>
    <row r="17" spans="1:24" ht="15" customHeight="1">
      <c r="A17" s="151">
        <v>13</v>
      </c>
      <c r="B17" s="151" t="s">
        <v>0</v>
      </c>
      <c r="C17" s="185" t="s">
        <v>350</v>
      </c>
      <c r="D17" s="186" t="s">
        <v>72</v>
      </c>
      <c r="E17" s="206" t="s">
        <v>73</v>
      </c>
      <c r="F17" s="187" t="s">
        <v>1200</v>
      </c>
      <c r="G17" s="188">
        <v>0.4</v>
      </c>
      <c r="H17" s="188">
        <v>0.5</v>
      </c>
      <c r="I17" s="188">
        <v>0.5</v>
      </c>
      <c r="J17" s="188">
        <v>0.5</v>
      </c>
      <c r="K17" s="188">
        <v>0.5</v>
      </c>
      <c r="L17" s="188">
        <v>0.5</v>
      </c>
      <c r="M17" s="188">
        <v>0.5</v>
      </c>
      <c r="N17" s="188">
        <v>0.5</v>
      </c>
      <c r="O17" s="188">
        <v>0.5</v>
      </c>
      <c r="P17" s="188">
        <v>0.5</v>
      </c>
      <c r="Q17" s="188">
        <v>0.5</v>
      </c>
      <c r="R17" s="188">
        <v>0.5</v>
      </c>
      <c r="S17" s="188">
        <v>0.1</v>
      </c>
      <c r="T17" s="189">
        <f t="shared" si="0"/>
        <v>6</v>
      </c>
      <c r="U17" s="190">
        <v>24703.45</v>
      </c>
      <c r="V17" s="189">
        <f t="shared" si="1"/>
        <v>148220.70000000001</v>
      </c>
      <c r="W17" s="191" t="s">
        <v>74</v>
      </c>
      <c r="X17" s="192"/>
    </row>
    <row r="18" spans="1:24" s="31" customFormat="1" ht="15" customHeight="1">
      <c r="A18" s="160">
        <v>14</v>
      </c>
      <c r="B18" s="160" t="s">
        <v>1</v>
      </c>
      <c r="C18" s="193" t="s">
        <v>350</v>
      </c>
      <c r="D18" s="194" t="s">
        <v>72</v>
      </c>
      <c r="E18" s="207" t="s">
        <v>73</v>
      </c>
      <c r="F18" s="195" t="s">
        <v>1200</v>
      </c>
      <c r="G18" s="196">
        <v>0</v>
      </c>
      <c r="H18" s="196">
        <v>0</v>
      </c>
      <c r="I18" s="196">
        <v>0</v>
      </c>
      <c r="J18" s="196">
        <v>0</v>
      </c>
      <c r="K18" s="196"/>
      <c r="L18" s="196"/>
      <c r="M18" s="196"/>
      <c r="N18" s="196"/>
      <c r="O18" s="196"/>
      <c r="P18" s="196"/>
      <c r="Q18" s="196"/>
      <c r="R18" s="196"/>
      <c r="S18" s="196"/>
      <c r="T18" s="197">
        <f t="shared" si="0"/>
        <v>0</v>
      </c>
      <c r="U18" s="198">
        <v>24703.45</v>
      </c>
      <c r="V18" s="197">
        <f t="shared" si="1"/>
        <v>0</v>
      </c>
      <c r="W18" s="191">
        <f>V18/V17</f>
        <v>0</v>
      </c>
      <c r="X18" s="199"/>
    </row>
    <row r="19" spans="1:24" s="203" customFormat="1" ht="15" customHeight="1">
      <c r="A19" s="151">
        <v>15</v>
      </c>
      <c r="B19" s="151" t="s">
        <v>0</v>
      </c>
      <c r="C19" s="168" t="s">
        <v>80</v>
      </c>
      <c r="D19" s="169" t="s">
        <v>1202</v>
      </c>
      <c r="E19" s="170"/>
      <c r="F19" s="169"/>
      <c r="G19" s="202"/>
      <c r="H19" s="202"/>
      <c r="I19" s="202"/>
      <c r="J19" s="202"/>
      <c r="K19" s="202"/>
      <c r="L19" s="202"/>
      <c r="M19" s="202"/>
      <c r="N19" s="202"/>
      <c r="O19" s="202"/>
      <c r="P19" s="202"/>
      <c r="Q19" s="202"/>
      <c r="R19" s="202"/>
      <c r="S19" s="202"/>
      <c r="T19" s="174">
        <f t="shared" si="0"/>
        <v>0</v>
      </c>
      <c r="U19" s="174"/>
      <c r="V19" s="174">
        <f t="shared" si="1"/>
        <v>0</v>
      </c>
      <c r="W19" s="175"/>
      <c r="X19" s="176"/>
    </row>
    <row r="20" spans="1:24" s="205" customFormat="1" ht="15" customHeight="1">
      <c r="A20" s="160">
        <v>16</v>
      </c>
      <c r="B20" s="160" t="s">
        <v>1</v>
      </c>
      <c r="C20" s="177" t="s">
        <v>80</v>
      </c>
      <c r="D20" s="178" t="s">
        <v>1202</v>
      </c>
      <c r="E20" s="179"/>
      <c r="F20" s="178"/>
      <c r="G20" s="204"/>
      <c r="H20" s="204"/>
      <c r="I20" s="204"/>
      <c r="J20" s="204"/>
      <c r="K20" s="204"/>
      <c r="L20" s="204"/>
      <c r="M20" s="204"/>
      <c r="N20" s="204"/>
      <c r="O20" s="204"/>
      <c r="P20" s="204"/>
      <c r="Q20" s="204"/>
      <c r="R20" s="204"/>
      <c r="S20" s="204"/>
      <c r="T20" s="183">
        <f t="shared" si="0"/>
        <v>0</v>
      </c>
      <c r="U20" s="183"/>
      <c r="V20" s="183">
        <f t="shared" si="1"/>
        <v>0</v>
      </c>
      <c r="W20" s="175"/>
      <c r="X20" s="184"/>
    </row>
    <row r="21" spans="1:24" ht="15" customHeight="1">
      <c r="A21" s="151">
        <v>17</v>
      </c>
      <c r="B21" s="151" t="s">
        <v>0</v>
      </c>
      <c r="C21" s="185" t="s">
        <v>385</v>
      </c>
      <c r="D21" s="186" t="s">
        <v>95</v>
      </c>
      <c r="E21" s="208" t="s">
        <v>117</v>
      </c>
      <c r="F21" s="187" t="s">
        <v>1200</v>
      </c>
      <c r="G21" s="188">
        <v>0.8</v>
      </c>
      <c r="H21" s="188">
        <v>1</v>
      </c>
      <c r="I21" s="188">
        <v>1</v>
      </c>
      <c r="J21" s="188">
        <v>1</v>
      </c>
      <c r="K21" s="188">
        <v>1</v>
      </c>
      <c r="L21" s="188">
        <v>1</v>
      </c>
      <c r="M21" s="188">
        <v>1</v>
      </c>
      <c r="N21" s="188">
        <v>1</v>
      </c>
      <c r="O21" s="188">
        <v>1</v>
      </c>
      <c r="P21" s="188">
        <v>1</v>
      </c>
      <c r="Q21" s="188">
        <v>1</v>
      </c>
      <c r="R21" s="188">
        <v>1</v>
      </c>
      <c r="S21" s="188">
        <v>0.2</v>
      </c>
      <c r="T21" s="189">
        <f t="shared" si="0"/>
        <v>12</v>
      </c>
      <c r="U21" s="190">
        <v>25688.39</v>
      </c>
      <c r="V21" s="189">
        <f t="shared" si="1"/>
        <v>308260.68</v>
      </c>
      <c r="W21" s="191" t="s">
        <v>74</v>
      </c>
      <c r="X21" s="192"/>
    </row>
    <row r="22" spans="1:24" s="31" customFormat="1" ht="15" customHeight="1">
      <c r="A22" s="160">
        <v>18</v>
      </c>
      <c r="B22" s="160" t="s">
        <v>1</v>
      </c>
      <c r="C22" s="193" t="s">
        <v>385</v>
      </c>
      <c r="D22" s="194" t="s">
        <v>95</v>
      </c>
      <c r="E22" s="207" t="s">
        <v>117</v>
      </c>
      <c r="F22" s="195" t="s">
        <v>1200</v>
      </c>
      <c r="G22" s="196">
        <v>0.8</v>
      </c>
      <c r="H22" s="196">
        <v>1</v>
      </c>
      <c r="I22" s="196">
        <v>1</v>
      </c>
      <c r="J22" s="196">
        <v>0.5</v>
      </c>
      <c r="K22" s="196"/>
      <c r="L22" s="196"/>
      <c r="M22" s="196"/>
      <c r="N22" s="196"/>
      <c r="O22" s="196"/>
      <c r="P22" s="196"/>
      <c r="Q22" s="196"/>
      <c r="R22" s="196"/>
      <c r="S22" s="196"/>
      <c r="T22" s="197">
        <f t="shared" si="0"/>
        <v>3.3</v>
      </c>
      <c r="U22" s="198">
        <v>25688.39</v>
      </c>
      <c r="V22" s="197">
        <f t="shared" si="1"/>
        <v>84771.686999999991</v>
      </c>
      <c r="W22" s="191">
        <f>V22/V21</f>
        <v>0.27499999999999997</v>
      </c>
      <c r="X22" s="199"/>
    </row>
    <row r="23" spans="1:24" ht="15" customHeight="1">
      <c r="A23" s="151">
        <v>19</v>
      </c>
      <c r="B23" s="151" t="s">
        <v>0</v>
      </c>
      <c r="C23" s="185" t="s">
        <v>395</v>
      </c>
      <c r="D23" s="200" t="s">
        <v>94</v>
      </c>
      <c r="E23" s="208" t="s">
        <v>113</v>
      </c>
      <c r="F23" s="187" t="s">
        <v>1200</v>
      </c>
      <c r="G23" s="188">
        <v>0.8</v>
      </c>
      <c r="H23" s="188">
        <v>1</v>
      </c>
      <c r="I23" s="188">
        <v>1</v>
      </c>
      <c r="J23" s="188">
        <v>1</v>
      </c>
      <c r="K23" s="188">
        <v>1</v>
      </c>
      <c r="L23" s="188">
        <v>1</v>
      </c>
      <c r="M23" s="188">
        <v>1</v>
      </c>
      <c r="N23" s="188">
        <v>1</v>
      </c>
      <c r="O23" s="188">
        <v>1</v>
      </c>
      <c r="P23" s="188">
        <v>1</v>
      </c>
      <c r="Q23" s="188">
        <v>1</v>
      </c>
      <c r="R23" s="188">
        <v>1</v>
      </c>
      <c r="S23" s="188">
        <v>0.2</v>
      </c>
      <c r="T23" s="189">
        <f t="shared" si="0"/>
        <v>12</v>
      </c>
      <c r="U23" s="190">
        <v>19815.810000000001</v>
      </c>
      <c r="V23" s="189">
        <f t="shared" si="1"/>
        <v>237789.72000000003</v>
      </c>
      <c r="W23" s="191" t="s">
        <v>74</v>
      </c>
      <c r="X23" s="192"/>
    </row>
    <row r="24" spans="1:24" s="31" customFormat="1" ht="15" customHeight="1">
      <c r="A24" s="160">
        <v>20</v>
      </c>
      <c r="B24" s="160" t="s">
        <v>1</v>
      </c>
      <c r="C24" s="193" t="s">
        <v>395</v>
      </c>
      <c r="D24" s="201" t="s">
        <v>94</v>
      </c>
      <c r="E24" s="207" t="s">
        <v>113</v>
      </c>
      <c r="F24" s="195" t="s">
        <v>1200</v>
      </c>
      <c r="G24" s="196">
        <v>0.49823105893728292</v>
      </c>
      <c r="H24" s="196">
        <v>0.6227888236716036</v>
      </c>
      <c r="I24" s="196">
        <v>0.6227888236716036</v>
      </c>
      <c r="J24" s="196">
        <v>0.6227888236716036</v>
      </c>
      <c r="K24" s="196"/>
      <c r="L24" s="196"/>
      <c r="M24" s="196"/>
      <c r="N24" s="196"/>
      <c r="O24" s="196"/>
      <c r="P24" s="196"/>
      <c r="Q24" s="196"/>
      <c r="R24" s="196"/>
      <c r="S24" s="196"/>
      <c r="T24" s="197">
        <f t="shared" si="0"/>
        <v>2.3665975299520938</v>
      </c>
      <c r="U24" s="198">
        <v>19815.810000000001</v>
      </c>
      <c r="V24" s="197">
        <f t="shared" si="1"/>
        <v>46896.047000000006</v>
      </c>
      <c r="W24" s="191">
        <f>V24/V23</f>
        <v>0.19721646082934116</v>
      </c>
      <c r="X24" s="199"/>
    </row>
    <row r="25" spans="1:24" ht="15" customHeight="1">
      <c r="A25" s="151">
        <v>21</v>
      </c>
      <c r="B25" s="151" t="s">
        <v>0</v>
      </c>
      <c r="C25" s="185" t="s">
        <v>1203</v>
      </c>
      <c r="D25" s="200" t="s">
        <v>103</v>
      </c>
      <c r="E25" s="208" t="s">
        <v>132</v>
      </c>
      <c r="F25" s="187" t="s">
        <v>1200</v>
      </c>
      <c r="G25" s="188">
        <v>1.6</v>
      </c>
      <c r="H25" s="188">
        <v>2</v>
      </c>
      <c r="I25" s="188">
        <v>2</v>
      </c>
      <c r="J25" s="188">
        <v>2</v>
      </c>
      <c r="K25" s="188">
        <v>2</v>
      </c>
      <c r="L25" s="188">
        <v>2</v>
      </c>
      <c r="M25" s="188">
        <v>2</v>
      </c>
      <c r="N25" s="188">
        <v>2</v>
      </c>
      <c r="O25" s="188">
        <v>2</v>
      </c>
      <c r="P25" s="188">
        <v>2</v>
      </c>
      <c r="Q25" s="188">
        <v>2</v>
      </c>
      <c r="R25" s="188">
        <v>2</v>
      </c>
      <c r="S25" s="188">
        <v>0.4</v>
      </c>
      <c r="T25" s="189">
        <f t="shared" si="0"/>
        <v>24</v>
      </c>
      <c r="U25" s="190">
        <v>8433.02</v>
      </c>
      <c r="V25" s="189">
        <f t="shared" si="1"/>
        <v>202392.48</v>
      </c>
      <c r="W25" s="191" t="s">
        <v>74</v>
      </c>
      <c r="X25" s="192"/>
    </row>
    <row r="26" spans="1:24" s="31" customFormat="1" ht="15" customHeight="1">
      <c r="A26" s="160">
        <v>22</v>
      </c>
      <c r="B26" s="160" t="s">
        <v>1</v>
      </c>
      <c r="C26" s="193" t="s">
        <v>1203</v>
      </c>
      <c r="D26" s="201" t="s">
        <v>103</v>
      </c>
      <c r="E26" s="207" t="s">
        <v>132</v>
      </c>
      <c r="F26" s="195" t="s">
        <v>1200</v>
      </c>
      <c r="G26" s="196">
        <v>1.5333333333333334</v>
      </c>
      <c r="H26" s="196">
        <v>1.5666666666666667</v>
      </c>
      <c r="I26" s="196">
        <v>1.9333333333333333</v>
      </c>
      <c r="J26" s="196">
        <v>1.2333333333333334</v>
      </c>
      <c r="K26" s="196"/>
      <c r="L26" s="196"/>
      <c r="M26" s="196"/>
      <c r="N26" s="196"/>
      <c r="O26" s="196"/>
      <c r="P26" s="196"/>
      <c r="Q26" s="196"/>
      <c r="R26" s="196"/>
      <c r="S26" s="196"/>
      <c r="T26" s="197">
        <f t="shared" si="0"/>
        <v>6.2666666666666666</v>
      </c>
      <c r="U26" s="198">
        <v>8433.02</v>
      </c>
      <c r="V26" s="197">
        <f t="shared" si="1"/>
        <v>52846.925333333333</v>
      </c>
      <c r="W26" s="191">
        <f>V26/V25</f>
        <v>0.26111111111111107</v>
      </c>
      <c r="X26" s="199"/>
    </row>
    <row r="27" spans="1:24" s="203" customFormat="1" ht="30" customHeight="1">
      <c r="A27" s="151">
        <v>23</v>
      </c>
      <c r="B27" s="151" t="s">
        <v>0</v>
      </c>
      <c r="C27" s="168" t="s">
        <v>84</v>
      </c>
      <c r="D27" s="209" t="s">
        <v>1204</v>
      </c>
      <c r="E27" s="170"/>
      <c r="F27" s="169"/>
      <c r="G27" s="202"/>
      <c r="H27" s="202"/>
      <c r="I27" s="202"/>
      <c r="J27" s="202"/>
      <c r="K27" s="202"/>
      <c r="L27" s="202"/>
      <c r="M27" s="202"/>
      <c r="N27" s="202"/>
      <c r="O27" s="202"/>
      <c r="P27" s="202"/>
      <c r="Q27" s="202"/>
      <c r="R27" s="202"/>
      <c r="S27" s="202"/>
      <c r="T27" s="174">
        <f t="shared" si="0"/>
        <v>0</v>
      </c>
      <c r="U27" s="174"/>
      <c r="V27" s="174">
        <f t="shared" si="1"/>
        <v>0</v>
      </c>
      <c r="W27" s="175"/>
      <c r="X27" s="176"/>
    </row>
    <row r="28" spans="1:24" s="205" customFormat="1" ht="30" customHeight="1">
      <c r="A28" s="160">
        <v>24</v>
      </c>
      <c r="B28" s="160" t="s">
        <v>1</v>
      </c>
      <c r="C28" s="177" t="s">
        <v>84</v>
      </c>
      <c r="D28" s="210" t="s">
        <v>1204</v>
      </c>
      <c r="E28" s="179"/>
      <c r="F28" s="178"/>
      <c r="G28" s="204"/>
      <c r="H28" s="204"/>
      <c r="I28" s="204"/>
      <c r="J28" s="204"/>
      <c r="K28" s="204"/>
      <c r="L28" s="204"/>
      <c r="M28" s="204"/>
      <c r="N28" s="204"/>
      <c r="O28" s="204"/>
      <c r="P28" s="204"/>
      <c r="Q28" s="204"/>
      <c r="R28" s="204"/>
      <c r="S28" s="204"/>
      <c r="T28" s="183">
        <f t="shared" si="0"/>
        <v>0</v>
      </c>
      <c r="U28" s="183"/>
      <c r="V28" s="183">
        <f t="shared" si="1"/>
        <v>0</v>
      </c>
      <c r="W28" s="175"/>
      <c r="X28" s="184"/>
    </row>
    <row r="29" spans="1:24" ht="15" customHeight="1">
      <c r="A29" s="151">
        <v>25</v>
      </c>
      <c r="B29" s="151" t="s">
        <v>0</v>
      </c>
      <c r="C29" s="185" t="s">
        <v>1205</v>
      </c>
      <c r="D29" s="200" t="s">
        <v>107</v>
      </c>
      <c r="E29" s="208" t="s">
        <v>139</v>
      </c>
      <c r="F29" s="187" t="s">
        <v>1200</v>
      </c>
      <c r="G29" s="188">
        <v>1.6</v>
      </c>
      <c r="H29" s="188">
        <v>2</v>
      </c>
      <c r="I29" s="188">
        <v>2</v>
      </c>
      <c r="J29" s="188">
        <v>2</v>
      </c>
      <c r="K29" s="188">
        <v>2</v>
      </c>
      <c r="L29" s="188">
        <v>2</v>
      </c>
      <c r="M29" s="188">
        <v>2</v>
      </c>
      <c r="N29" s="188">
        <v>2</v>
      </c>
      <c r="O29" s="188">
        <v>2</v>
      </c>
      <c r="P29" s="188">
        <v>2</v>
      </c>
      <c r="Q29" s="188">
        <v>2</v>
      </c>
      <c r="R29" s="188">
        <v>2</v>
      </c>
      <c r="S29" s="188">
        <v>0.4</v>
      </c>
      <c r="T29" s="189">
        <f t="shared" si="0"/>
        <v>24</v>
      </c>
      <c r="U29" s="190">
        <v>7072.07</v>
      </c>
      <c r="V29" s="189">
        <f t="shared" si="1"/>
        <v>169729.68</v>
      </c>
      <c r="W29" s="191" t="s">
        <v>74</v>
      </c>
      <c r="X29" s="192"/>
    </row>
    <row r="30" spans="1:24" s="31" customFormat="1" ht="15" customHeight="1">
      <c r="A30" s="160">
        <v>26</v>
      </c>
      <c r="B30" s="160" t="s">
        <v>1</v>
      </c>
      <c r="C30" s="193" t="s">
        <v>1205</v>
      </c>
      <c r="D30" s="201" t="s">
        <v>107</v>
      </c>
      <c r="E30" s="207" t="s">
        <v>139</v>
      </c>
      <c r="F30" s="195" t="s">
        <v>1200</v>
      </c>
      <c r="G30" s="196">
        <v>1.5999999999999999</v>
      </c>
      <c r="H30" s="196">
        <v>2</v>
      </c>
      <c r="I30" s="196">
        <v>2</v>
      </c>
      <c r="J30" s="196">
        <v>1.6666666666666667</v>
      </c>
      <c r="K30" s="196"/>
      <c r="L30" s="196"/>
      <c r="M30" s="196"/>
      <c r="N30" s="196"/>
      <c r="O30" s="196"/>
      <c r="P30" s="196"/>
      <c r="Q30" s="196"/>
      <c r="R30" s="196"/>
      <c r="S30" s="196"/>
      <c r="T30" s="197">
        <f t="shared" si="0"/>
        <v>7.2666666666666666</v>
      </c>
      <c r="U30" s="198">
        <v>7072.07</v>
      </c>
      <c r="V30" s="197">
        <f t="shared" si="1"/>
        <v>51390.37533333333</v>
      </c>
      <c r="W30" s="191">
        <f>V30/V29</f>
        <v>0.30277777777777776</v>
      </c>
      <c r="X30" s="199"/>
    </row>
    <row r="31" spans="1:24" ht="15" customHeight="1">
      <c r="A31" s="151">
        <v>27</v>
      </c>
      <c r="B31" s="151" t="s">
        <v>0</v>
      </c>
      <c r="C31" s="185" t="s">
        <v>1206</v>
      </c>
      <c r="D31" s="200" t="s">
        <v>79</v>
      </c>
      <c r="E31" s="208" t="s">
        <v>85</v>
      </c>
      <c r="F31" s="187" t="s">
        <v>1200</v>
      </c>
      <c r="G31" s="188">
        <v>1.6</v>
      </c>
      <c r="H31" s="188">
        <v>2</v>
      </c>
      <c r="I31" s="188">
        <v>2</v>
      </c>
      <c r="J31" s="188">
        <v>2</v>
      </c>
      <c r="K31" s="188">
        <v>2</v>
      </c>
      <c r="L31" s="188">
        <v>2</v>
      </c>
      <c r="M31" s="188">
        <v>2</v>
      </c>
      <c r="N31" s="188">
        <v>2</v>
      </c>
      <c r="O31" s="188">
        <v>2</v>
      </c>
      <c r="P31" s="188">
        <v>2</v>
      </c>
      <c r="Q31" s="188">
        <v>2</v>
      </c>
      <c r="R31" s="188">
        <v>2</v>
      </c>
      <c r="S31" s="188">
        <v>0.4</v>
      </c>
      <c r="T31" s="189">
        <f t="shared" si="0"/>
        <v>24</v>
      </c>
      <c r="U31" s="190">
        <v>7072.06</v>
      </c>
      <c r="V31" s="189">
        <f t="shared" si="1"/>
        <v>169729.44</v>
      </c>
      <c r="W31" s="191" t="s">
        <v>74</v>
      </c>
      <c r="X31" s="192"/>
    </row>
    <row r="32" spans="1:24" s="31" customFormat="1" ht="15" customHeight="1">
      <c r="A32" s="160">
        <v>28</v>
      </c>
      <c r="B32" s="160" t="s">
        <v>1</v>
      </c>
      <c r="C32" s="193" t="s">
        <v>1206</v>
      </c>
      <c r="D32" s="201" t="s">
        <v>79</v>
      </c>
      <c r="E32" s="207" t="s">
        <v>85</v>
      </c>
      <c r="F32" s="195" t="s">
        <v>1200</v>
      </c>
      <c r="G32" s="196">
        <v>1.5999999999999999</v>
      </c>
      <c r="H32" s="196">
        <v>1.6666666666666667</v>
      </c>
      <c r="I32" s="196">
        <v>2</v>
      </c>
      <c r="J32" s="196">
        <v>2</v>
      </c>
      <c r="K32" s="196"/>
      <c r="L32" s="196"/>
      <c r="M32" s="196"/>
      <c r="N32" s="196"/>
      <c r="O32" s="196"/>
      <c r="P32" s="196"/>
      <c r="Q32" s="196"/>
      <c r="R32" s="196"/>
      <c r="S32" s="196"/>
      <c r="T32" s="197">
        <f t="shared" si="0"/>
        <v>7.2666666666666666</v>
      </c>
      <c r="U32" s="198">
        <v>7072.06</v>
      </c>
      <c r="V32" s="197">
        <f t="shared" si="1"/>
        <v>51390.30266666667</v>
      </c>
      <c r="W32" s="191">
        <f>V32/V31</f>
        <v>0.30277777777777781</v>
      </c>
      <c r="X32" s="199"/>
    </row>
    <row r="33" spans="1:24" ht="15" customHeight="1">
      <c r="A33" s="151">
        <v>29</v>
      </c>
      <c r="B33" s="151" t="s">
        <v>0</v>
      </c>
      <c r="C33" s="185" t="s">
        <v>1207</v>
      </c>
      <c r="D33" s="200" t="s">
        <v>1208</v>
      </c>
      <c r="E33" s="208" t="s">
        <v>121</v>
      </c>
      <c r="F33" s="187" t="s">
        <v>1200</v>
      </c>
      <c r="G33" s="188">
        <v>1.6</v>
      </c>
      <c r="H33" s="188">
        <v>2</v>
      </c>
      <c r="I33" s="188">
        <v>2</v>
      </c>
      <c r="J33" s="188">
        <v>2</v>
      </c>
      <c r="K33" s="188">
        <v>2</v>
      </c>
      <c r="L33" s="188">
        <v>2</v>
      </c>
      <c r="M33" s="188">
        <v>2</v>
      </c>
      <c r="N33" s="188">
        <v>2</v>
      </c>
      <c r="O33" s="188">
        <v>2</v>
      </c>
      <c r="P33" s="188">
        <v>2</v>
      </c>
      <c r="Q33" s="188">
        <v>2</v>
      </c>
      <c r="R33" s="188">
        <v>2</v>
      </c>
      <c r="S33" s="188">
        <v>0.4</v>
      </c>
      <c r="T33" s="189">
        <f t="shared" si="0"/>
        <v>24</v>
      </c>
      <c r="U33" s="190">
        <v>6328.66</v>
      </c>
      <c r="V33" s="189">
        <f t="shared" si="1"/>
        <v>151887.84</v>
      </c>
      <c r="W33" s="191" t="s">
        <v>74</v>
      </c>
      <c r="X33" s="192"/>
    </row>
    <row r="34" spans="1:24" s="31" customFormat="1" ht="15" customHeight="1">
      <c r="A34" s="160">
        <v>30</v>
      </c>
      <c r="B34" s="160" t="s">
        <v>1</v>
      </c>
      <c r="C34" s="193" t="s">
        <v>1207</v>
      </c>
      <c r="D34" s="201" t="s">
        <v>1208</v>
      </c>
      <c r="E34" s="207" t="s">
        <v>121</v>
      </c>
      <c r="F34" s="195" t="s">
        <v>1200</v>
      </c>
      <c r="G34" s="196">
        <v>1.6</v>
      </c>
      <c r="H34" s="196">
        <v>2</v>
      </c>
      <c r="I34" s="196">
        <v>2</v>
      </c>
      <c r="J34" s="196">
        <v>2</v>
      </c>
      <c r="K34" s="196"/>
      <c r="L34" s="196"/>
      <c r="M34" s="196"/>
      <c r="N34" s="196"/>
      <c r="O34" s="196"/>
      <c r="P34" s="196"/>
      <c r="Q34" s="196"/>
      <c r="R34" s="196"/>
      <c r="S34" s="196"/>
      <c r="T34" s="197">
        <f t="shared" si="0"/>
        <v>7.6</v>
      </c>
      <c r="U34" s="198">
        <v>6328.66</v>
      </c>
      <c r="V34" s="197">
        <f t="shared" si="1"/>
        <v>48097.815999999999</v>
      </c>
      <c r="W34" s="191">
        <f>V34/V33</f>
        <v>0.31666666666666665</v>
      </c>
      <c r="X34" s="199"/>
    </row>
    <row r="35" spans="1:24" ht="15" customHeight="1">
      <c r="A35" s="151">
        <v>31</v>
      </c>
      <c r="B35" s="151" t="s">
        <v>0</v>
      </c>
      <c r="C35" s="185" t="s">
        <v>1209</v>
      </c>
      <c r="D35" s="200" t="s">
        <v>75</v>
      </c>
      <c r="E35" s="208" t="s">
        <v>77</v>
      </c>
      <c r="F35" s="187" t="s">
        <v>1200</v>
      </c>
      <c r="G35" s="188">
        <v>1.6</v>
      </c>
      <c r="H35" s="188">
        <v>2</v>
      </c>
      <c r="I35" s="188">
        <v>2</v>
      </c>
      <c r="J35" s="188">
        <v>2</v>
      </c>
      <c r="K35" s="188">
        <v>2</v>
      </c>
      <c r="L35" s="188">
        <v>2</v>
      </c>
      <c r="M35" s="188">
        <v>2</v>
      </c>
      <c r="N35" s="188">
        <v>2</v>
      </c>
      <c r="O35" s="188">
        <v>2</v>
      </c>
      <c r="P35" s="188">
        <v>2</v>
      </c>
      <c r="Q35" s="188">
        <v>2</v>
      </c>
      <c r="R35" s="188">
        <v>2</v>
      </c>
      <c r="S35" s="188">
        <v>0.4</v>
      </c>
      <c r="T35" s="189">
        <f t="shared" si="0"/>
        <v>24</v>
      </c>
      <c r="U35" s="190">
        <v>5580.99</v>
      </c>
      <c r="V35" s="189">
        <f t="shared" si="1"/>
        <v>133943.76</v>
      </c>
      <c r="W35" s="191" t="s">
        <v>74</v>
      </c>
      <c r="X35" s="192"/>
    </row>
    <row r="36" spans="1:24" s="31" customFormat="1" ht="15" customHeight="1">
      <c r="A36" s="160">
        <v>32</v>
      </c>
      <c r="B36" s="160" t="s">
        <v>1</v>
      </c>
      <c r="C36" s="193" t="s">
        <v>1209</v>
      </c>
      <c r="D36" s="201" t="s">
        <v>75</v>
      </c>
      <c r="E36" s="207" t="s">
        <v>77</v>
      </c>
      <c r="F36" s="195" t="s">
        <v>1200</v>
      </c>
      <c r="G36" s="196">
        <v>1.6</v>
      </c>
      <c r="H36" s="196">
        <v>2</v>
      </c>
      <c r="I36" s="196">
        <v>2</v>
      </c>
      <c r="J36" s="196">
        <v>1.5</v>
      </c>
      <c r="K36" s="196"/>
      <c r="L36" s="196"/>
      <c r="M36" s="196"/>
      <c r="N36" s="196"/>
      <c r="O36" s="196"/>
      <c r="P36" s="196"/>
      <c r="Q36" s="196"/>
      <c r="R36" s="196"/>
      <c r="S36" s="196"/>
      <c r="T36" s="197">
        <f t="shared" si="0"/>
        <v>7.1</v>
      </c>
      <c r="U36" s="198">
        <v>5580.99</v>
      </c>
      <c r="V36" s="197">
        <f t="shared" si="1"/>
        <v>39625.028999999995</v>
      </c>
      <c r="W36" s="191">
        <f>V36/V35</f>
        <v>0.29583333333333328</v>
      </c>
      <c r="X36" s="199"/>
    </row>
    <row r="37" spans="1:24" ht="15" customHeight="1">
      <c r="A37" s="151">
        <v>33</v>
      </c>
      <c r="B37" s="151" t="s">
        <v>0</v>
      </c>
      <c r="C37" s="185" t="s">
        <v>1210</v>
      </c>
      <c r="D37" s="200" t="s">
        <v>110</v>
      </c>
      <c r="E37" s="208" t="s">
        <v>141</v>
      </c>
      <c r="F37" s="187" t="s">
        <v>1200</v>
      </c>
      <c r="G37" s="188">
        <v>0.8</v>
      </c>
      <c r="H37" s="188">
        <v>1</v>
      </c>
      <c r="I37" s="188">
        <v>1</v>
      </c>
      <c r="J37" s="188">
        <v>1</v>
      </c>
      <c r="K37" s="188">
        <v>1</v>
      </c>
      <c r="L37" s="188">
        <v>1</v>
      </c>
      <c r="M37" s="188">
        <v>1</v>
      </c>
      <c r="N37" s="188">
        <v>1</v>
      </c>
      <c r="O37" s="188">
        <v>1</v>
      </c>
      <c r="P37" s="188">
        <v>1</v>
      </c>
      <c r="Q37" s="188">
        <v>1</v>
      </c>
      <c r="R37" s="188">
        <v>1</v>
      </c>
      <c r="S37" s="188">
        <v>0.2</v>
      </c>
      <c r="T37" s="189">
        <f t="shared" si="0"/>
        <v>12</v>
      </c>
      <c r="U37" s="190">
        <v>6365.63</v>
      </c>
      <c r="V37" s="189">
        <f t="shared" si="1"/>
        <v>76387.56</v>
      </c>
      <c r="W37" s="191" t="s">
        <v>74</v>
      </c>
      <c r="X37" s="192"/>
    </row>
    <row r="38" spans="1:24" s="31" customFormat="1" ht="15" customHeight="1">
      <c r="A38" s="160">
        <v>34</v>
      </c>
      <c r="B38" s="160" t="s">
        <v>1</v>
      </c>
      <c r="C38" s="193" t="s">
        <v>1210</v>
      </c>
      <c r="D38" s="201" t="s">
        <v>110</v>
      </c>
      <c r="E38" s="207" t="s">
        <v>141</v>
      </c>
      <c r="F38" s="195" t="s">
        <v>1200</v>
      </c>
      <c r="G38" s="196">
        <v>0.8</v>
      </c>
      <c r="H38" s="196">
        <v>1</v>
      </c>
      <c r="I38" s="196">
        <v>1</v>
      </c>
      <c r="J38" s="196">
        <v>1</v>
      </c>
      <c r="K38" s="196"/>
      <c r="L38" s="196"/>
      <c r="M38" s="196"/>
      <c r="N38" s="196"/>
      <c r="O38" s="196"/>
      <c r="P38" s="196"/>
      <c r="Q38" s="196"/>
      <c r="R38" s="196"/>
      <c r="S38" s="196"/>
      <c r="T38" s="197">
        <f t="shared" si="0"/>
        <v>3.8</v>
      </c>
      <c r="U38" s="198">
        <v>6365.63</v>
      </c>
      <c r="V38" s="197">
        <f t="shared" si="1"/>
        <v>24189.394</v>
      </c>
      <c r="W38" s="191">
        <f>V38/V37</f>
        <v>0.31666666666666665</v>
      </c>
      <c r="X38" s="199"/>
    </row>
    <row r="39" spans="1:24" ht="15" customHeight="1">
      <c r="A39" s="151">
        <v>35</v>
      </c>
      <c r="B39" s="151" t="s">
        <v>0</v>
      </c>
      <c r="C39" s="185" t="s">
        <v>1211</v>
      </c>
      <c r="D39" s="211" t="s">
        <v>115</v>
      </c>
      <c r="E39" s="208" t="s">
        <v>152</v>
      </c>
      <c r="F39" s="187" t="s">
        <v>1200</v>
      </c>
      <c r="G39" s="188">
        <v>1.6</v>
      </c>
      <c r="H39" s="188">
        <v>2</v>
      </c>
      <c r="I39" s="188">
        <v>2</v>
      </c>
      <c r="J39" s="188">
        <v>2</v>
      </c>
      <c r="K39" s="188">
        <v>2</v>
      </c>
      <c r="L39" s="188">
        <v>2</v>
      </c>
      <c r="M39" s="188">
        <v>2</v>
      </c>
      <c r="N39" s="188">
        <v>2</v>
      </c>
      <c r="O39" s="188">
        <v>2</v>
      </c>
      <c r="P39" s="188">
        <v>2</v>
      </c>
      <c r="Q39" s="188">
        <v>2</v>
      </c>
      <c r="R39" s="188">
        <v>2</v>
      </c>
      <c r="S39" s="188">
        <v>0.4</v>
      </c>
      <c r="T39" s="189">
        <f t="shared" si="0"/>
        <v>24</v>
      </c>
      <c r="U39" s="190">
        <v>5099.2299999999996</v>
      </c>
      <c r="V39" s="189">
        <f t="shared" si="1"/>
        <v>122381.51999999999</v>
      </c>
      <c r="W39" s="191" t="s">
        <v>74</v>
      </c>
      <c r="X39" s="192"/>
    </row>
    <row r="40" spans="1:24" s="31" customFormat="1" ht="15" customHeight="1">
      <c r="A40" s="160">
        <v>36</v>
      </c>
      <c r="B40" s="160" t="s">
        <v>1</v>
      </c>
      <c r="C40" s="193" t="s">
        <v>1211</v>
      </c>
      <c r="D40" s="201" t="s">
        <v>115</v>
      </c>
      <c r="E40" s="207" t="s">
        <v>152</v>
      </c>
      <c r="F40" s="195" t="s">
        <v>1200</v>
      </c>
      <c r="G40" s="196">
        <v>2.4</v>
      </c>
      <c r="H40" s="196">
        <v>3</v>
      </c>
      <c r="I40" s="196">
        <v>3</v>
      </c>
      <c r="J40" s="196">
        <v>3</v>
      </c>
      <c r="K40" s="196"/>
      <c r="L40" s="196"/>
      <c r="M40" s="196"/>
      <c r="N40" s="196"/>
      <c r="O40" s="196"/>
      <c r="P40" s="196"/>
      <c r="Q40" s="196"/>
      <c r="R40" s="196"/>
      <c r="S40" s="196"/>
      <c r="T40" s="197">
        <f t="shared" si="0"/>
        <v>11.4</v>
      </c>
      <c r="U40" s="198">
        <v>5099.2299999999996</v>
      </c>
      <c r="V40" s="197">
        <f t="shared" si="1"/>
        <v>58131.221999999994</v>
      </c>
      <c r="W40" s="191">
        <f>V40/V39</f>
        <v>0.47499999999999998</v>
      </c>
      <c r="X40" s="199"/>
    </row>
    <row r="41" spans="1:24" ht="15" customHeight="1">
      <c r="A41" s="151">
        <v>37</v>
      </c>
      <c r="B41" s="151" t="s">
        <v>0</v>
      </c>
      <c r="C41" s="185" t="s">
        <v>1212</v>
      </c>
      <c r="D41" s="200" t="s">
        <v>1213</v>
      </c>
      <c r="E41" s="212" t="s">
        <v>164</v>
      </c>
      <c r="F41" s="187" t="s">
        <v>1200</v>
      </c>
      <c r="G41" s="188">
        <v>1.6</v>
      </c>
      <c r="H41" s="188">
        <v>2</v>
      </c>
      <c r="I41" s="188">
        <v>2</v>
      </c>
      <c r="J41" s="188">
        <v>2</v>
      </c>
      <c r="K41" s="188">
        <v>2</v>
      </c>
      <c r="L41" s="188">
        <v>2</v>
      </c>
      <c r="M41" s="188">
        <v>2</v>
      </c>
      <c r="N41" s="188">
        <v>2</v>
      </c>
      <c r="O41" s="188">
        <v>2</v>
      </c>
      <c r="P41" s="188">
        <v>2</v>
      </c>
      <c r="Q41" s="188">
        <v>2</v>
      </c>
      <c r="R41" s="188">
        <v>2</v>
      </c>
      <c r="S41" s="188">
        <v>0.4</v>
      </c>
      <c r="T41" s="189">
        <f t="shared" si="0"/>
        <v>24</v>
      </c>
      <c r="U41" s="190">
        <v>3767.94</v>
      </c>
      <c r="V41" s="189">
        <f t="shared" si="1"/>
        <v>90430.56</v>
      </c>
      <c r="W41" s="191" t="s">
        <v>74</v>
      </c>
      <c r="X41" s="192"/>
    </row>
    <row r="42" spans="1:24" s="31" customFormat="1" ht="15" customHeight="1">
      <c r="A42" s="160">
        <v>38</v>
      </c>
      <c r="B42" s="160" t="s">
        <v>1</v>
      </c>
      <c r="C42" s="193" t="s">
        <v>1212</v>
      </c>
      <c r="D42" s="201" t="s">
        <v>1213</v>
      </c>
      <c r="E42" s="195" t="s">
        <v>164</v>
      </c>
      <c r="F42" s="195" t="s">
        <v>1200</v>
      </c>
      <c r="G42" s="196">
        <v>3.2000000000000006</v>
      </c>
      <c r="H42" s="196">
        <v>2</v>
      </c>
      <c r="I42" s="196">
        <v>2</v>
      </c>
      <c r="J42" s="196">
        <v>1.5</v>
      </c>
      <c r="K42" s="196"/>
      <c r="L42" s="196"/>
      <c r="M42" s="196"/>
      <c r="N42" s="196"/>
      <c r="O42" s="196"/>
      <c r="P42" s="196"/>
      <c r="Q42" s="196"/>
      <c r="R42" s="196"/>
      <c r="S42" s="196"/>
      <c r="T42" s="197">
        <f t="shared" si="0"/>
        <v>8.7000000000000011</v>
      </c>
      <c r="U42" s="198">
        <v>3767.94</v>
      </c>
      <c r="V42" s="197">
        <f t="shared" si="1"/>
        <v>32781.078000000001</v>
      </c>
      <c r="W42" s="191">
        <f>V42/V41</f>
        <v>0.36250000000000004</v>
      </c>
      <c r="X42" s="199"/>
    </row>
    <row r="43" spans="1:24" ht="15" customHeight="1">
      <c r="A43" s="151">
        <v>39</v>
      </c>
      <c r="B43" s="151" t="s">
        <v>0</v>
      </c>
      <c r="C43" s="213" t="s">
        <v>1214</v>
      </c>
      <c r="D43" s="186" t="s">
        <v>87</v>
      </c>
      <c r="E43" s="208" t="s">
        <v>101</v>
      </c>
      <c r="F43" s="206" t="s">
        <v>1200</v>
      </c>
      <c r="G43" s="188">
        <v>9.6000000000000014</v>
      </c>
      <c r="H43" s="188">
        <v>12</v>
      </c>
      <c r="I43" s="188">
        <v>12</v>
      </c>
      <c r="J43" s="188">
        <v>12</v>
      </c>
      <c r="K43" s="188">
        <v>12</v>
      </c>
      <c r="L43" s="188">
        <v>12</v>
      </c>
      <c r="M43" s="188">
        <v>12</v>
      </c>
      <c r="N43" s="188">
        <v>12</v>
      </c>
      <c r="O43" s="188">
        <v>12</v>
      </c>
      <c r="P43" s="188">
        <v>12</v>
      </c>
      <c r="Q43" s="188">
        <v>12</v>
      </c>
      <c r="R43" s="188">
        <v>12</v>
      </c>
      <c r="S43" s="188">
        <v>2.4000000000000004</v>
      </c>
      <c r="T43" s="189">
        <f t="shared" si="0"/>
        <v>144</v>
      </c>
      <c r="U43" s="190">
        <v>4015.53</v>
      </c>
      <c r="V43" s="189">
        <f t="shared" si="1"/>
        <v>578236.32000000007</v>
      </c>
      <c r="W43" s="191" t="s">
        <v>74</v>
      </c>
      <c r="X43" s="192"/>
    </row>
    <row r="44" spans="1:24" s="31" customFormat="1" ht="15" customHeight="1">
      <c r="A44" s="160">
        <v>40</v>
      </c>
      <c r="B44" s="160" t="s">
        <v>1</v>
      </c>
      <c r="C44" s="214" t="s">
        <v>1214</v>
      </c>
      <c r="D44" s="194" t="s">
        <v>87</v>
      </c>
      <c r="E44" s="207" t="s">
        <v>101</v>
      </c>
      <c r="F44" s="207" t="s">
        <v>1200</v>
      </c>
      <c r="G44" s="196">
        <v>1.5999999999999996</v>
      </c>
      <c r="H44" s="196">
        <v>4</v>
      </c>
      <c r="I44" s="196">
        <v>5</v>
      </c>
      <c r="J44" s="196">
        <v>4</v>
      </c>
      <c r="K44" s="196"/>
      <c r="L44" s="196"/>
      <c r="M44" s="196"/>
      <c r="N44" s="196"/>
      <c r="O44" s="196"/>
      <c r="P44" s="196"/>
      <c r="Q44" s="196"/>
      <c r="R44" s="196"/>
      <c r="S44" s="196"/>
      <c r="T44" s="197">
        <f t="shared" si="0"/>
        <v>14.6</v>
      </c>
      <c r="U44" s="198">
        <v>4015.53</v>
      </c>
      <c r="V44" s="197">
        <f t="shared" si="1"/>
        <v>58626.738000000005</v>
      </c>
      <c r="W44" s="191">
        <f>V44/V43</f>
        <v>0.10138888888888889</v>
      </c>
      <c r="X44" s="199"/>
    </row>
    <row r="45" spans="1:24" ht="15" customHeight="1">
      <c r="A45" s="151">
        <v>41</v>
      </c>
      <c r="B45" s="151" t="s">
        <v>0</v>
      </c>
      <c r="C45" s="213" t="s">
        <v>1215</v>
      </c>
      <c r="D45" s="186" t="s">
        <v>90</v>
      </c>
      <c r="E45" s="208" t="s">
        <v>105</v>
      </c>
      <c r="F45" s="206" t="s">
        <v>1200</v>
      </c>
      <c r="G45" s="188">
        <v>9.6000000000000014</v>
      </c>
      <c r="H45" s="188">
        <v>12</v>
      </c>
      <c r="I45" s="188">
        <v>12</v>
      </c>
      <c r="J45" s="188">
        <v>12</v>
      </c>
      <c r="K45" s="188">
        <v>12</v>
      </c>
      <c r="L45" s="188">
        <v>12</v>
      </c>
      <c r="M45" s="188">
        <v>12</v>
      </c>
      <c r="N45" s="188">
        <v>12</v>
      </c>
      <c r="O45" s="188">
        <v>12</v>
      </c>
      <c r="P45" s="188">
        <v>12</v>
      </c>
      <c r="Q45" s="188">
        <v>12</v>
      </c>
      <c r="R45" s="188">
        <v>12</v>
      </c>
      <c r="S45" s="188">
        <v>2.4000000000000004</v>
      </c>
      <c r="T45" s="189">
        <f t="shared" si="0"/>
        <v>144</v>
      </c>
      <c r="U45" s="190">
        <v>5965.92</v>
      </c>
      <c r="V45" s="189">
        <f t="shared" si="1"/>
        <v>859092.47999999998</v>
      </c>
      <c r="W45" s="191" t="s">
        <v>74</v>
      </c>
      <c r="X45" s="192"/>
    </row>
    <row r="46" spans="1:24" s="31" customFormat="1" ht="15" customHeight="1">
      <c r="A46" s="160">
        <v>42</v>
      </c>
      <c r="B46" s="160" t="s">
        <v>1</v>
      </c>
      <c r="C46" s="214" t="s">
        <v>1215</v>
      </c>
      <c r="D46" s="194" t="s">
        <v>90</v>
      </c>
      <c r="E46" s="207" t="s">
        <v>105</v>
      </c>
      <c r="F46" s="207" t="s">
        <v>1200</v>
      </c>
      <c r="G46" s="196">
        <v>1.5999999999999996</v>
      </c>
      <c r="H46" s="196">
        <v>4</v>
      </c>
      <c r="I46" s="196">
        <v>3</v>
      </c>
      <c r="J46" s="196">
        <v>4</v>
      </c>
      <c r="K46" s="196"/>
      <c r="L46" s="196"/>
      <c r="M46" s="196"/>
      <c r="N46" s="196"/>
      <c r="O46" s="196"/>
      <c r="P46" s="196"/>
      <c r="Q46" s="196"/>
      <c r="R46" s="196"/>
      <c r="S46" s="196"/>
      <c r="T46" s="197">
        <f t="shared" si="0"/>
        <v>12.6</v>
      </c>
      <c r="U46" s="198">
        <v>5965.92</v>
      </c>
      <c r="V46" s="197">
        <f t="shared" si="1"/>
        <v>75170.592000000004</v>
      </c>
      <c r="W46" s="191">
        <f>V46/V45</f>
        <v>8.7500000000000008E-2</v>
      </c>
      <c r="X46" s="199"/>
    </row>
    <row r="47" spans="1:24" ht="15" customHeight="1">
      <c r="A47" s="151">
        <v>43</v>
      </c>
      <c r="B47" s="151" t="s">
        <v>0</v>
      </c>
      <c r="C47" s="185" t="s">
        <v>1216</v>
      </c>
      <c r="D47" s="200" t="s">
        <v>1217</v>
      </c>
      <c r="E47" s="212" t="s">
        <v>164</v>
      </c>
      <c r="F47" s="187" t="s">
        <v>1200</v>
      </c>
      <c r="G47" s="188">
        <v>1.6</v>
      </c>
      <c r="H47" s="188">
        <v>2</v>
      </c>
      <c r="I47" s="188">
        <v>2</v>
      </c>
      <c r="J47" s="188">
        <v>2</v>
      </c>
      <c r="K47" s="188">
        <v>2</v>
      </c>
      <c r="L47" s="188">
        <v>2</v>
      </c>
      <c r="M47" s="188">
        <v>1</v>
      </c>
      <c r="N47" s="188">
        <v>1</v>
      </c>
      <c r="O47" s="188">
        <v>2</v>
      </c>
      <c r="P47" s="188">
        <v>2</v>
      </c>
      <c r="Q47" s="188">
        <v>2</v>
      </c>
      <c r="R47" s="188">
        <v>2</v>
      </c>
      <c r="S47" s="188">
        <v>0.4</v>
      </c>
      <c r="T47" s="189">
        <f t="shared" si="0"/>
        <v>22</v>
      </c>
      <c r="U47" s="190">
        <v>3767.94</v>
      </c>
      <c r="V47" s="189">
        <f t="shared" si="1"/>
        <v>82894.680000000008</v>
      </c>
      <c r="W47" s="191" t="s">
        <v>74</v>
      </c>
      <c r="X47" s="192"/>
    </row>
    <row r="48" spans="1:24" s="31" customFormat="1" ht="15" customHeight="1">
      <c r="A48" s="160">
        <v>44</v>
      </c>
      <c r="B48" s="160" t="s">
        <v>1</v>
      </c>
      <c r="C48" s="193" t="s">
        <v>1216</v>
      </c>
      <c r="D48" s="201" t="s">
        <v>1217</v>
      </c>
      <c r="E48" s="195" t="s">
        <v>164</v>
      </c>
      <c r="F48" s="195" t="s">
        <v>1200</v>
      </c>
      <c r="G48" s="196">
        <v>1.6000000000000003</v>
      </c>
      <c r="H48" s="196">
        <v>2</v>
      </c>
      <c r="I48" s="196">
        <v>2</v>
      </c>
      <c r="J48" s="196">
        <v>2</v>
      </c>
      <c r="K48" s="196"/>
      <c r="L48" s="196"/>
      <c r="M48" s="196"/>
      <c r="N48" s="196"/>
      <c r="O48" s="196"/>
      <c r="P48" s="196"/>
      <c r="Q48" s="196"/>
      <c r="R48" s="196"/>
      <c r="S48" s="196"/>
      <c r="T48" s="197">
        <f t="shared" si="0"/>
        <v>7.6000000000000005</v>
      </c>
      <c r="U48" s="198">
        <v>3767.94</v>
      </c>
      <c r="V48" s="197">
        <f t="shared" si="1"/>
        <v>28636.344000000001</v>
      </c>
      <c r="W48" s="191">
        <f>V48/V47</f>
        <v>0.34545454545454546</v>
      </c>
      <c r="X48" s="199"/>
    </row>
    <row r="49" spans="1:24" s="44" customFormat="1" ht="15" customHeight="1">
      <c r="A49" s="151">
        <v>45</v>
      </c>
      <c r="B49" s="151" t="s">
        <v>0</v>
      </c>
      <c r="C49" s="215" t="s">
        <v>409</v>
      </c>
      <c r="D49" s="215"/>
      <c r="E49" s="215"/>
      <c r="F49" s="215"/>
      <c r="G49" s="216">
        <v>46.5</v>
      </c>
      <c r="H49" s="216">
        <v>46.5</v>
      </c>
      <c r="I49" s="216">
        <v>46.5</v>
      </c>
      <c r="J49" s="216">
        <v>46.5</v>
      </c>
      <c r="K49" s="216">
        <v>46.5</v>
      </c>
      <c r="L49" s="216">
        <v>46.5</v>
      </c>
      <c r="M49" s="216">
        <v>46.5</v>
      </c>
      <c r="N49" s="216">
        <v>46.5</v>
      </c>
      <c r="O49" s="216">
        <v>46.5</v>
      </c>
      <c r="P49" s="216">
        <v>46.5</v>
      </c>
      <c r="Q49" s="216">
        <v>46.5</v>
      </c>
      <c r="R49" s="216">
        <v>46.5</v>
      </c>
      <c r="S49" s="216">
        <v>46.5</v>
      </c>
      <c r="T49" s="216">
        <v>558</v>
      </c>
      <c r="U49" s="189"/>
      <c r="V49" s="216">
        <v>3854580.42</v>
      </c>
      <c r="W49" s="191" t="s">
        <v>74</v>
      </c>
      <c r="X49" s="217"/>
    </row>
    <row r="50" spans="1:24" s="47" customFormat="1" ht="15" customHeight="1">
      <c r="A50" s="160">
        <v>46</v>
      </c>
      <c r="B50" s="160" t="s">
        <v>1</v>
      </c>
      <c r="C50" s="218" t="s">
        <v>409</v>
      </c>
      <c r="D50" s="218"/>
      <c r="E50" s="218"/>
      <c r="F50" s="218"/>
      <c r="G50" s="219">
        <f t="shared" ref="G50:S50" si="2">SUMIF($B9:$B48,$B50,G9:G48)</f>
        <v>22.031564392270617</v>
      </c>
      <c r="H50" s="219">
        <f t="shared" si="2"/>
        <v>29.856122157004936</v>
      </c>
      <c r="I50" s="219">
        <f t="shared" ref="I50" si="3">SUMIF($B9:$B48,$B50,I9:I48)</f>
        <v>30.056122157004936</v>
      </c>
      <c r="J50" s="219">
        <f>SUMIF($B9:$B48,$B50,J9:J48)</f>
        <v>28.022788823671604</v>
      </c>
      <c r="K50" s="219">
        <f>SUMIF($B9:$B48,$B50,K9:K48)</f>
        <v>0</v>
      </c>
      <c r="L50" s="219">
        <f t="shared" si="2"/>
        <v>0</v>
      </c>
      <c r="M50" s="219">
        <f t="shared" si="2"/>
        <v>0</v>
      </c>
      <c r="N50" s="219">
        <f t="shared" si="2"/>
        <v>0</v>
      </c>
      <c r="O50" s="219">
        <f t="shared" si="2"/>
        <v>0</v>
      </c>
      <c r="P50" s="219">
        <f t="shared" si="2"/>
        <v>0</v>
      </c>
      <c r="Q50" s="219">
        <f t="shared" si="2"/>
        <v>0</v>
      </c>
      <c r="R50" s="219">
        <f t="shared" si="2"/>
        <v>0</v>
      </c>
      <c r="S50" s="219">
        <f t="shared" si="2"/>
        <v>0</v>
      </c>
      <c r="T50" s="220">
        <f>SUMIF($B$9:$B$48,$B50,T9:T48)</f>
        <v>109.96659752995208</v>
      </c>
      <c r="U50" s="197"/>
      <c r="V50" s="220">
        <f>SUMIF($B$9:$B$48,$B50,V9:V48)</f>
        <v>809073.04833333334</v>
      </c>
      <c r="W50" s="191">
        <f>V50/V49</f>
        <v>0.20989912264778571</v>
      </c>
      <c r="X50" s="221"/>
    </row>
    <row r="51" spans="1:24" s="159" customFormat="1" ht="15" customHeight="1">
      <c r="A51" s="151">
        <v>47</v>
      </c>
      <c r="B51" s="151" t="s">
        <v>0</v>
      </c>
      <c r="C51" s="152">
        <v>2</v>
      </c>
      <c r="D51" s="153" t="s">
        <v>410</v>
      </c>
      <c r="E51" s="154"/>
      <c r="F51" s="154"/>
      <c r="G51" s="222"/>
      <c r="H51" s="154"/>
      <c r="I51" s="154"/>
      <c r="J51" s="154"/>
      <c r="K51" s="154"/>
      <c r="L51" s="154"/>
      <c r="M51" s="154"/>
      <c r="N51" s="154"/>
      <c r="O51" s="154"/>
      <c r="P51" s="154"/>
      <c r="Q51" s="154"/>
      <c r="R51" s="154"/>
      <c r="S51" s="154"/>
      <c r="T51" s="156"/>
      <c r="U51" s="156"/>
      <c r="V51" s="156"/>
      <c r="W51" s="157"/>
      <c r="X51" s="158"/>
    </row>
    <row r="52" spans="1:24" s="167" customFormat="1" ht="15" customHeight="1">
      <c r="A52" s="160">
        <v>48</v>
      </c>
      <c r="B52" s="160" t="s">
        <v>1</v>
      </c>
      <c r="C52" s="161">
        <v>2</v>
      </c>
      <c r="D52" s="162" t="s">
        <v>410</v>
      </c>
      <c r="E52" s="163"/>
      <c r="F52" s="163"/>
      <c r="G52" s="223"/>
      <c r="H52" s="163"/>
      <c r="I52" s="163"/>
      <c r="J52" s="163"/>
      <c r="K52" s="163"/>
      <c r="L52" s="163"/>
      <c r="M52" s="163"/>
      <c r="N52" s="163"/>
      <c r="O52" s="163"/>
      <c r="P52" s="163"/>
      <c r="Q52" s="163"/>
      <c r="R52" s="163"/>
      <c r="S52" s="163"/>
      <c r="T52" s="165"/>
      <c r="U52" s="165"/>
      <c r="V52" s="165"/>
      <c r="W52" s="157"/>
      <c r="X52" s="166"/>
    </row>
    <row r="53" spans="1:24" s="203" customFormat="1" ht="15" customHeight="1">
      <c r="A53" s="151">
        <v>49</v>
      </c>
      <c r="B53" s="151" t="s">
        <v>0</v>
      </c>
      <c r="C53" s="224" t="s">
        <v>16</v>
      </c>
      <c r="D53" s="169" t="s">
        <v>1218</v>
      </c>
      <c r="E53" s="170"/>
      <c r="F53" s="171"/>
      <c r="G53" s="202"/>
      <c r="H53" s="174"/>
      <c r="I53" s="174"/>
      <c r="J53" s="174"/>
      <c r="K53" s="174"/>
      <c r="L53" s="174"/>
      <c r="M53" s="174"/>
      <c r="N53" s="174"/>
      <c r="O53" s="174"/>
      <c r="P53" s="174"/>
      <c r="Q53" s="174"/>
      <c r="R53" s="174"/>
      <c r="S53" s="174"/>
      <c r="T53" s="174"/>
      <c r="U53" s="174"/>
      <c r="V53" s="174"/>
      <c r="W53" s="175"/>
      <c r="X53" s="176"/>
    </row>
    <row r="54" spans="1:24" s="205" customFormat="1" ht="15" customHeight="1">
      <c r="A54" s="160">
        <v>50</v>
      </c>
      <c r="B54" s="160" t="s">
        <v>1</v>
      </c>
      <c r="C54" s="177" t="s">
        <v>16</v>
      </c>
      <c r="D54" s="178" t="s">
        <v>1218</v>
      </c>
      <c r="E54" s="179"/>
      <c r="F54" s="180"/>
      <c r="G54" s="204"/>
      <c r="H54" s="183"/>
      <c r="I54" s="183"/>
      <c r="J54" s="183"/>
      <c r="K54" s="183"/>
      <c r="L54" s="183"/>
      <c r="M54" s="183"/>
      <c r="N54" s="183"/>
      <c r="O54" s="183"/>
      <c r="P54" s="183"/>
      <c r="Q54" s="183"/>
      <c r="R54" s="183"/>
      <c r="S54" s="183"/>
      <c r="T54" s="183"/>
      <c r="U54" s="183"/>
      <c r="V54" s="183"/>
      <c r="W54" s="175"/>
      <c r="X54" s="184"/>
    </row>
    <row r="55" spans="1:24" ht="15" customHeight="1">
      <c r="A55" s="151">
        <v>51</v>
      </c>
      <c r="B55" s="151" t="s">
        <v>0</v>
      </c>
      <c r="C55" s="185" t="s">
        <v>227</v>
      </c>
      <c r="D55" s="186" t="s">
        <v>1219</v>
      </c>
      <c r="E55" s="187" t="s">
        <v>97</v>
      </c>
      <c r="F55" s="187" t="s">
        <v>1200</v>
      </c>
      <c r="G55" s="188">
        <v>0.8</v>
      </c>
      <c r="H55" s="188">
        <v>1</v>
      </c>
      <c r="I55" s="188">
        <v>1</v>
      </c>
      <c r="J55" s="188">
        <v>1</v>
      </c>
      <c r="K55" s="188">
        <v>1</v>
      </c>
      <c r="L55" s="188">
        <v>1</v>
      </c>
      <c r="M55" s="188">
        <v>1</v>
      </c>
      <c r="N55" s="188">
        <v>1</v>
      </c>
      <c r="O55" s="188">
        <v>1</v>
      </c>
      <c r="P55" s="188">
        <v>1</v>
      </c>
      <c r="Q55" s="188">
        <v>1</v>
      </c>
      <c r="R55" s="188">
        <v>1</v>
      </c>
      <c r="S55" s="188">
        <v>0.2</v>
      </c>
      <c r="T55" s="189">
        <f t="shared" ref="T55:T86" si="4">SUM(G55:S55)</f>
        <v>12</v>
      </c>
      <c r="U55" s="225" t="s">
        <v>1220</v>
      </c>
      <c r="V55" s="189">
        <f t="shared" ref="V55:V86" si="5">U55*T55</f>
        <v>324667.92</v>
      </c>
      <c r="W55" s="191" t="s">
        <v>74</v>
      </c>
      <c r="X55" s="192"/>
    </row>
    <row r="56" spans="1:24" s="31" customFormat="1" ht="15" customHeight="1">
      <c r="A56" s="160">
        <v>52</v>
      </c>
      <c r="B56" s="160" t="s">
        <v>1</v>
      </c>
      <c r="C56" s="193" t="s">
        <v>227</v>
      </c>
      <c r="D56" s="194" t="s">
        <v>1219</v>
      </c>
      <c r="E56" s="195" t="s">
        <v>97</v>
      </c>
      <c r="F56" s="195" t="s">
        <v>1200</v>
      </c>
      <c r="G56" s="196">
        <v>0</v>
      </c>
      <c r="H56" s="196">
        <v>0</v>
      </c>
      <c r="I56" s="196">
        <v>0</v>
      </c>
      <c r="J56" s="196">
        <v>0</v>
      </c>
      <c r="K56" s="196"/>
      <c r="L56" s="196"/>
      <c r="M56" s="196"/>
      <c r="N56" s="196"/>
      <c r="O56" s="196"/>
      <c r="P56" s="196"/>
      <c r="Q56" s="196"/>
      <c r="R56" s="196"/>
      <c r="S56" s="196"/>
      <c r="T56" s="197">
        <f t="shared" si="4"/>
        <v>0</v>
      </c>
      <c r="U56" s="226" t="s">
        <v>1220</v>
      </c>
      <c r="V56" s="197">
        <f t="shared" si="5"/>
        <v>0</v>
      </c>
      <c r="W56" s="191">
        <f>V56/V55</f>
        <v>0</v>
      </c>
      <c r="X56" s="199"/>
    </row>
    <row r="57" spans="1:24" ht="15" customHeight="1">
      <c r="A57" s="151">
        <v>53</v>
      </c>
      <c r="B57" s="151" t="s">
        <v>0</v>
      </c>
      <c r="C57" s="185" t="s">
        <v>231</v>
      </c>
      <c r="D57" s="200" t="s">
        <v>1221</v>
      </c>
      <c r="E57" s="187" t="s">
        <v>148</v>
      </c>
      <c r="F57" s="187" t="s">
        <v>1200</v>
      </c>
      <c r="G57" s="188">
        <v>0.8</v>
      </c>
      <c r="H57" s="188">
        <v>1</v>
      </c>
      <c r="I57" s="188">
        <v>1</v>
      </c>
      <c r="J57" s="188">
        <v>1</v>
      </c>
      <c r="K57" s="188">
        <v>1</v>
      </c>
      <c r="L57" s="188">
        <v>1</v>
      </c>
      <c r="M57" s="188">
        <v>1</v>
      </c>
      <c r="N57" s="188">
        <v>1</v>
      </c>
      <c r="O57" s="188">
        <v>1</v>
      </c>
      <c r="P57" s="188">
        <v>1</v>
      </c>
      <c r="Q57" s="188">
        <v>1</v>
      </c>
      <c r="R57" s="188">
        <v>1</v>
      </c>
      <c r="S57" s="188">
        <v>0.2</v>
      </c>
      <c r="T57" s="189">
        <f t="shared" si="4"/>
        <v>12</v>
      </c>
      <c r="U57" s="225" t="s">
        <v>1222</v>
      </c>
      <c r="V57" s="189">
        <f t="shared" si="5"/>
        <v>306826.32</v>
      </c>
      <c r="W57" s="191" t="s">
        <v>74</v>
      </c>
      <c r="X57" s="192"/>
    </row>
    <row r="58" spans="1:24" s="31" customFormat="1" ht="15" customHeight="1">
      <c r="A58" s="160">
        <v>54</v>
      </c>
      <c r="B58" s="160" t="s">
        <v>1</v>
      </c>
      <c r="C58" s="193" t="s">
        <v>231</v>
      </c>
      <c r="D58" s="201" t="s">
        <v>1221</v>
      </c>
      <c r="E58" s="195" t="s">
        <v>148</v>
      </c>
      <c r="F58" s="195" t="s">
        <v>1200</v>
      </c>
      <c r="G58" s="196">
        <v>0.8</v>
      </c>
      <c r="H58" s="196">
        <v>1</v>
      </c>
      <c r="I58" s="196">
        <v>0.5</v>
      </c>
      <c r="J58" s="196">
        <v>0.5</v>
      </c>
      <c r="K58" s="196"/>
      <c r="L58" s="196"/>
      <c r="M58" s="196"/>
      <c r="N58" s="196"/>
      <c r="O58" s="196"/>
      <c r="P58" s="196"/>
      <c r="Q58" s="196"/>
      <c r="R58" s="196"/>
      <c r="S58" s="196"/>
      <c r="T58" s="197">
        <f t="shared" si="4"/>
        <v>2.8</v>
      </c>
      <c r="U58" s="226" t="s">
        <v>1222</v>
      </c>
      <c r="V58" s="197">
        <f t="shared" si="5"/>
        <v>71592.80799999999</v>
      </c>
      <c r="W58" s="191">
        <f>V58/V57</f>
        <v>0.23333333333333328</v>
      </c>
      <c r="X58" s="199"/>
    </row>
    <row r="59" spans="1:24" ht="15" customHeight="1">
      <c r="A59" s="151">
        <v>55</v>
      </c>
      <c r="B59" s="151" t="s">
        <v>0</v>
      </c>
      <c r="C59" s="185" t="s">
        <v>234</v>
      </c>
      <c r="D59" s="186" t="s">
        <v>1223</v>
      </c>
      <c r="E59" s="208" t="s">
        <v>125</v>
      </c>
      <c r="F59" s="187" t="s">
        <v>1200</v>
      </c>
      <c r="G59" s="188">
        <v>1.6</v>
      </c>
      <c r="H59" s="188">
        <v>2</v>
      </c>
      <c r="I59" s="188">
        <v>2</v>
      </c>
      <c r="J59" s="188">
        <v>2</v>
      </c>
      <c r="K59" s="188">
        <v>2</v>
      </c>
      <c r="L59" s="188">
        <v>2</v>
      </c>
      <c r="M59" s="188">
        <v>2</v>
      </c>
      <c r="N59" s="188">
        <v>2</v>
      </c>
      <c r="O59" s="188">
        <v>2</v>
      </c>
      <c r="P59" s="188">
        <v>2</v>
      </c>
      <c r="Q59" s="188">
        <v>2</v>
      </c>
      <c r="R59" s="188">
        <v>2</v>
      </c>
      <c r="S59" s="188">
        <v>0.4</v>
      </c>
      <c r="T59" s="189">
        <f t="shared" si="4"/>
        <v>24</v>
      </c>
      <c r="U59" s="225" t="s">
        <v>1224</v>
      </c>
      <c r="V59" s="189">
        <f t="shared" si="5"/>
        <v>197454.24</v>
      </c>
      <c r="W59" s="191" t="s">
        <v>74</v>
      </c>
      <c r="X59" s="192"/>
    </row>
    <row r="60" spans="1:24" s="31" customFormat="1" ht="15" customHeight="1">
      <c r="A60" s="160">
        <v>56</v>
      </c>
      <c r="B60" s="160" t="s">
        <v>1</v>
      </c>
      <c r="C60" s="193" t="s">
        <v>234</v>
      </c>
      <c r="D60" s="194" t="s">
        <v>1223</v>
      </c>
      <c r="E60" s="207" t="s">
        <v>125</v>
      </c>
      <c r="F60" s="195" t="s">
        <v>1200</v>
      </c>
      <c r="G60" s="196">
        <v>0.60000000000000009</v>
      </c>
      <c r="H60" s="196">
        <v>2</v>
      </c>
      <c r="I60" s="196">
        <v>2</v>
      </c>
      <c r="J60" s="196">
        <v>2</v>
      </c>
      <c r="K60" s="196"/>
      <c r="L60" s="196"/>
      <c r="M60" s="196"/>
      <c r="N60" s="196"/>
      <c r="O60" s="196"/>
      <c r="P60" s="196"/>
      <c r="Q60" s="196"/>
      <c r="R60" s="196"/>
      <c r="S60" s="196"/>
      <c r="T60" s="197">
        <f t="shared" si="4"/>
        <v>6.6</v>
      </c>
      <c r="U60" s="226" t="s">
        <v>1224</v>
      </c>
      <c r="V60" s="197">
        <f t="shared" si="5"/>
        <v>54299.915999999997</v>
      </c>
      <c r="W60" s="191">
        <f>V60/V59</f>
        <v>0.27500000000000002</v>
      </c>
      <c r="X60" s="199"/>
    </row>
    <row r="61" spans="1:24" s="203" customFormat="1" ht="28.9">
      <c r="A61" s="151">
        <v>57</v>
      </c>
      <c r="B61" s="151" t="s">
        <v>0</v>
      </c>
      <c r="C61" s="168" t="s">
        <v>13</v>
      </c>
      <c r="D61" s="227" t="s">
        <v>1225</v>
      </c>
      <c r="E61" s="228"/>
      <c r="F61" s="229"/>
      <c r="G61" s="202"/>
      <c r="H61" s="202"/>
      <c r="I61" s="202"/>
      <c r="J61" s="202"/>
      <c r="K61" s="202"/>
      <c r="L61" s="202"/>
      <c r="M61" s="202"/>
      <c r="N61" s="202"/>
      <c r="O61" s="202"/>
      <c r="P61" s="202"/>
      <c r="Q61" s="202"/>
      <c r="R61" s="202"/>
      <c r="S61" s="202"/>
      <c r="T61" s="174">
        <f t="shared" si="4"/>
        <v>0</v>
      </c>
      <c r="U61" s="174"/>
      <c r="V61" s="174">
        <f t="shared" si="5"/>
        <v>0</v>
      </c>
      <c r="W61" s="175"/>
      <c r="X61" s="176"/>
    </row>
    <row r="62" spans="1:24" s="205" customFormat="1" ht="28.9">
      <c r="A62" s="160">
        <v>58</v>
      </c>
      <c r="B62" s="160" t="s">
        <v>1</v>
      </c>
      <c r="C62" s="177" t="s">
        <v>13</v>
      </c>
      <c r="D62" s="210" t="s">
        <v>1225</v>
      </c>
      <c r="E62" s="179"/>
      <c r="F62" s="178"/>
      <c r="G62" s="204"/>
      <c r="H62" s="204"/>
      <c r="I62" s="204"/>
      <c r="J62" s="204"/>
      <c r="K62" s="204"/>
      <c r="L62" s="204"/>
      <c r="M62" s="204"/>
      <c r="N62" s="204"/>
      <c r="O62" s="204"/>
      <c r="P62" s="204"/>
      <c r="Q62" s="204"/>
      <c r="R62" s="204"/>
      <c r="S62" s="204"/>
      <c r="T62" s="183">
        <f t="shared" si="4"/>
        <v>0</v>
      </c>
      <c r="U62" s="183"/>
      <c r="V62" s="183">
        <f t="shared" si="5"/>
        <v>0</v>
      </c>
      <c r="W62" s="175"/>
      <c r="X62" s="184"/>
    </row>
    <row r="63" spans="1:24" ht="15" customHeight="1">
      <c r="A63" s="151">
        <v>59</v>
      </c>
      <c r="B63" s="151" t="s">
        <v>0</v>
      </c>
      <c r="C63" s="230" t="s">
        <v>246</v>
      </c>
      <c r="D63" s="186" t="s">
        <v>1226</v>
      </c>
      <c r="E63" s="208" t="s">
        <v>125</v>
      </c>
      <c r="F63" s="212" t="s">
        <v>1200</v>
      </c>
      <c r="G63" s="188">
        <v>3.2</v>
      </c>
      <c r="H63" s="188">
        <v>4</v>
      </c>
      <c r="I63" s="188">
        <v>4</v>
      </c>
      <c r="J63" s="188">
        <v>4</v>
      </c>
      <c r="K63" s="188">
        <v>4</v>
      </c>
      <c r="L63" s="188">
        <v>4</v>
      </c>
      <c r="M63" s="188">
        <v>4</v>
      </c>
      <c r="N63" s="188">
        <v>4</v>
      </c>
      <c r="O63" s="188">
        <v>4</v>
      </c>
      <c r="P63" s="188">
        <v>4</v>
      </c>
      <c r="Q63" s="188">
        <v>4</v>
      </c>
      <c r="R63" s="188">
        <v>4</v>
      </c>
      <c r="S63" s="188">
        <v>0.8</v>
      </c>
      <c r="T63" s="189">
        <f t="shared" si="4"/>
        <v>48</v>
      </c>
      <c r="U63" s="225" t="s">
        <v>1224</v>
      </c>
      <c r="V63" s="189">
        <f t="shared" si="5"/>
        <v>394908.48</v>
      </c>
      <c r="W63" s="191" t="s">
        <v>74</v>
      </c>
      <c r="X63" s="192"/>
    </row>
    <row r="64" spans="1:24" s="31" customFormat="1" ht="15" customHeight="1">
      <c r="A64" s="160">
        <v>60</v>
      </c>
      <c r="B64" s="160" t="s">
        <v>1</v>
      </c>
      <c r="C64" s="193" t="s">
        <v>246</v>
      </c>
      <c r="D64" s="194" t="s">
        <v>1226</v>
      </c>
      <c r="E64" s="207" t="s">
        <v>125</v>
      </c>
      <c r="F64" s="195" t="s">
        <v>1200</v>
      </c>
      <c r="G64" s="196">
        <v>2.4000000000000004</v>
      </c>
      <c r="H64" s="196">
        <v>4</v>
      </c>
      <c r="I64" s="196">
        <v>4</v>
      </c>
      <c r="J64" s="196">
        <v>4</v>
      </c>
      <c r="K64" s="196"/>
      <c r="L64" s="196"/>
      <c r="M64" s="196"/>
      <c r="N64" s="196"/>
      <c r="O64" s="196"/>
      <c r="P64" s="196"/>
      <c r="Q64" s="196"/>
      <c r="R64" s="196"/>
      <c r="S64" s="196"/>
      <c r="T64" s="197">
        <f t="shared" si="4"/>
        <v>14.4</v>
      </c>
      <c r="U64" s="226" t="s">
        <v>1224</v>
      </c>
      <c r="V64" s="197">
        <f t="shared" si="5"/>
        <v>118472.54400000001</v>
      </c>
      <c r="W64" s="191">
        <f>V64/V63</f>
        <v>0.30000000000000004</v>
      </c>
      <c r="X64" s="199"/>
    </row>
    <row r="65" spans="1:24" ht="15" customHeight="1">
      <c r="A65" s="151">
        <v>61</v>
      </c>
      <c r="B65" s="151" t="s">
        <v>0</v>
      </c>
      <c r="C65" s="230" t="s">
        <v>250</v>
      </c>
      <c r="D65" s="186" t="s">
        <v>1227</v>
      </c>
      <c r="E65" s="208" t="s">
        <v>129</v>
      </c>
      <c r="F65" s="212" t="s">
        <v>1200</v>
      </c>
      <c r="G65" s="188">
        <v>3.2</v>
      </c>
      <c r="H65" s="188">
        <v>4</v>
      </c>
      <c r="I65" s="188">
        <v>4</v>
      </c>
      <c r="J65" s="188">
        <v>4</v>
      </c>
      <c r="K65" s="188">
        <v>4</v>
      </c>
      <c r="L65" s="188">
        <v>4</v>
      </c>
      <c r="M65" s="188">
        <v>4</v>
      </c>
      <c r="N65" s="188">
        <v>4</v>
      </c>
      <c r="O65" s="188">
        <v>4</v>
      </c>
      <c r="P65" s="188">
        <v>4</v>
      </c>
      <c r="Q65" s="188">
        <v>4</v>
      </c>
      <c r="R65" s="188">
        <v>4</v>
      </c>
      <c r="S65" s="188">
        <v>0.8</v>
      </c>
      <c r="T65" s="189">
        <f t="shared" si="4"/>
        <v>48</v>
      </c>
      <c r="U65" s="225" t="s">
        <v>1228</v>
      </c>
      <c r="V65" s="189">
        <f t="shared" si="5"/>
        <v>586721.28000000003</v>
      </c>
      <c r="W65" s="191" t="s">
        <v>74</v>
      </c>
      <c r="X65" s="192"/>
    </row>
    <row r="66" spans="1:24" s="31" customFormat="1" ht="15" customHeight="1">
      <c r="A66" s="160">
        <v>62</v>
      </c>
      <c r="B66" s="160" t="s">
        <v>1</v>
      </c>
      <c r="C66" s="193" t="s">
        <v>250</v>
      </c>
      <c r="D66" s="194" t="s">
        <v>1227</v>
      </c>
      <c r="E66" s="207" t="s">
        <v>129</v>
      </c>
      <c r="F66" s="195" t="s">
        <v>1200</v>
      </c>
      <c r="G66" s="196">
        <v>3.2</v>
      </c>
      <c r="H66" s="196">
        <v>4</v>
      </c>
      <c r="I66" s="196">
        <v>4</v>
      </c>
      <c r="J66" s="196">
        <v>4</v>
      </c>
      <c r="K66" s="196"/>
      <c r="L66" s="196"/>
      <c r="M66" s="196"/>
      <c r="N66" s="196"/>
      <c r="O66" s="196"/>
      <c r="P66" s="196"/>
      <c r="Q66" s="196"/>
      <c r="R66" s="196"/>
      <c r="S66" s="196"/>
      <c r="T66" s="197">
        <f t="shared" si="4"/>
        <v>15.2</v>
      </c>
      <c r="U66" s="226" t="s">
        <v>1228</v>
      </c>
      <c r="V66" s="197">
        <f t="shared" si="5"/>
        <v>185795.07200000001</v>
      </c>
      <c r="W66" s="191">
        <f>V66/V65</f>
        <v>0.31666666666666665</v>
      </c>
      <c r="X66" s="199"/>
    </row>
    <row r="67" spans="1:24" ht="15" customHeight="1">
      <c r="A67" s="151">
        <v>63</v>
      </c>
      <c r="B67" s="151" t="s">
        <v>0</v>
      </c>
      <c r="C67" s="230" t="s">
        <v>253</v>
      </c>
      <c r="D67" s="200" t="s">
        <v>1229</v>
      </c>
      <c r="E67" s="208" t="s">
        <v>152</v>
      </c>
      <c r="F67" s="212" t="s">
        <v>1200</v>
      </c>
      <c r="G67" s="188">
        <v>1.6</v>
      </c>
      <c r="H67" s="188">
        <v>2</v>
      </c>
      <c r="I67" s="188">
        <v>2</v>
      </c>
      <c r="J67" s="188">
        <v>2</v>
      </c>
      <c r="K67" s="188">
        <v>2</v>
      </c>
      <c r="L67" s="188">
        <v>2</v>
      </c>
      <c r="M67" s="188">
        <v>2</v>
      </c>
      <c r="N67" s="188">
        <v>2</v>
      </c>
      <c r="O67" s="188">
        <v>2</v>
      </c>
      <c r="P67" s="188">
        <v>2</v>
      </c>
      <c r="Q67" s="188">
        <v>2</v>
      </c>
      <c r="R67" s="188">
        <v>2</v>
      </c>
      <c r="S67" s="188">
        <v>0.4</v>
      </c>
      <c r="T67" s="189">
        <f t="shared" si="4"/>
        <v>24</v>
      </c>
      <c r="U67" s="225" t="s">
        <v>1230</v>
      </c>
      <c r="V67" s="189">
        <f t="shared" si="5"/>
        <v>122381.51999999999</v>
      </c>
      <c r="W67" s="191" t="s">
        <v>74</v>
      </c>
      <c r="X67" s="192"/>
    </row>
    <row r="68" spans="1:24" s="31" customFormat="1" ht="15" customHeight="1">
      <c r="A68" s="160">
        <v>64</v>
      </c>
      <c r="B68" s="160" t="s">
        <v>1</v>
      </c>
      <c r="C68" s="193" t="s">
        <v>253</v>
      </c>
      <c r="D68" s="201" t="s">
        <v>1229</v>
      </c>
      <c r="E68" s="207" t="s">
        <v>152</v>
      </c>
      <c r="F68" s="195" t="s">
        <v>1200</v>
      </c>
      <c r="G68" s="196">
        <v>1.5999999999999999</v>
      </c>
      <c r="H68" s="196">
        <v>2</v>
      </c>
      <c r="I68" s="196">
        <v>2</v>
      </c>
      <c r="J68" s="196">
        <v>2</v>
      </c>
      <c r="K68" s="196"/>
      <c r="L68" s="196"/>
      <c r="M68" s="196"/>
      <c r="N68" s="196"/>
      <c r="O68" s="196"/>
      <c r="P68" s="196"/>
      <c r="Q68" s="196"/>
      <c r="R68" s="196"/>
      <c r="S68" s="196"/>
      <c r="T68" s="197">
        <f t="shared" si="4"/>
        <v>7.6</v>
      </c>
      <c r="U68" s="226" t="s">
        <v>1230</v>
      </c>
      <c r="V68" s="197">
        <f t="shared" si="5"/>
        <v>38754.147999999994</v>
      </c>
      <c r="W68" s="191">
        <f>V68/V67</f>
        <v>0.31666666666666665</v>
      </c>
      <c r="X68" s="199"/>
    </row>
    <row r="69" spans="1:24" ht="15.6" customHeight="1">
      <c r="A69" s="151">
        <v>65</v>
      </c>
      <c r="B69" s="151" t="s">
        <v>0</v>
      </c>
      <c r="C69" s="230" t="s">
        <v>255</v>
      </c>
      <c r="D69" s="200" t="s">
        <v>118</v>
      </c>
      <c r="E69" s="212" t="s">
        <v>156</v>
      </c>
      <c r="F69" s="212" t="s">
        <v>1200</v>
      </c>
      <c r="G69" s="188">
        <v>6.4</v>
      </c>
      <c r="H69" s="188">
        <v>8</v>
      </c>
      <c r="I69" s="188">
        <v>8</v>
      </c>
      <c r="J69" s="188">
        <v>8</v>
      </c>
      <c r="K69" s="188">
        <v>8</v>
      </c>
      <c r="L69" s="188">
        <v>8</v>
      </c>
      <c r="M69" s="188">
        <v>8</v>
      </c>
      <c r="N69" s="188">
        <v>8</v>
      </c>
      <c r="O69" s="188">
        <v>8</v>
      </c>
      <c r="P69" s="188">
        <v>8</v>
      </c>
      <c r="Q69" s="188">
        <v>8</v>
      </c>
      <c r="R69" s="188">
        <v>8</v>
      </c>
      <c r="S69" s="188">
        <v>1.6</v>
      </c>
      <c r="T69" s="189">
        <f t="shared" si="4"/>
        <v>96</v>
      </c>
      <c r="U69" s="225" t="s">
        <v>1231</v>
      </c>
      <c r="V69" s="189">
        <f t="shared" si="5"/>
        <v>727295.04</v>
      </c>
      <c r="W69" s="191" t="s">
        <v>74</v>
      </c>
      <c r="X69" s="192"/>
    </row>
    <row r="70" spans="1:24" s="31" customFormat="1" ht="15.6" customHeight="1">
      <c r="A70" s="160">
        <v>66</v>
      </c>
      <c r="B70" s="160" t="s">
        <v>1</v>
      </c>
      <c r="C70" s="193" t="s">
        <v>255</v>
      </c>
      <c r="D70" s="201" t="s">
        <v>118</v>
      </c>
      <c r="E70" s="195" t="s">
        <v>156</v>
      </c>
      <c r="F70" s="195" t="s">
        <v>1200</v>
      </c>
      <c r="G70" s="196">
        <v>6.3999999999999995</v>
      </c>
      <c r="H70" s="196">
        <v>7.8</v>
      </c>
      <c r="I70" s="196">
        <v>8</v>
      </c>
      <c r="J70" s="196">
        <v>8</v>
      </c>
      <c r="K70" s="196"/>
      <c r="L70" s="196"/>
      <c r="M70" s="196"/>
      <c r="N70" s="196"/>
      <c r="O70" s="196"/>
      <c r="P70" s="196"/>
      <c r="Q70" s="196"/>
      <c r="R70" s="196"/>
      <c r="S70" s="196"/>
      <c r="T70" s="197">
        <f t="shared" si="4"/>
        <v>30.2</v>
      </c>
      <c r="U70" s="226" t="s">
        <v>1231</v>
      </c>
      <c r="V70" s="197">
        <f t="shared" si="5"/>
        <v>228794.89799999999</v>
      </c>
      <c r="W70" s="191">
        <f>V70/V69</f>
        <v>0.31458333333333333</v>
      </c>
      <c r="X70" s="199"/>
    </row>
    <row r="71" spans="1:24" s="203" customFormat="1" ht="15" customHeight="1">
      <c r="A71" s="151">
        <v>67</v>
      </c>
      <c r="B71" s="151" t="s">
        <v>0</v>
      </c>
      <c r="C71" s="168" t="s">
        <v>23</v>
      </c>
      <c r="D71" s="229" t="s">
        <v>1232</v>
      </c>
      <c r="E71" s="228"/>
      <c r="F71" s="229"/>
      <c r="G71" s="202"/>
      <c r="H71" s="202"/>
      <c r="I71" s="202"/>
      <c r="J71" s="202"/>
      <c r="K71" s="202"/>
      <c r="L71" s="202"/>
      <c r="M71" s="202"/>
      <c r="N71" s="202"/>
      <c r="O71" s="202"/>
      <c r="P71" s="202"/>
      <c r="Q71" s="202"/>
      <c r="R71" s="202"/>
      <c r="S71" s="202"/>
      <c r="T71" s="174">
        <f t="shared" si="4"/>
        <v>0</v>
      </c>
      <c r="U71" s="174"/>
      <c r="V71" s="174">
        <f t="shared" si="5"/>
        <v>0</v>
      </c>
      <c r="W71" s="175"/>
      <c r="X71" s="176"/>
    </row>
    <row r="72" spans="1:24" s="205" customFormat="1" ht="15" customHeight="1">
      <c r="A72" s="160">
        <v>68</v>
      </c>
      <c r="B72" s="160" t="s">
        <v>1</v>
      </c>
      <c r="C72" s="177" t="s">
        <v>23</v>
      </c>
      <c r="D72" s="178" t="s">
        <v>1232</v>
      </c>
      <c r="E72" s="179"/>
      <c r="F72" s="178"/>
      <c r="G72" s="204"/>
      <c r="H72" s="204"/>
      <c r="I72" s="204"/>
      <c r="J72" s="204"/>
      <c r="K72" s="204"/>
      <c r="L72" s="204"/>
      <c r="M72" s="204"/>
      <c r="N72" s="204"/>
      <c r="O72" s="204"/>
      <c r="P72" s="204"/>
      <c r="Q72" s="204"/>
      <c r="R72" s="204"/>
      <c r="S72" s="204"/>
      <c r="T72" s="183">
        <f t="shared" si="4"/>
        <v>0</v>
      </c>
      <c r="U72" s="183"/>
      <c r="V72" s="183">
        <f t="shared" si="5"/>
        <v>0</v>
      </c>
      <c r="W72" s="175"/>
      <c r="X72" s="184"/>
    </row>
    <row r="73" spans="1:24" ht="15" customHeight="1">
      <c r="A73" s="151">
        <v>69</v>
      </c>
      <c r="B73" s="151" t="s">
        <v>0</v>
      </c>
      <c r="C73" s="185" t="s">
        <v>257</v>
      </c>
      <c r="D73" s="186" t="s">
        <v>1226</v>
      </c>
      <c r="E73" s="208" t="s">
        <v>125</v>
      </c>
      <c r="F73" s="187" t="s">
        <v>1200</v>
      </c>
      <c r="G73" s="188">
        <v>4.8000000000000007</v>
      </c>
      <c r="H73" s="188">
        <v>6</v>
      </c>
      <c r="I73" s="188">
        <v>6</v>
      </c>
      <c r="J73" s="188">
        <v>6</v>
      </c>
      <c r="K73" s="188">
        <v>6</v>
      </c>
      <c r="L73" s="188">
        <v>6</v>
      </c>
      <c r="M73" s="188">
        <v>6</v>
      </c>
      <c r="N73" s="188">
        <v>6</v>
      </c>
      <c r="O73" s="188">
        <v>6</v>
      </c>
      <c r="P73" s="188">
        <v>6</v>
      </c>
      <c r="Q73" s="188">
        <v>6</v>
      </c>
      <c r="R73" s="188">
        <v>6</v>
      </c>
      <c r="S73" s="188">
        <v>1.2000000000000002</v>
      </c>
      <c r="T73" s="189">
        <f t="shared" si="4"/>
        <v>72</v>
      </c>
      <c r="U73" s="225" t="s">
        <v>1224</v>
      </c>
      <c r="V73" s="189">
        <f t="shared" si="5"/>
        <v>592362.72</v>
      </c>
      <c r="W73" s="191" t="s">
        <v>74</v>
      </c>
      <c r="X73" s="192"/>
    </row>
    <row r="74" spans="1:24" s="31" customFormat="1" ht="15" customHeight="1">
      <c r="A74" s="160">
        <v>70</v>
      </c>
      <c r="B74" s="160" t="s">
        <v>1</v>
      </c>
      <c r="C74" s="193" t="s">
        <v>257</v>
      </c>
      <c r="D74" s="194" t="s">
        <v>1226</v>
      </c>
      <c r="E74" s="207" t="s">
        <v>125</v>
      </c>
      <c r="F74" s="195" t="s">
        <v>1200</v>
      </c>
      <c r="G74" s="196">
        <v>4.0666666666666664</v>
      </c>
      <c r="H74" s="196">
        <v>6</v>
      </c>
      <c r="I74" s="196">
        <v>6</v>
      </c>
      <c r="J74" s="196">
        <v>5</v>
      </c>
      <c r="K74" s="196"/>
      <c r="L74" s="196"/>
      <c r="M74" s="196"/>
      <c r="N74" s="196"/>
      <c r="O74" s="196"/>
      <c r="P74" s="196"/>
      <c r="Q74" s="196"/>
      <c r="R74" s="196"/>
      <c r="S74" s="196"/>
      <c r="T74" s="197">
        <f t="shared" si="4"/>
        <v>21.066666666666666</v>
      </c>
      <c r="U74" s="226" t="s">
        <v>1224</v>
      </c>
      <c r="V74" s="197">
        <f t="shared" si="5"/>
        <v>173320.94399999999</v>
      </c>
      <c r="W74" s="191">
        <f>V74/V73</f>
        <v>0.29259259259259257</v>
      </c>
      <c r="X74" s="199"/>
    </row>
    <row r="75" spans="1:24" ht="15" customHeight="1">
      <c r="A75" s="151">
        <v>71</v>
      </c>
      <c r="B75" s="151" t="s">
        <v>0</v>
      </c>
      <c r="C75" s="185" t="s">
        <v>258</v>
      </c>
      <c r="D75" s="186" t="s">
        <v>1223</v>
      </c>
      <c r="E75" s="208" t="s">
        <v>125</v>
      </c>
      <c r="F75" s="187" t="s">
        <v>1200</v>
      </c>
      <c r="G75" s="188">
        <v>4.8000000000000007</v>
      </c>
      <c r="H75" s="188">
        <v>6</v>
      </c>
      <c r="I75" s="188">
        <v>6</v>
      </c>
      <c r="J75" s="188">
        <v>6</v>
      </c>
      <c r="K75" s="188">
        <v>6</v>
      </c>
      <c r="L75" s="188">
        <v>6</v>
      </c>
      <c r="M75" s="188">
        <v>6</v>
      </c>
      <c r="N75" s="188">
        <v>6</v>
      </c>
      <c r="O75" s="188">
        <v>6</v>
      </c>
      <c r="P75" s="188">
        <v>6</v>
      </c>
      <c r="Q75" s="188">
        <v>6</v>
      </c>
      <c r="R75" s="188">
        <v>6</v>
      </c>
      <c r="S75" s="188">
        <v>1.2000000000000002</v>
      </c>
      <c r="T75" s="189">
        <f t="shared" si="4"/>
        <v>72</v>
      </c>
      <c r="U75" s="225" t="s">
        <v>1224</v>
      </c>
      <c r="V75" s="189">
        <f t="shared" si="5"/>
        <v>592362.72</v>
      </c>
      <c r="W75" s="191" t="s">
        <v>74</v>
      </c>
      <c r="X75" s="192"/>
    </row>
    <row r="76" spans="1:24" s="31" customFormat="1" ht="15" customHeight="1">
      <c r="A76" s="160">
        <v>72</v>
      </c>
      <c r="B76" s="160" t="s">
        <v>1</v>
      </c>
      <c r="C76" s="193" t="s">
        <v>258</v>
      </c>
      <c r="D76" s="194" t="s">
        <v>1223</v>
      </c>
      <c r="E76" s="207" t="s">
        <v>125</v>
      </c>
      <c r="F76" s="195" t="s">
        <v>1200</v>
      </c>
      <c r="G76" s="196">
        <v>4.8</v>
      </c>
      <c r="H76" s="196">
        <v>6</v>
      </c>
      <c r="I76" s="196">
        <v>6</v>
      </c>
      <c r="J76" s="196">
        <v>6</v>
      </c>
      <c r="K76" s="196"/>
      <c r="L76" s="196"/>
      <c r="M76" s="196"/>
      <c r="N76" s="196"/>
      <c r="O76" s="196"/>
      <c r="P76" s="196"/>
      <c r="Q76" s="196"/>
      <c r="R76" s="196"/>
      <c r="S76" s="196"/>
      <c r="T76" s="197">
        <f t="shared" si="4"/>
        <v>22.8</v>
      </c>
      <c r="U76" s="226" t="s">
        <v>1224</v>
      </c>
      <c r="V76" s="197">
        <f t="shared" si="5"/>
        <v>187581.52800000002</v>
      </c>
      <c r="W76" s="191">
        <f>V76/V75</f>
        <v>0.31666666666666671</v>
      </c>
      <c r="X76" s="199"/>
    </row>
    <row r="77" spans="1:24" ht="15" customHeight="1">
      <c r="A77" s="151">
        <v>73</v>
      </c>
      <c r="B77" s="151" t="s">
        <v>0</v>
      </c>
      <c r="C77" s="185" t="s">
        <v>259</v>
      </c>
      <c r="D77" s="200" t="s">
        <v>1233</v>
      </c>
      <c r="E77" s="208" t="s">
        <v>152</v>
      </c>
      <c r="F77" s="187" t="s">
        <v>1200</v>
      </c>
      <c r="G77" s="188">
        <v>1.6</v>
      </c>
      <c r="H77" s="188">
        <v>2</v>
      </c>
      <c r="I77" s="188">
        <v>2</v>
      </c>
      <c r="J77" s="188">
        <v>2</v>
      </c>
      <c r="K77" s="188">
        <v>2</v>
      </c>
      <c r="L77" s="188">
        <v>2</v>
      </c>
      <c r="M77" s="188">
        <v>2</v>
      </c>
      <c r="N77" s="188">
        <v>2</v>
      </c>
      <c r="O77" s="188">
        <v>2</v>
      </c>
      <c r="P77" s="188">
        <v>2</v>
      </c>
      <c r="Q77" s="188">
        <v>2</v>
      </c>
      <c r="R77" s="188">
        <v>2</v>
      </c>
      <c r="S77" s="188">
        <v>0.4</v>
      </c>
      <c r="T77" s="189">
        <f t="shared" si="4"/>
        <v>24</v>
      </c>
      <c r="U77" s="225" t="s">
        <v>1230</v>
      </c>
      <c r="V77" s="189">
        <f t="shared" si="5"/>
        <v>122381.51999999999</v>
      </c>
      <c r="W77" s="191" t="s">
        <v>74</v>
      </c>
      <c r="X77" s="192"/>
    </row>
    <row r="78" spans="1:24" s="31" customFormat="1" ht="15" customHeight="1">
      <c r="A78" s="160">
        <v>74</v>
      </c>
      <c r="B78" s="160" t="s">
        <v>1</v>
      </c>
      <c r="C78" s="193" t="s">
        <v>259</v>
      </c>
      <c r="D78" s="201" t="s">
        <v>1233</v>
      </c>
      <c r="E78" s="207" t="s">
        <v>152</v>
      </c>
      <c r="F78" s="195" t="s">
        <v>1200</v>
      </c>
      <c r="G78" s="196">
        <v>1.5999999999999999</v>
      </c>
      <c r="H78" s="196">
        <v>2</v>
      </c>
      <c r="I78" s="196">
        <v>2</v>
      </c>
      <c r="J78" s="196">
        <v>1.0666666666666667</v>
      </c>
      <c r="K78" s="196"/>
      <c r="L78" s="196"/>
      <c r="M78" s="196"/>
      <c r="N78" s="196"/>
      <c r="O78" s="196"/>
      <c r="P78" s="196"/>
      <c r="Q78" s="196"/>
      <c r="R78" s="196"/>
      <c r="S78" s="196"/>
      <c r="T78" s="197">
        <f t="shared" si="4"/>
        <v>6.6666666666666661</v>
      </c>
      <c r="U78" s="226" t="s">
        <v>1230</v>
      </c>
      <c r="V78" s="197">
        <f t="shared" si="5"/>
        <v>33994.866666666661</v>
      </c>
      <c r="W78" s="191">
        <f>V78/V77</f>
        <v>0.27777777777777773</v>
      </c>
      <c r="X78" s="199"/>
    </row>
    <row r="79" spans="1:24" s="203" customFormat="1" ht="15" customHeight="1">
      <c r="A79" s="151">
        <v>75</v>
      </c>
      <c r="B79" s="151" t="s">
        <v>0</v>
      </c>
      <c r="C79" s="168" t="s">
        <v>19</v>
      </c>
      <c r="D79" s="169" t="s">
        <v>1234</v>
      </c>
      <c r="E79" s="170"/>
      <c r="F79" s="169"/>
      <c r="G79" s="202"/>
      <c r="H79" s="202"/>
      <c r="I79" s="202"/>
      <c r="J79" s="202"/>
      <c r="K79" s="202"/>
      <c r="L79" s="202"/>
      <c r="M79" s="202"/>
      <c r="N79" s="202"/>
      <c r="O79" s="202"/>
      <c r="P79" s="202"/>
      <c r="Q79" s="202"/>
      <c r="R79" s="202"/>
      <c r="S79" s="202"/>
      <c r="T79" s="174">
        <f t="shared" si="4"/>
        <v>0</v>
      </c>
      <c r="U79" s="174"/>
      <c r="V79" s="174">
        <f t="shared" si="5"/>
        <v>0</v>
      </c>
      <c r="W79" s="175"/>
      <c r="X79" s="176"/>
    </row>
    <row r="80" spans="1:24" s="205" customFormat="1" ht="15" customHeight="1">
      <c r="A80" s="160">
        <v>76</v>
      </c>
      <c r="B80" s="160" t="s">
        <v>1</v>
      </c>
      <c r="C80" s="177" t="s">
        <v>19</v>
      </c>
      <c r="D80" s="178" t="s">
        <v>1234</v>
      </c>
      <c r="E80" s="179"/>
      <c r="F80" s="178"/>
      <c r="G80" s="204"/>
      <c r="H80" s="204"/>
      <c r="I80" s="204"/>
      <c r="J80" s="204"/>
      <c r="K80" s="204"/>
      <c r="L80" s="204"/>
      <c r="M80" s="204"/>
      <c r="N80" s="204"/>
      <c r="O80" s="204"/>
      <c r="P80" s="204"/>
      <c r="Q80" s="204"/>
      <c r="R80" s="204"/>
      <c r="S80" s="204"/>
      <c r="T80" s="183">
        <f t="shared" si="4"/>
        <v>0</v>
      </c>
      <c r="U80" s="183"/>
      <c r="V80" s="183">
        <f t="shared" si="5"/>
        <v>0</v>
      </c>
      <c r="W80" s="175"/>
      <c r="X80" s="184"/>
    </row>
    <row r="81" spans="1:24" ht="15" customHeight="1">
      <c r="A81" s="151">
        <v>77</v>
      </c>
      <c r="B81" s="151" t="s">
        <v>0</v>
      </c>
      <c r="C81" s="185" t="s">
        <v>264</v>
      </c>
      <c r="D81" s="200" t="s">
        <v>1226</v>
      </c>
      <c r="E81" s="208" t="s">
        <v>125</v>
      </c>
      <c r="F81" s="187" t="s">
        <v>1200</v>
      </c>
      <c r="G81" s="188">
        <v>12</v>
      </c>
      <c r="H81" s="188">
        <v>15</v>
      </c>
      <c r="I81" s="188">
        <v>15</v>
      </c>
      <c r="J81" s="188">
        <v>15</v>
      </c>
      <c r="K81" s="188">
        <v>15</v>
      </c>
      <c r="L81" s="188">
        <v>15</v>
      </c>
      <c r="M81" s="188">
        <v>15</v>
      </c>
      <c r="N81" s="188">
        <v>15</v>
      </c>
      <c r="O81" s="188">
        <v>15</v>
      </c>
      <c r="P81" s="188">
        <v>15</v>
      </c>
      <c r="Q81" s="188">
        <v>15</v>
      </c>
      <c r="R81" s="188">
        <v>15</v>
      </c>
      <c r="S81" s="188">
        <v>3</v>
      </c>
      <c r="T81" s="412">
        <f t="shared" si="4"/>
        <v>180</v>
      </c>
      <c r="U81" s="225" t="s">
        <v>1224</v>
      </c>
      <c r="V81" s="189">
        <f t="shared" si="5"/>
        <v>1480906.8</v>
      </c>
      <c r="W81" s="191" t="s">
        <v>74</v>
      </c>
      <c r="X81" s="192"/>
    </row>
    <row r="82" spans="1:24" s="31" customFormat="1" ht="15" customHeight="1">
      <c r="A82" s="160">
        <v>78</v>
      </c>
      <c r="B82" s="160" t="s">
        <v>1</v>
      </c>
      <c r="C82" s="193" t="s">
        <v>264</v>
      </c>
      <c r="D82" s="201" t="s">
        <v>1226</v>
      </c>
      <c r="E82" s="207" t="s">
        <v>125</v>
      </c>
      <c r="F82" s="195" t="s">
        <v>1200</v>
      </c>
      <c r="G82" s="196">
        <v>10.4</v>
      </c>
      <c r="H82" s="196">
        <v>13</v>
      </c>
      <c r="I82" s="196">
        <v>13</v>
      </c>
      <c r="J82" s="196">
        <v>13.966666666666669</v>
      </c>
      <c r="K82" s="196"/>
      <c r="L82" s="196"/>
      <c r="M82" s="196"/>
      <c r="N82" s="196"/>
      <c r="O82" s="196"/>
      <c r="P82" s="196"/>
      <c r="Q82" s="196"/>
      <c r="R82" s="196"/>
      <c r="S82" s="196"/>
      <c r="T82" s="197">
        <f t="shared" si="4"/>
        <v>50.366666666666667</v>
      </c>
      <c r="U82" s="226" t="s">
        <v>1224</v>
      </c>
      <c r="V82" s="197">
        <f t="shared" si="5"/>
        <v>414379.66200000001</v>
      </c>
      <c r="W82" s="191">
        <f>V82/V81</f>
        <v>0.27981481481481479</v>
      </c>
      <c r="X82" s="199"/>
    </row>
    <row r="83" spans="1:24" ht="15" customHeight="1">
      <c r="A83" s="151">
        <v>79</v>
      </c>
      <c r="B83" s="151" t="s">
        <v>0</v>
      </c>
      <c r="C83" s="185" t="s">
        <v>266</v>
      </c>
      <c r="D83" s="186" t="s">
        <v>1223</v>
      </c>
      <c r="E83" s="208" t="s">
        <v>125</v>
      </c>
      <c r="F83" s="187" t="s">
        <v>1200</v>
      </c>
      <c r="G83" s="188">
        <v>12</v>
      </c>
      <c r="H83" s="188">
        <v>15</v>
      </c>
      <c r="I83" s="188">
        <v>15</v>
      </c>
      <c r="J83" s="188">
        <v>15</v>
      </c>
      <c r="K83" s="188">
        <v>15</v>
      </c>
      <c r="L83" s="188">
        <v>15</v>
      </c>
      <c r="M83" s="188">
        <v>15</v>
      </c>
      <c r="N83" s="188">
        <v>15</v>
      </c>
      <c r="O83" s="188">
        <v>15</v>
      </c>
      <c r="P83" s="188">
        <v>15</v>
      </c>
      <c r="Q83" s="188">
        <v>15</v>
      </c>
      <c r="R83" s="188">
        <v>15</v>
      </c>
      <c r="S83" s="188">
        <v>3</v>
      </c>
      <c r="T83" s="412">
        <f t="shared" si="4"/>
        <v>180</v>
      </c>
      <c r="U83" s="225" t="s">
        <v>1224</v>
      </c>
      <c r="V83" s="189">
        <f t="shared" si="5"/>
        <v>1480906.8</v>
      </c>
      <c r="W83" s="191" t="s">
        <v>74</v>
      </c>
      <c r="X83" s="192"/>
    </row>
    <row r="84" spans="1:24" s="31" customFormat="1" ht="15" customHeight="1">
      <c r="A84" s="160">
        <v>80</v>
      </c>
      <c r="B84" s="160" t="s">
        <v>1</v>
      </c>
      <c r="C84" s="193" t="s">
        <v>266</v>
      </c>
      <c r="D84" s="623" t="s">
        <v>1223</v>
      </c>
      <c r="E84" s="207" t="s">
        <v>125</v>
      </c>
      <c r="F84" s="195" t="s">
        <v>1200</v>
      </c>
      <c r="G84" s="196">
        <v>8.7999999999999989</v>
      </c>
      <c r="H84" s="196">
        <v>9.8000000000000007</v>
      </c>
      <c r="I84" s="196">
        <v>13</v>
      </c>
      <c r="J84" s="196">
        <v>13</v>
      </c>
      <c r="K84" s="196"/>
      <c r="L84" s="196"/>
      <c r="M84" s="196"/>
      <c r="N84" s="196"/>
      <c r="O84" s="196"/>
      <c r="P84" s="196"/>
      <c r="Q84" s="196"/>
      <c r="R84" s="196"/>
      <c r="S84" s="196"/>
      <c r="T84" s="197">
        <f t="shared" si="4"/>
        <v>44.6</v>
      </c>
      <c r="U84" s="226" t="s">
        <v>1224</v>
      </c>
      <c r="V84" s="197">
        <f t="shared" si="5"/>
        <v>366935.79600000003</v>
      </c>
      <c r="W84" s="191">
        <f>V84/V83</f>
        <v>0.24777777777777779</v>
      </c>
      <c r="X84" s="199"/>
    </row>
    <row r="85" spans="1:24" ht="15" customHeight="1">
      <c r="A85" s="151">
        <v>81</v>
      </c>
      <c r="B85" s="151" t="s">
        <v>0</v>
      </c>
      <c r="C85" s="185" t="s">
        <v>267</v>
      </c>
      <c r="D85" s="200" t="s">
        <v>1233</v>
      </c>
      <c r="E85" s="208" t="s">
        <v>152</v>
      </c>
      <c r="F85" s="187" t="s">
        <v>1200</v>
      </c>
      <c r="G85" s="188">
        <v>4.8</v>
      </c>
      <c r="H85" s="188">
        <v>6</v>
      </c>
      <c r="I85" s="188">
        <v>6</v>
      </c>
      <c r="J85" s="188">
        <v>6</v>
      </c>
      <c r="K85" s="188">
        <v>6</v>
      </c>
      <c r="L85" s="188">
        <v>6</v>
      </c>
      <c r="M85" s="188">
        <v>6</v>
      </c>
      <c r="N85" s="188">
        <v>6</v>
      </c>
      <c r="O85" s="188">
        <v>6</v>
      </c>
      <c r="P85" s="188">
        <v>6</v>
      </c>
      <c r="Q85" s="188">
        <v>6</v>
      </c>
      <c r="R85" s="188">
        <v>6</v>
      </c>
      <c r="S85" s="188">
        <v>1.2</v>
      </c>
      <c r="T85" s="412">
        <f t="shared" si="4"/>
        <v>72</v>
      </c>
      <c r="U85" s="225" t="s">
        <v>1230</v>
      </c>
      <c r="V85" s="189">
        <f t="shared" si="5"/>
        <v>367144.55999999994</v>
      </c>
      <c r="W85" s="191" t="s">
        <v>74</v>
      </c>
      <c r="X85" s="192"/>
    </row>
    <row r="86" spans="1:24" s="31" customFormat="1" ht="15" customHeight="1">
      <c r="A86" s="160">
        <v>82</v>
      </c>
      <c r="B86" s="160" t="s">
        <v>1</v>
      </c>
      <c r="C86" s="193" t="s">
        <v>267</v>
      </c>
      <c r="D86" s="201" t="s">
        <v>1233</v>
      </c>
      <c r="E86" s="207" t="s">
        <v>152</v>
      </c>
      <c r="F86" s="195" t="s">
        <v>1200</v>
      </c>
      <c r="G86" s="196">
        <v>4.4666666666666668</v>
      </c>
      <c r="H86" s="196">
        <v>4.7666666666666675</v>
      </c>
      <c r="I86" s="196">
        <v>5.5666666666666664</v>
      </c>
      <c r="J86" s="196">
        <v>5</v>
      </c>
      <c r="K86" s="196"/>
      <c r="L86" s="196"/>
      <c r="M86" s="196"/>
      <c r="N86" s="196"/>
      <c r="O86" s="196"/>
      <c r="P86" s="196"/>
      <c r="Q86" s="196"/>
      <c r="R86" s="196"/>
      <c r="S86" s="196"/>
      <c r="T86" s="197">
        <f t="shared" si="4"/>
        <v>19.8</v>
      </c>
      <c r="U86" s="226" t="s">
        <v>1230</v>
      </c>
      <c r="V86" s="197">
        <f t="shared" si="5"/>
        <v>100964.754</v>
      </c>
      <c r="W86" s="191">
        <f>V86/V85</f>
        <v>0.27500000000000002</v>
      </c>
      <c r="X86" s="199"/>
    </row>
    <row r="87" spans="1:24" ht="15" customHeight="1">
      <c r="A87" s="151">
        <v>83</v>
      </c>
      <c r="B87" s="151" t="s">
        <v>0</v>
      </c>
      <c r="C87" s="168" t="s">
        <v>20</v>
      </c>
      <c r="D87" s="169" t="s">
        <v>1235</v>
      </c>
      <c r="E87" s="170"/>
      <c r="F87" s="169"/>
      <c r="G87" s="202"/>
      <c r="H87" s="202"/>
      <c r="I87" s="202"/>
      <c r="J87" s="202"/>
      <c r="K87" s="202"/>
      <c r="L87" s="202"/>
      <c r="M87" s="202"/>
      <c r="N87" s="202"/>
      <c r="O87" s="202"/>
      <c r="P87" s="202"/>
      <c r="Q87" s="202"/>
      <c r="R87" s="202"/>
      <c r="S87" s="202"/>
      <c r="T87" s="174">
        <f t="shared" ref="T87:T106" si="6">SUM(G87:S87)</f>
        <v>0</v>
      </c>
      <c r="U87" s="174"/>
      <c r="V87" s="174">
        <f t="shared" ref="V87:V106" si="7">U87*T87</f>
        <v>0</v>
      </c>
      <c r="W87" s="175"/>
      <c r="X87" s="176"/>
    </row>
    <row r="88" spans="1:24" s="31" customFormat="1" ht="15" customHeight="1">
      <c r="A88" s="160">
        <v>84</v>
      </c>
      <c r="B88" s="160" t="s">
        <v>1</v>
      </c>
      <c r="C88" s="177" t="s">
        <v>20</v>
      </c>
      <c r="D88" s="178" t="s">
        <v>1235</v>
      </c>
      <c r="E88" s="179"/>
      <c r="F88" s="178"/>
      <c r="G88" s="204"/>
      <c r="H88" s="204"/>
      <c r="I88" s="204"/>
      <c r="J88" s="204"/>
      <c r="K88" s="204"/>
      <c r="L88" s="204"/>
      <c r="M88" s="204"/>
      <c r="N88" s="204"/>
      <c r="O88" s="204"/>
      <c r="P88" s="204"/>
      <c r="Q88" s="204"/>
      <c r="R88" s="204"/>
      <c r="S88" s="204"/>
      <c r="T88" s="183">
        <f t="shared" si="6"/>
        <v>0</v>
      </c>
      <c r="U88" s="183"/>
      <c r="V88" s="183">
        <f t="shared" si="7"/>
        <v>0</v>
      </c>
      <c r="W88" s="175"/>
      <c r="X88" s="184"/>
    </row>
    <row r="89" spans="1:24" ht="15" customHeight="1">
      <c r="A89" s="151">
        <v>85</v>
      </c>
      <c r="B89" s="151" t="s">
        <v>0</v>
      </c>
      <c r="C89" s="185" t="s">
        <v>273</v>
      </c>
      <c r="D89" s="200" t="s">
        <v>1236</v>
      </c>
      <c r="E89" s="208" t="s">
        <v>184</v>
      </c>
      <c r="F89" s="187" t="s">
        <v>1237</v>
      </c>
      <c r="G89" s="188">
        <v>812.04</v>
      </c>
      <c r="H89" s="188">
        <v>1015.05</v>
      </c>
      <c r="I89" s="188">
        <v>1015.05</v>
      </c>
      <c r="J89" s="188">
        <v>1015.05</v>
      </c>
      <c r="K89" s="188">
        <v>1015.05</v>
      </c>
      <c r="L89" s="188">
        <v>1015.05</v>
      </c>
      <c r="M89" s="188">
        <v>1015.05</v>
      </c>
      <c r="N89" s="188">
        <v>1015.05</v>
      </c>
      <c r="O89" s="188">
        <v>1015.05</v>
      </c>
      <c r="P89" s="188">
        <v>1015.05</v>
      </c>
      <c r="Q89" s="188">
        <v>1015.05</v>
      </c>
      <c r="R89" s="188">
        <v>1015.05</v>
      </c>
      <c r="S89" s="188">
        <v>203.01</v>
      </c>
      <c r="T89" s="189">
        <f t="shared" si="6"/>
        <v>12180.599999999999</v>
      </c>
      <c r="U89" s="225" t="s">
        <v>1238</v>
      </c>
      <c r="V89" s="189">
        <f t="shared" si="7"/>
        <v>139224.25799999997</v>
      </c>
      <c r="W89" s="191" t="s">
        <v>74</v>
      </c>
      <c r="X89" s="192"/>
    </row>
    <row r="90" spans="1:24" s="31" customFormat="1" ht="15" customHeight="1">
      <c r="A90" s="160">
        <v>86</v>
      </c>
      <c r="B90" s="160" t="s">
        <v>1</v>
      </c>
      <c r="C90" s="193" t="s">
        <v>273</v>
      </c>
      <c r="D90" s="201" t="s">
        <v>1236</v>
      </c>
      <c r="E90" s="207" t="s">
        <v>184</v>
      </c>
      <c r="F90" s="195" t="s">
        <v>1237</v>
      </c>
      <c r="G90" s="196">
        <v>0</v>
      </c>
      <c r="H90" s="196">
        <v>0</v>
      </c>
      <c r="I90" s="196">
        <v>0</v>
      </c>
      <c r="J90" s="196">
        <v>0</v>
      </c>
      <c r="K90" s="196"/>
      <c r="L90" s="196"/>
      <c r="M90" s="196"/>
      <c r="N90" s="196"/>
      <c r="O90" s="196"/>
      <c r="P90" s="196"/>
      <c r="Q90" s="196"/>
      <c r="R90" s="196"/>
      <c r="S90" s="196"/>
      <c r="T90" s="197">
        <f t="shared" si="6"/>
        <v>0</v>
      </c>
      <c r="U90" s="226" t="s">
        <v>1238</v>
      </c>
      <c r="V90" s="197">
        <f t="shared" si="7"/>
        <v>0</v>
      </c>
      <c r="W90" s="191">
        <f>V90/V89</f>
        <v>0</v>
      </c>
      <c r="X90" s="199"/>
    </row>
    <row r="91" spans="1:24" ht="15" customHeight="1">
      <c r="A91" s="151">
        <v>87</v>
      </c>
      <c r="B91" s="151" t="s">
        <v>0</v>
      </c>
      <c r="C91" s="185" t="s">
        <v>275</v>
      </c>
      <c r="D91" s="200" t="s">
        <v>1239</v>
      </c>
      <c r="E91" s="208" t="s">
        <v>184</v>
      </c>
      <c r="F91" s="187" t="s">
        <v>1237</v>
      </c>
      <c r="G91" s="188">
        <v>812.04</v>
      </c>
      <c r="H91" s="188">
        <v>1015.05</v>
      </c>
      <c r="I91" s="188">
        <v>1015.05</v>
      </c>
      <c r="J91" s="188">
        <v>1015.05</v>
      </c>
      <c r="K91" s="188">
        <v>1015.05</v>
      </c>
      <c r="L91" s="188">
        <v>1015.05</v>
      </c>
      <c r="M91" s="188">
        <v>1015.05</v>
      </c>
      <c r="N91" s="188">
        <v>1015.05</v>
      </c>
      <c r="O91" s="188">
        <v>1015.05</v>
      </c>
      <c r="P91" s="188">
        <v>1015.05</v>
      </c>
      <c r="Q91" s="188">
        <v>1015.05</v>
      </c>
      <c r="R91" s="188">
        <v>1015.05</v>
      </c>
      <c r="S91" s="188">
        <v>203.01</v>
      </c>
      <c r="T91" s="189">
        <f t="shared" si="6"/>
        <v>12180.599999999999</v>
      </c>
      <c r="U91" s="225" t="s">
        <v>1238</v>
      </c>
      <c r="V91" s="189">
        <f t="shared" si="7"/>
        <v>139224.25799999997</v>
      </c>
      <c r="W91" s="191" t="s">
        <v>74</v>
      </c>
      <c r="X91" s="192"/>
    </row>
    <row r="92" spans="1:24" s="31" customFormat="1" ht="15" customHeight="1">
      <c r="A92" s="160">
        <v>88</v>
      </c>
      <c r="B92" s="160" t="s">
        <v>1</v>
      </c>
      <c r="C92" s="193" t="s">
        <v>275</v>
      </c>
      <c r="D92" s="201" t="s">
        <v>1239</v>
      </c>
      <c r="E92" s="207" t="s">
        <v>184</v>
      </c>
      <c r="F92" s="195" t="s">
        <v>1237</v>
      </c>
      <c r="G92" s="196">
        <v>0</v>
      </c>
      <c r="H92" s="196">
        <v>0</v>
      </c>
      <c r="I92" s="196">
        <v>0</v>
      </c>
      <c r="J92" s="196">
        <v>0</v>
      </c>
      <c r="K92" s="196"/>
      <c r="L92" s="196"/>
      <c r="M92" s="196"/>
      <c r="N92" s="196"/>
      <c r="O92" s="196"/>
      <c r="P92" s="196"/>
      <c r="Q92" s="196"/>
      <c r="R92" s="196"/>
      <c r="S92" s="196"/>
      <c r="T92" s="197">
        <f t="shared" si="6"/>
        <v>0</v>
      </c>
      <c r="U92" s="226" t="s">
        <v>1238</v>
      </c>
      <c r="V92" s="197">
        <f t="shared" si="7"/>
        <v>0</v>
      </c>
      <c r="W92" s="191">
        <f>V92/V91</f>
        <v>0</v>
      </c>
      <c r="X92" s="199"/>
    </row>
    <row r="93" spans="1:24" ht="15" customHeight="1">
      <c r="A93" s="151">
        <v>89</v>
      </c>
      <c r="B93" s="151" t="s">
        <v>0</v>
      </c>
      <c r="C93" s="185" t="s">
        <v>276</v>
      </c>
      <c r="D93" s="200" t="s">
        <v>1240</v>
      </c>
      <c r="E93" s="208" t="s">
        <v>196</v>
      </c>
      <c r="F93" s="187" t="s">
        <v>1237</v>
      </c>
      <c r="G93" s="188">
        <v>812.04</v>
      </c>
      <c r="H93" s="188">
        <v>1015.05</v>
      </c>
      <c r="I93" s="188">
        <v>1015.05</v>
      </c>
      <c r="J93" s="188">
        <v>1015.05</v>
      </c>
      <c r="K93" s="188">
        <v>1015.05</v>
      </c>
      <c r="L93" s="188">
        <v>1015.05</v>
      </c>
      <c r="M93" s="188">
        <v>1015.05</v>
      </c>
      <c r="N93" s="188">
        <v>1015.05</v>
      </c>
      <c r="O93" s="188">
        <v>1015.05</v>
      </c>
      <c r="P93" s="188">
        <v>1015.05</v>
      </c>
      <c r="Q93" s="188">
        <v>1015.05</v>
      </c>
      <c r="R93" s="188">
        <v>1015.05</v>
      </c>
      <c r="S93" s="188">
        <v>203.01</v>
      </c>
      <c r="T93" s="189">
        <f t="shared" si="6"/>
        <v>12180.599999999999</v>
      </c>
      <c r="U93" s="225" t="s">
        <v>1241</v>
      </c>
      <c r="V93" s="189">
        <f t="shared" si="7"/>
        <v>112305.132</v>
      </c>
      <c r="W93" s="191" t="s">
        <v>74</v>
      </c>
      <c r="X93" s="192"/>
    </row>
    <row r="94" spans="1:24" s="31" customFormat="1" ht="15" customHeight="1">
      <c r="A94" s="160">
        <v>90</v>
      </c>
      <c r="B94" s="160" t="s">
        <v>1</v>
      </c>
      <c r="C94" s="193" t="s">
        <v>276</v>
      </c>
      <c r="D94" s="201" t="s">
        <v>1240</v>
      </c>
      <c r="E94" s="207" t="s">
        <v>196</v>
      </c>
      <c r="F94" s="195" t="s">
        <v>1237</v>
      </c>
      <c r="G94" s="196">
        <v>0</v>
      </c>
      <c r="H94" s="196">
        <v>0</v>
      </c>
      <c r="I94" s="196">
        <v>0</v>
      </c>
      <c r="J94" s="196">
        <v>0</v>
      </c>
      <c r="K94" s="196"/>
      <c r="L94" s="196"/>
      <c r="M94" s="196"/>
      <c r="N94" s="196"/>
      <c r="O94" s="196"/>
      <c r="P94" s="196"/>
      <c r="Q94" s="196"/>
      <c r="R94" s="196"/>
      <c r="S94" s="196"/>
      <c r="T94" s="197">
        <f t="shared" si="6"/>
        <v>0</v>
      </c>
      <c r="U94" s="226" t="s">
        <v>1241</v>
      </c>
      <c r="V94" s="197">
        <f t="shared" si="7"/>
        <v>0</v>
      </c>
      <c r="W94" s="191">
        <f>V94/V93</f>
        <v>0</v>
      </c>
      <c r="X94" s="199"/>
    </row>
    <row r="95" spans="1:24" ht="15" customHeight="1">
      <c r="A95" s="151">
        <v>91</v>
      </c>
      <c r="B95" s="151" t="s">
        <v>0</v>
      </c>
      <c r="C95" s="185" t="s">
        <v>277</v>
      </c>
      <c r="D95" s="200" t="s">
        <v>1242</v>
      </c>
      <c r="E95" s="208" t="s">
        <v>192</v>
      </c>
      <c r="F95" s="187" t="s">
        <v>1237</v>
      </c>
      <c r="G95" s="188">
        <v>25.983999999999998</v>
      </c>
      <c r="H95" s="188">
        <v>32.479999999999997</v>
      </c>
      <c r="I95" s="188">
        <v>32.479999999999997</v>
      </c>
      <c r="J95" s="188">
        <v>32.479999999999997</v>
      </c>
      <c r="K95" s="188">
        <v>32.479999999999997</v>
      </c>
      <c r="L95" s="188">
        <v>32.479999999999997</v>
      </c>
      <c r="M95" s="188">
        <v>32.479999999999997</v>
      </c>
      <c r="N95" s="188">
        <v>32.479999999999997</v>
      </c>
      <c r="O95" s="188">
        <v>32.479999999999997</v>
      </c>
      <c r="P95" s="188">
        <v>32.479999999999997</v>
      </c>
      <c r="Q95" s="188">
        <v>32.479999999999997</v>
      </c>
      <c r="R95" s="188">
        <v>32.479999999999997</v>
      </c>
      <c r="S95" s="188">
        <v>6.4959999999999996</v>
      </c>
      <c r="T95" s="189">
        <f t="shared" si="6"/>
        <v>389.76</v>
      </c>
      <c r="U95" s="225" t="s">
        <v>1243</v>
      </c>
      <c r="V95" s="189">
        <f t="shared" si="7"/>
        <v>38738.246399999996</v>
      </c>
      <c r="W95" s="191" t="s">
        <v>74</v>
      </c>
      <c r="X95" s="192"/>
    </row>
    <row r="96" spans="1:24" s="31" customFormat="1" ht="15" customHeight="1">
      <c r="A96" s="160">
        <v>92</v>
      </c>
      <c r="B96" s="160" t="s">
        <v>1</v>
      </c>
      <c r="C96" s="193" t="s">
        <v>277</v>
      </c>
      <c r="D96" s="201" t="s">
        <v>1242</v>
      </c>
      <c r="E96" s="207" t="s">
        <v>192</v>
      </c>
      <c r="F96" s="195" t="s">
        <v>1237</v>
      </c>
      <c r="G96" s="196">
        <v>0</v>
      </c>
      <c r="H96" s="196">
        <v>0</v>
      </c>
      <c r="I96" s="196">
        <v>0</v>
      </c>
      <c r="J96" s="196">
        <v>0</v>
      </c>
      <c r="K96" s="196"/>
      <c r="L96" s="196"/>
      <c r="M96" s="196"/>
      <c r="N96" s="196"/>
      <c r="O96" s="196"/>
      <c r="P96" s="196"/>
      <c r="Q96" s="196"/>
      <c r="R96" s="196"/>
      <c r="S96" s="196"/>
      <c r="T96" s="197">
        <f t="shared" si="6"/>
        <v>0</v>
      </c>
      <c r="U96" s="226" t="s">
        <v>1243</v>
      </c>
      <c r="V96" s="197">
        <f t="shared" si="7"/>
        <v>0</v>
      </c>
      <c r="W96" s="191">
        <f>V96/V95</f>
        <v>0</v>
      </c>
      <c r="X96" s="199"/>
    </row>
    <row r="97" spans="1:24" ht="15" customHeight="1">
      <c r="A97" s="151">
        <v>93</v>
      </c>
      <c r="B97" s="151" t="s">
        <v>0</v>
      </c>
      <c r="C97" s="185" t="s">
        <v>278</v>
      </c>
      <c r="D97" s="200" t="s">
        <v>1242</v>
      </c>
      <c r="E97" s="208" t="s">
        <v>188</v>
      </c>
      <c r="F97" s="187" t="s">
        <v>1237</v>
      </c>
      <c r="G97" s="188">
        <v>25.983999999999998</v>
      </c>
      <c r="H97" s="188">
        <v>32.479999999999997</v>
      </c>
      <c r="I97" s="188">
        <v>32.479999999999997</v>
      </c>
      <c r="J97" s="188">
        <v>32.479999999999997</v>
      </c>
      <c r="K97" s="188">
        <v>32.479999999999997</v>
      </c>
      <c r="L97" s="188">
        <v>32.479999999999997</v>
      </c>
      <c r="M97" s="188">
        <v>32.479999999999997</v>
      </c>
      <c r="N97" s="188">
        <v>32.479999999999997</v>
      </c>
      <c r="O97" s="188">
        <v>32.479999999999997</v>
      </c>
      <c r="P97" s="188">
        <v>32.479999999999997</v>
      </c>
      <c r="Q97" s="188">
        <v>32.479999999999997</v>
      </c>
      <c r="R97" s="188">
        <v>32.479999999999997</v>
      </c>
      <c r="S97" s="188">
        <v>6.4959999999999996</v>
      </c>
      <c r="T97" s="189">
        <f t="shared" si="6"/>
        <v>389.76</v>
      </c>
      <c r="U97" s="225" t="s">
        <v>1244</v>
      </c>
      <c r="V97" s="189">
        <f t="shared" si="7"/>
        <v>26074.944000000003</v>
      </c>
      <c r="W97" s="191" t="s">
        <v>74</v>
      </c>
      <c r="X97" s="192"/>
    </row>
    <row r="98" spans="1:24" s="31" customFormat="1" ht="15" customHeight="1">
      <c r="A98" s="160">
        <v>94</v>
      </c>
      <c r="B98" s="160" t="s">
        <v>1</v>
      </c>
      <c r="C98" s="193" t="s">
        <v>278</v>
      </c>
      <c r="D98" s="201" t="s">
        <v>1242</v>
      </c>
      <c r="E98" s="207" t="s">
        <v>188</v>
      </c>
      <c r="F98" s="195" t="s">
        <v>1237</v>
      </c>
      <c r="G98" s="196">
        <v>0</v>
      </c>
      <c r="H98" s="196">
        <v>0</v>
      </c>
      <c r="I98" s="196">
        <v>0</v>
      </c>
      <c r="J98" s="196">
        <v>0</v>
      </c>
      <c r="K98" s="196"/>
      <c r="L98" s="196"/>
      <c r="M98" s="196"/>
      <c r="N98" s="196"/>
      <c r="O98" s="196"/>
      <c r="P98" s="196"/>
      <c r="Q98" s="196"/>
      <c r="R98" s="196"/>
      <c r="S98" s="196"/>
      <c r="T98" s="197">
        <f t="shared" si="6"/>
        <v>0</v>
      </c>
      <c r="U98" s="226" t="s">
        <v>1244</v>
      </c>
      <c r="V98" s="197">
        <f t="shared" si="7"/>
        <v>0</v>
      </c>
      <c r="W98" s="191">
        <f>V98/V97</f>
        <v>0</v>
      </c>
      <c r="X98" s="199"/>
    </row>
    <row r="99" spans="1:24" ht="15" customHeight="1">
      <c r="A99" s="151">
        <v>95</v>
      </c>
      <c r="B99" s="151" t="s">
        <v>0</v>
      </c>
      <c r="C99" s="185" t="s">
        <v>279</v>
      </c>
      <c r="D99" s="200" t="s">
        <v>1245</v>
      </c>
      <c r="E99" s="208" t="s">
        <v>192</v>
      </c>
      <c r="F99" s="187" t="s">
        <v>1237</v>
      </c>
      <c r="G99" s="188">
        <v>25.983999999999998</v>
      </c>
      <c r="H99" s="188">
        <v>32.479999999999997</v>
      </c>
      <c r="I99" s="188">
        <v>32.479999999999997</v>
      </c>
      <c r="J99" s="188">
        <v>32.479999999999997</v>
      </c>
      <c r="K99" s="188">
        <v>32.479999999999997</v>
      </c>
      <c r="L99" s="188">
        <v>32.479999999999997</v>
      </c>
      <c r="M99" s="188">
        <v>32.479999999999997</v>
      </c>
      <c r="N99" s="188">
        <v>32.479999999999997</v>
      </c>
      <c r="O99" s="188">
        <v>32.479999999999997</v>
      </c>
      <c r="P99" s="188">
        <v>32.479999999999997</v>
      </c>
      <c r="Q99" s="188">
        <v>32.479999999999997</v>
      </c>
      <c r="R99" s="188">
        <v>32.479999999999997</v>
      </c>
      <c r="S99" s="188">
        <v>6.4959999999999996</v>
      </c>
      <c r="T99" s="189">
        <f t="shared" si="6"/>
        <v>389.76</v>
      </c>
      <c r="U99" s="225" t="s">
        <v>1243</v>
      </c>
      <c r="V99" s="189">
        <f t="shared" si="7"/>
        <v>38738.246399999996</v>
      </c>
      <c r="W99" s="191" t="s">
        <v>74</v>
      </c>
      <c r="X99" s="192"/>
    </row>
    <row r="100" spans="1:24" s="31" customFormat="1" ht="15" customHeight="1">
      <c r="A100" s="160">
        <v>96</v>
      </c>
      <c r="B100" s="160" t="s">
        <v>1</v>
      </c>
      <c r="C100" s="193" t="s">
        <v>279</v>
      </c>
      <c r="D100" s="201" t="s">
        <v>1245</v>
      </c>
      <c r="E100" s="207" t="s">
        <v>192</v>
      </c>
      <c r="F100" s="195" t="s">
        <v>1237</v>
      </c>
      <c r="G100" s="196">
        <v>0</v>
      </c>
      <c r="H100" s="196">
        <v>0</v>
      </c>
      <c r="I100" s="196">
        <v>0</v>
      </c>
      <c r="J100" s="196">
        <v>0</v>
      </c>
      <c r="K100" s="196"/>
      <c r="L100" s="196"/>
      <c r="M100" s="196"/>
      <c r="N100" s="196"/>
      <c r="O100" s="196"/>
      <c r="P100" s="196"/>
      <c r="Q100" s="196"/>
      <c r="R100" s="196"/>
      <c r="S100" s="196"/>
      <c r="T100" s="197">
        <f t="shared" si="6"/>
        <v>0</v>
      </c>
      <c r="U100" s="226" t="s">
        <v>1243</v>
      </c>
      <c r="V100" s="197">
        <f t="shared" si="7"/>
        <v>0</v>
      </c>
      <c r="W100" s="191">
        <f>V100/V99</f>
        <v>0</v>
      </c>
      <c r="X100" s="199"/>
    </row>
    <row r="101" spans="1:24" ht="15" customHeight="1">
      <c r="A101" s="151">
        <v>97</v>
      </c>
      <c r="B101" s="151" t="s">
        <v>0</v>
      </c>
      <c r="C101" s="185" t="s">
        <v>280</v>
      </c>
      <c r="D101" s="200" t="s">
        <v>1245</v>
      </c>
      <c r="E101" s="208" t="s">
        <v>188</v>
      </c>
      <c r="F101" s="187" t="s">
        <v>1237</v>
      </c>
      <c r="G101" s="188">
        <v>25.983999999999998</v>
      </c>
      <c r="H101" s="188">
        <v>32.479999999999997</v>
      </c>
      <c r="I101" s="188">
        <v>32.479999999999997</v>
      </c>
      <c r="J101" s="188">
        <v>32.479999999999997</v>
      </c>
      <c r="K101" s="188">
        <v>32.479999999999997</v>
      </c>
      <c r="L101" s="188">
        <v>32.479999999999997</v>
      </c>
      <c r="M101" s="188">
        <v>32.479999999999997</v>
      </c>
      <c r="N101" s="188">
        <v>32.479999999999997</v>
      </c>
      <c r="O101" s="188">
        <v>32.479999999999997</v>
      </c>
      <c r="P101" s="188">
        <v>32.479999999999997</v>
      </c>
      <c r="Q101" s="188">
        <v>32.479999999999997</v>
      </c>
      <c r="R101" s="188">
        <v>32.479999999999997</v>
      </c>
      <c r="S101" s="188">
        <v>6.4959999999999996</v>
      </c>
      <c r="T101" s="189">
        <f t="shared" si="6"/>
        <v>389.76</v>
      </c>
      <c r="U101" s="225" t="s">
        <v>1244</v>
      </c>
      <c r="V101" s="189">
        <f t="shared" si="7"/>
        <v>26074.944000000003</v>
      </c>
      <c r="W101" s="191" t="s">
        <v>74</v>
      </c>
      <c r="X101" s="192"/>
    </row>
    <row r="102" spans="1:24" s="31" customFormat="1" ht="15" customHeight="1">
      <c r="A102" s="160">
        <v>98</v>
      </c>
      <c r="B102" s="160" t="s">
        <v>1</v>
      </c>
      <c r="C102" s="193" t="s">
        <v>280</v>
      </c>
      <c r="D102" s="201" t="s">
        <v>1245</v>
      </c>
      <c r="E102" s="207" t="s">
        <v>188</v>
      </c>
      <c r="F102" s="195" t="s">
        <v>1237</v>
      </c>
      <c r="G102" s="196">
        <v>0</v>
      </c>
      <c r="H102" s="196">
        <v>0</v>
      </c>
      <c r="I102" s="196">
        <v>0</v>
      </c>
      <c r="J102" s="196">
        <v>0</v>
      </c>
      <c r="K102" s="196"/>
      <c r="L102" s="196"/>
      <c r="M102" s="196"/>
      <c r="N102" s="196"/>
      <c r="O102" s="196"/>
      <c r="P102" s="196"/>
      <c r="Q102" s="196"/>
      <c r="R102" s="196"/>
      <c r="S102" s="196"/>
      <c r="T102" s="197">
        <f t="shared" si="6"/>
        <v>0</v>
      </c>
      <c r="U102" s="226" t="s">
        <v>1244</v>
      </c>
      <c r="V102" s="197">
        <f t="shared" si="7"/>
        <v>0</v>
      </c>
      <c r="W102" s="191">
        <f>V102/V101</f>
        <v>0</v>
      </c>
      <c r="X102" s="199"/>
    </row>
    <row r="103" spans="1:24" ht="15" customHeight="1">
      <c r="A103" s="151">
        <v>99</v>
      </c>
      <c r="B103" s="151" t="s">
        <v>0</v>
      </c>
      <c r="C103" s="185" t="s">
        <v>1246</v>
      </c>
      <c r="D103" s="200" t="s">
        <v>137</v>
      </c>
      <c r="E103" s="208" t="s">
        <v>203</v>
      </c>
      <c r="F103" s="187" t="s">
        <v>1237</v>
      </c>
      <c r="G103" s="188">
        <v>25.983999999999998</v>
      </c>
      <c r="H103" s="188">
        <v>32.479999999999997</v>
      </c>
      <c r="I103" s="188">
        <v>32.479999999999997</v>
      </c>
      <c r="J103" s="188">
        <v>32.479999999999997</v>
      </c>
      <c r="K103" s="188">
        <v>32.479999999999997</v>
      </c>
      <c r="L103" s="188">
        <v>32.479999999999997</v>
      </c>
      <c r="M103" s="188">
        <v>32.479999999999997</v>
      </c>
      <c r="N103" s="188">
        <v>32.479999999999997</v>
      </c>
      <c r="O103" s="188">
        <v>32.479999999999997</v>
      </c>
      <c r="P103" s="188">
        <v>32.479999999999997</v>
      </c>
      <c r="Q103" s="188">
        <v>32.479999999999997</v>
      </c>
      <c r="R103" s="188">
        <v>32.479999999999997</v>
      </c>
      <c r="S103" s="188">
        <v>6.4959999999999996</v>
      </c>
      <c r="T103" s="189">
        <f t="shared" si="6"/>
        <v>389.76</v>
      </c>
      <c r="U103" s="225" t="s">
        <v>1247</v>
      </c>
      <c r="V103" s="189">
        <f t="shared" si="7"/>
        <v>24024.806400000001</v>
      </c>
      <c r="W103" s="191" t="s">
        <v>74</v>
      </c>
      <c r="X103" s="192"/>
    </row>
    <row r="104" spans="1:24" s="31" customFormat="1" ht="15" customHeight="1">
      <c r="A104" s="160">
        <v>100</v>
      </c>
      <c r="B104" s="160" t="s">
        <v>1</v>
      </c>
      <c r="C104" s="193" t="s">
        <v>1246</v>
      </c>
      <c r="D104" s="201" t="s">
        <v>137</v>
      </c>
      <c r="E104" s="207" t="s">
        <v>203</v>
      </c>
      <c r="F104" s="195" t="s">
        <v>1237</v>
      </c>
      <c r="G104" s="196">
        <v>0</v>
      </c>
      <c r="H104" s="196">
        <v>0</v>
      </c>
      <c r="I104" s="196">
        <v>0</v>
      </c>
      <c r="J104" s="196">
        <v>0</v>
      </c>
      <c r="K104" s="196"/>
      <c r="L104" s="196"/>
      <c r="M104" s="196"/>
      <c r="N104" s="196"/>
      <c r="O104" s="196"/>
      <c r="P104" s="196"/>
      <c r="Q104" s="196"/>
      <c r="R104" s="196"/>
      <c r="S104" s="196"/>
      <c r="T104" s="197">
        <f t="shared" si="6"/>
        <v>0</v>
      </c>
      <c r="U104" s="226" t="s">
        <v>1247</v>
      </c>
      <c r="V104" s="197">
        <f t="shared" si="7"/>
        <v>0</v>
      </c>
      <c r="W104" s="191">
        <f>V104/V103</f>
        <v>0</v>
      </c>
      <c r="X104" s="199"/>
    </row>
    <row r="105" spans="1:24" ht="15" customHeight="1">
      <c r="A105" s="151">
        <v>101</v>
      </c>
      <c r="B105" s="151" t="s">
        <v>0</v>
      </c>
      <c r="C105" s="185" t="s">
        <v>1248</v>
      </c>
      <c r="D105" s="200" t="s">
        <v>137</v>
      </c>
      <c r="E105" s="208" t="s">
        <v>196</v>
      </c>
      <c r="F105" s="187" t="s">
        <v>1237</v>
      </c>
      <c r="G105" s="188">
        <v>25.983999999999998</v>
      </c>
      <c r="H105" s="188">
        <v>32.479999999999997</v>
      </c>
      <c r="I105" s="188">
        <v>32.479999999999997</v>
      </c>
      <c r="J105" s="188">
        <v>32.479999999999997</v>
      </c>
      <c r="K105" s="188">
        <v>32.479999999999997</v>
      </c>
      <c r="L105" s="188">
        <v>32.479999999999997</v>
      </c>
      <c r="M105" s="188">
        <v>32.479999999999997</v>
      </c>
      <c r="N105" s="188">
        <v>32.479999999999997</v>
      </c>
      <c r="O105" s="188">
        <v>32.479999999999997</v>
      </c>
      <c r="P105" s="188">
        <v>32.479999999999997</v>
      </c>
      <c r="Q105" s="188">
        <v>32.479999999999997</v>
      </c>
      <c r="R105" s="188">
        <v>32.479999999999997</v>
      </c>
      <c r="S105" s="188">
        <v>6.4959999999999996</v>
      </c>
      <c r="T105" s="189">
        <f t="shared" si="6"/>
        <v>389.76</v>
      </c>
      <c r="U105" s="225" t="s">
        <v>1249</v>
      </c>
      <c r="V105" s="189">
        <f t="shared" si="7"/>
        <v>16167.244799999999</v>
      </c>
      <c r="W105" s="191" t="s">
        <v>74</v>
      </c>
      <c r="X105" s="192"/>
    </row>
    <row r="106" spans="1:24" s="31" customFormat="1" ht="15" customHeight="1">
      <c r="A106" s="160">
        <v>102</v>
      </c>
      <c r="B106" s="160" t="s">
        <v>1</v>
      </c>
      <c r="C106" s="193" t="s">
        <v>1248</v>
      </c>
      <c r="D106" s="201" t="s">
        <v>137</v>
      </c>
      <c r="E106" s="207" t="s">
        <v>196</v>
      </c>
      <c r="F106" s="195" t="s">
        <v>1237</v>
      </c>
      <c r="G106" s="196">
        <v>0</v>
      </c>
      <c r="H106" s="196">
        <v>0</v>
      </c>
      <c r="I106" s="196">
        <v>0</v>
      </c>
      <c r="J106" s="196">
        <v>0</v>
      </c>
      <c r="K106" s="196"/>
      <c r="L106" s="196"/>
      <c r="M106" s="196"/>
      <c r="N106" s="196"/>
      <c r="O106" s="196"/>
      <c r="P106" s="196"/>
      <c r="Q106" s="196"/>
      <c r="R106" s="196"/>
      <c r="S106" s="196"/>
      <c r="T106" s="197">
        <f t="shared" si="6"/>
        <v>0</v>
      </c>
      <c r="U106" s="226" t="s">
        <v>1249</v>
      </c>
      <c r="V106" s="197">
        <f t="shared" si="7"/>
        <v>0</v>
      </c>
      <c r="W106" s="191">
        <f>V106/V105</f>
        <v>0</v>
      </c>
      <c r="X106" s="199"/>
    </row>
    <row r="107" spans="1:24" ht="15" customHeight="1">
      <c r="A107" s="151">
        <v>103</v>
      </c>
      <c r="B107" s="151" t="s">
        <v>0</v>
      </c>
      <c r="C107" s="215" t="s">
        <v>412</v>
      </c>
      <c r="D107" s="215"/>
      <c r="E107" s="215"/>
      <c r="F107" s="215"/>
      <c r="G107" s="231">
        <v>58</v>
      </c>
      <c r="H107" s="231">
        <v>58</v>
      </c>
      <c r="I107" s="231">
        <v>58</v>
      </c>
      <c r="J107" s="231">
        <v>58</v>
      </c>
      <c r="K107" s="231">
        <v>58</v>
      </c>
      <c r="L107" s="231">
        <v>58</v>
      </c>
      <c r="M107" s="231">
        <v>58</v>
      </c>
      <c r="N107" s="231">
        <v>58</v>
      </c>
      <c r="O107" s="231">
        <v>58</v>
      </c>
      <c r="P107" s="231">
        <v>58</v>
      </c>
      <c r="Q107" s="231">
        <v>58</v>
      </c>
      <c r="R107" s="231">
        <v>58</v>
      </c>
      <c r="S107" s="231">
        <v>58</v>
      </c>
      <c r="T107" s="231">
        <v>696</v>
      </c>
      <c r="U107" s="189"/>
      <c r="V107" s="232">
        <v>6036104.3999999994</v>
      </c>
      <c r="W107" s="191" t="s">
        <v>74</v>
      </c>
      <c r="X107" s="233"/>
    </row>
    <row r="108" spans="1:24" s="31" customFormat="1" ht="15" customHeight="1">
      <c r="A108" s="160">
        <v>104</v>
      </c>
      <c r="B108" s="160" t="s">
        <v>1</v>
      </c>
      <c r="C108" s="218" t="s">
        <v>412</v>
      </c>
      <c r="D108" s="218"/>
      <c r="E108" s="218"/>
      <c r="F108" s="218"/>
      <c r="G108" s="219">
        <f t="shared" ref="G108:S108" si="8">SUMIF($B56:$B106,$B108,G56:G106)</f>
        <v>49.133333333333333</v>
      </c>
      <c r="H108" s="219">
        <f t="shared" si="8"/>
        <v>62.36666666666666</v>
      </c>
      <c r="I108" s="219">
        <f t="shared" ref="I108" si="9">SUMIF($B56:$B106,$B108,I56:I106)</f>
        <v>66.066666666666663</v>
      </c>
      <c r="J108" s="219">
        <f>SUMIF($B56:$B106,$B108,J56:J106)</f>
        <v>64.533333333333331</v>
      </c>
      <c r="K108" s="219">
        <f>SUMIF($B56:$B106,$B108,K56:K106)</f>
        <v>0</v>
      </c>
      <c r="L108" s="219">
        <f t="shared" si="8"/>
        <v>0</v>
      </c>
      <c r="M108" s="219">
        <f t="shared" si="8"/>
        <v>0</v>
      </c>
      <c r="N108" s="219">
        <f t="shared" si="8"/>
        <v>0</v>
      </c>
      <c r="O108" s="219">
        <f t="shared" si="8"/>
        <v>0</v>
      </c>
      <c r="P108" s="219">
        <f t="shared" si="8"/>
        <v>0</v>
      </c>
      <c r="Q108" s="219">
        <f t="shared" si="8"/>
        <v>0</v>
      </c>
      <c r="R108" s="219">
        <f t="shared" si="8"/>
        <v>0</v>
      </c>
      <c r="S108" s="219">
        <f t="shared" si="8"/>
        <v>0</v>
      </c>
      <c r="T108" s="219">
        <f>SUMIF($B$55:$B$86,$B$108,T55:T86)</f>
        <v>242.1</v>
      </c>
      <c r="U108" s="197"/>
      <c r="V108" s="220">
        <f>SUMIF($B$55:$B$106,$B$108,V55:V106)</f>
        <v>1974886.9366666668</v>
      </c>
      <c r="W108" s="191">
        <f>V108/V107</f>
        <v>0.32717905552903742</v>
      </c>
      <c r="X108" s="221"/>
    </row>
    <row r="109" spans="1:24" ht="15" customHeight="1">
      <c r="A109" s="151">
        <v>105</v>
      </c>
      <c r="B109" s="151" t="s">
        <v>0</v>
      </c>
      <c r="C109" s="234"/>
      <c r="D109" s="234"/>
      <c r="E109" s="234"/>
      <c r="F109" s="234"/>
      <c r="G109" s="231"/>
      <c r="H109" s="216"/>
      <c r="I109" s="216"/>
      <c r="J109" s="216"/>
      <c r="K109" s="216"/>
      <c r="L109" s="216"/>
      <c r="M109" s="216"/>
      <c r="N109" s="216"/>
      <c r="O109" s="216"/>
      <c r="P109" s="216"/>
      <c r="Q109" s="216"/>
      <c r="R109" s="216"/>
      <c r="S109" s="216"/>
      <c r="T109" s="216"/>
      <c r="U109" s="189"/>
      <c r="V109" s="216"/>
      <c r="W109" s="191"/>
      <c r="X109" s="217"/>
    </row>
    <row r="110" spans="1:24" s="31" customFormat="1" ht="15" customHeight="1">
      <c r="A110" s="160">
        <v>106</v>
      </c>
      <c r="B110" s="160" t="s">
        <v>1</v>
      </c>
      <c r="C110" s="235"/>
      <c r="D110" s="235"/>
      <c r="E110" s="235"/>
      <c r="F110" s="235"/>
      <c r="G110" s="219"/>
      <c r="H110" s="220"/>
      <c r="I110" s="220"/>
      <c r="J110" s="220"/>
      <c r="K110" s="220"/>
      <c r="L110" s="220"/>
      <c r="M110" s="220"/>
      <c r="N110" s="220"/>
      <c r="O110" s="220"/>
      <c r="P110" s="220"/>
      <c r="Q110" s="220"/>
      <c r="R110" s="220"/>
      <c r="S110" s="220"/>
      <c r="T110" s="220"/>
      <c r="U110" s="197"/>
      <c r="V110" s="220"/>
      <c r="W110" s="191"/>
      <c r="X110" s="221"/>
    </row>
    <row r="111" spans="1:24" s="159" customFormat="1" ht="15" customHeight="1">
      <c r="A111" s="151">
        <v>107</v>
      </c>
      <c r="B111" s="151" t="s">
        <v>0</v>
      </c>
      <c r="C111" s="152">
        <v>3</v>
      </c>
      <c r="D111" s="153" t="s">
        <v>413</v>
      </c>
      <c r="E111" s="154"/>
      <c r="F111" s="154"/>
      <c r="G111" s="222"/>
      <c r="H111" s="154"/>
      <c r="I111" s="154"/>
      <c r="J111" s="154"/>
      <c r="K111" s="154"/>
      <c r="L111" s="154"/>
      <c r="M111" s="154"/>
      <c r="N111" s="154"/>
      <c r="O111" s="154"/>
      <c r="P111" s="154"/>
      <c r="Q111" s="154"/>
      <c r="R111" s="154"/>
      <c r="S111" s="154"/>
      <c r="T111" s="156"/>
      <c r="U111" s="156"/>
      <c r="V111" s="156"/>
      <c r="W111" s="157"/>
      <c r="X111" s="158"/>
    </row>
    <row r="112" spans="1:24" s="167" customFormat="1" ht="15" customHeight="1">
      <c r="A112" s="160">
        <v>108</v>
      </c>
      <c r="B112" s="160" t="s">
        <v>1</v>
      </c>
      <c r="C112" s="161">
        <v>3</v>
      </c>
      <c r="D112" s="162" t="s">
        <v>413</v>
      </c>
      <c r="E112" s="163"/>
      <c r="F112" s="163"/>
      <c r="G112" s="223"/>
      <c r="H112" s="163"/>
      <c r="I112" s="163"/>
      <c r="J112" s="163"/>
      <c r="K112" s="163"/>
      <c r="L112" s="163"/>
      <c r="M112" s="163"/>
      <c r="N112" s="163"/>
      <c r="O112" s="163"/>
      <c r="P112" s="163"/>
      <c r="Q112" s="163"/>
      <c r="R112" s="163"/>
      <c r="S112" s="163"/>
      <c r="T112" s="165"/>
      <c r="U112" s="165"/>
      <c r="V112" s="165"/>
      <c r="W112" s="157"/>
      <c r="X112" s="166"/>
    </row>
    <row r="113" spans="1:24" s="203" customFormat="1" ht="28.9">
      <c r="A113" s="151">
        <v>109</v>
      </c>
      <c r="B113" s="151" t="s">
        <v>0</v>
      </c>
      <c r="C113" s="168" t="s">
        <v>328</v>
      </c>
      <c r="D113" s="209" t="s">
        <v>1250</v>
      </c>
      <c r="E113" s="170"/>
      <c r="F113" s="171"/>
      <c r="G113" s="202"/>
      <c r="H113" s="174"/>
      <c r="I113" s="174"/>
      <c r="J113" s="174"/>
      <c r="K113" s="174"/>
      <c r="L113" s="174"/>
      <c r="M113" s="174"/>
      <c r="N113" s="174"/>
      <c r="O113" s="174"/>
      <c r="P113" s="174"/>
      <c r="Q113" s="174"/>
      <c r="R113" s="174"/>
      <c r="S113" s="174"/>
      <c r="T113" s="174"/>
      <c r="U113" s="174"/>
      <c r="V113" s="174"/>
      <c r="W113" s="175"/>
      <c r="X113" s="176"/>
    </row>
    <row r="114" spans="1:24" s="205" customFormat="1" ht="28.9">
      <c r="A114" s="160">
        <v>110</v>
      </c>
      <c r="B114" s="160" t="s">
        <v>1</v>
      </c>
      <c r="C114" s="177" t="s">
        <v>328</v>
      </c>
      <c r="D114" s="210" t="s">
        <v>1250</v>
      </c>
      <c r="E114" s="179"/>
      <c r="F114" s="180"/>
      <c r="G114" s="204"/>
      <c r="H114" s="183"/>
      <c r="I114" s="183"/>
      <c r="J114" s="183"/>
      <c r="K114" s="183"/>
      <c r="L114" s="183"/>
      <c r="M114" s="183"/>
      <c r="N114" s="183"/>
      <c r="O114" s="183"/>
      <c r="P114" s="183"/>
      <c r="Q114" s="183"/>
      <c r="R114" s="183"/>
      <c r="S114" s="183"/>
      <c r="T114" s="183"/>
      <c r="U114" s="183"/>
      <c r="V114" s="183"/>
      <c r="W114" s="175"/>
      <c r="X114" s="184"/>
    </row>
    <row r="115" spans="1:24" ht="15" customHeight="1">
      <c r="A115" s="151">
        <v>111</v>
      </c>
      <c r="B115" s="151" t="s">
        <v>0</v>
      </c>
      <c r="C115" s="185" t="s">
        <v>414</v>
      </c>
      <c r="D115" s="186" t="s">
        <v>1219</v>
      </c>
      <c r="E115" s="187" t="s">
        <v>97</v>
      </c>
      <c r="F115" s="187" t="s">
        <v>1200</v>
      </c>
      <c r="G115" s="188">
        <v>0.8</v>
      </c>
      <c r="H115" s="188">
        <v>1</v>
      </c>
      <c r="I115" s="188">
        <v>1</v>
      </c>
      <c r="J115" s="188">
        <v>1</v>
      </c>
      <c r="K115" s="188">
        <v>1</v>
      </c>
      <c r="L115" s="188">
        <v>1</v>
      </c>
      <c r="M115" s="188">
        <v>1</v>
      </c>
      <c r="N115" s="188">
        <v>1</v>
      </c>
      <c r="O115" s="188">
        <v>1</v>
      </c>
      <c r="P115" s="188">
        <v>1</v>
      </c>
      <c r="Q115" s="188">
        <v>1</v>
      </c>
      <c r="R115" s="188">
        <v>1</v>
      </c>
      <c r="S115" s="188">
        <v>0.2</v>
      </c>
      <c r="T115" s="189">
        <f t="shared" ref="T115:T146" si="10">SUM(G115:S115)</f>
        <v>12</v>
      </c>
      <c r="U115" s="225" t="s">
        <v>1220</v>
      </c>
      <c r="V115" s="189">
        <f t="shared" ref="V115:V146" si="11">U115*T115</f>
        <v>324667.92</v>
      </c>
      <c r="W115" s="191" t="s">
        <v>74</v>
      </c>
      <c r="X115" s="192"/>
    </row>
    <row r="116" spans="1:24" s="31" customFormat="1" ht="15" customHeight="1">
      <c r="A116" s="160">
        <v>112</v>
      </c>
      <c r="B116" s="160" t="s">
        <v>1</v>
      </c>
      <c r="C116" s="193" t="s">
        <v>414</v>
      </c>
      <c r="D116" s="194" t="s">
        <v>1219</v>
      </c>
      <c r="E116" s="195" t="s">
        <v>97</v>
      </c>
      <c r="F116" s="195" t="s">
        <v>1200</v>
      </c>
      <c r="G116" s="196">
        <v>0.79999999999999993</v>
      </c>
      <c r="H116" s="196">
        <v>1</v>
      </c>
      <c r="I116" s="196">
        <v>1</v>
      </c>
      <c r="J116" s="196">
        <v>1</v>
      </c>
      <c r="K116" s="196"/>
      <c r="L116" s="196"/>
      <c r="M116" s="196"/>
      <c r="N116" s="196"/>
      <c r="O116" s="196"/>
      <c r="P116" s="196"/>
      <c r="Q116" s="196"/>
      <c r="R116" s="196"/>
      <c r="S116" s="196"/>
      <c r="T116" s="197">
        <f t="shared" si="10"/>
        <v>3.8</v>
      </c>
      <c r="U116" s="226" t="s">
        <v>1220</v>
      </c>
      <c r="V116" s="197">
        <f t="shared" si="11"/>
        <v>102811.508</v>
      </c>
      <c r="W116" s="191">
        <f>V116/V115</f>
        <v>0.31666666666666671</v>
      </c>
      <c r="X116" s="199"/>
    </row>
    <row r="117" spans="1:24" ht="15" customHeight="1">
      <c r="A117" s="151">
        <v>113</v>
      </c>
      <c r="B117" s="151" t="s">
        <v>0</v>
      </c>
      <c r="C117" s="185" t="s">
        <v>415</v>
      </c>
      <c r="D117" s="186" t="s">
        <v>1251</v>
      </c>
      <c r="E117" s="187" t="s">
        <v>93</v>
      </c>
      <c r="F117" s="187" t="s">
        <v>1200</v>
      </c>
      <c r="G117" s="188">
        <v>0.8</v>
      </c>
      <c r="H117" s="188">
        <v>1</v>
      </c>
      <c r="I117" s="188">
        <v>1</v>
      </c>
      <c r="J117" s="188">
        <v>1</v>
      </c>
      <c r="K117" s="188">
        <v>1</v>
      </c>
      <c r="L117" s="188">
        <v>1</v>
      </c>
      <c r="M117" s="188">
        <v>1</v>
      </c>
      <c r="N117" s="188">
        <v>1</v>
      </c>
      <c r="O117" s="188">
        <v>1</v>
      </c>
      <c r="P117" s="188">
        <v>1</v>
      </c>
      <c r="Q117" s="188">
        <v>1</v>
      </c>
      <c r="R117" s="188">
        <v>1</v>
      </c>
      <c r="S117" s="188">
        <v>0.2</v>
      </c>
      <c r="T117" s="189">
        <f t="shared" si="10"/>
        <v>12</v>
      </c>
      <c r="U117" s="225" t="s">
        <v>1220</v>
      </c>
      <c r="V117" s="189">
        <f t="shared" si="11"/>
        <v>324667.92</v>
      </c>
      <c r="W117" s="191" t="s">
        <v>74</v>
      </c>
      <c r="X117" s="192"/>
    </row>
    <row r="118" spans="1:24" s="31" customFormat="1" ht="15" customHeight="1">
      <c r="A118" s="160">
        <v>114</v>
      </c>
      <c r="B118" s="160" t="s">
        <v>1</v>
      </c>
      <c r="C118" s="193" t="s">
        <v>415</v>
      </c>
      <c r="D118" s="194" t="s">
        <v>1251</v>
      </c>
      <c r="E118" s="195" t="s">
        <v>93</v>
      </c>
      <c r="F118" s="195" t="s">
        <v>1200</v>
      </c>
      <c r="G118" s="196">
        <v>0.79999999999999993</v>
      </c>
      <c r="H118" s="196">
        <v>1</v>
      </c>
      <c r="I118" s="196">
        <v>1</v>
      </c>
      <c r="J118" s="196">
        <v>1</v>
      </c>
      <c r="K118" s="196"/>
      <c r="L118" s="196"/>
      <c r="M118" s="196"/>
      <c r="N118" s="196"/>
      <c r="O118" s="196"/>
      <c r="P118" s="196"/>
      <c r="Q118" s="196"/>
      <c r="R118" s="196"/>
      <c r="S118" s="196"/>
      <c r="T118" s="197">
        <f t="shared" si="10"/>
        <v>3.8</v>
      </c>
      <c r="U118" s="226" t="s">
        <v>1220</v>
      </c>
      <c r="V118" s="197">
        <f t="shared" si="11"/>
        <v>102811.508</v>
      </c>
      <c r="W118" s="191">
        <f>V118/V117</f>
        <v>0.31666666666666671</v>
      </c>
      <c r="X118" s="199"/>
    </row>
    <row r="119" spans="1:24" ht="15" customHeight="1">
      <c r="A119" s="151">
        <v>115</v>
      </c>
      <c r="B119" s="151" t="s">
        <v>0</v>
      </c>
      <c r="C119" s="185" t="s">
        <v>416</v>
      </c>
      <c r="D119" s="186" t="s">
        <v>1252</v>
      </c>
      <c r="E119" s="208" t="s">
        <v>125</v>
      </c>
      <c r="F119" s="187" t="s">
        <v>1200</v>
      </c>
      <c r="G119" s="188">
        <v>0.8</v>
      </c>
      <c r="H119" s="188">
        <v>1</v>
      </c>
      <c r="I119" s="188">
        <v>1</v>
      </c>
      <c r="J119" s="188">
        <v>1</v>
      </c>
      <c r="K119" s="188">
        <v>1</v>
      </c>
      <c r="L119" s="188">
        <v>1</v>
      </c>
      <c r="M119" s="188">
        <v>1</v>
      </c>
      <c r="N119" s="188">
        <v>1</v>
      </c>
      <c r="O119" s="188">
        <v>1</v>
      </c>
      <c r="P119" s="188">
        <v>1</v>
      </c>
      <c r="Q119" s="188">
        <v>1</v>
      </c>
      <c r="R119" s="188">
        <v>1</v>
      </c>
      <c r="S119" s="188">
        <v>0.2</v>
      </c>
      <c r="T119" s="189">
        <f t="shared" si="10"/>
        <v>12</v>
      </c>
      <c r="U119" s="225" t="s">
        <v>1224</v>
      </c>
      <c r="V119" s="189">
        <f t="shared" si="11"/>
        <v>98727.12</v>
      </c>
      <c r="W119" s="191" t="s">
        <v>74</v>
      </c>
      <c r="X119" s="192"/>
    </row>
    <row r="120" spans="1:24" s="31" customFormat="1" ht="15" customHeight="1">
      <c r="A120" s="160">
        <v>116</v>
      </c>
      <c r="B120" s="160" t="s">
        <v>1</v>
      </c>
      <c r="C120" s="193" t="s">
        <v>416</v>
      </c>
      <c r="D120" s="194" t="s">
        <v>1252</v>
      </c>
      <c r="E120" s="207" t="s">
        <v>125</v>
      </c>
      <c r="F120" s="195" t="s">
        <v>1200</v>
      </c>
      <c r="G120" s="196">
        <v>0.8</v>
      </c>
      <c r="H120" s="196">
        <v>1</v>
      </c>
      <c r="I120" s="196">
        <v>1</v>
      </c>
      <c r="J120" s="196">
        <v>1</v>
      </c>
      <c r="K120" s="196"/>
      <c r="L120" s="196"/>
      <c r="M120" s="196"/>
      <c r="N120" s="196"/>
      <c r="O120" s="196"/>
      <c r="P120" s="196"/>
      <c r="Q120" s="196"/>
      <c r="R120" s="196"/>
      <c r="S120" s="196"/>
      <c r="T120" s="197">
        <f t="shared" si="10"/>
        <v>3.8</v>
      </c>
      <c r="U120" s="226" t="s">
        <v>1224</v>
      </c>
      <c r="V120" s="197">
        <f t="shared" si="11"/>
        <v>31263.588</v>
      </c>
      <c r="W120" s="191">
        <f>V120/V119</f>
        <v>0.31666666666666665</v>
      </c>
      <c r="X120" s="199"/>
    </row>
    <row r="121" spans="1:24" s="203" customFormat="1" ht="28.9">
      <c r="A121" s="151">
        <v>117</v>
      </c>
      <c r="B121" s="151" t="s">
        <v>0</v>
      </c>
      <c r="C121" s="168" t="s">
        <v>419</v>
      </c>
      <c r="D121" s="209" t="s">
        <v>1253</v>
      </c>
      <c r="E121" s="170"/>
      <c r="F121" s="169"/>
      <c r="G121" s="202"/>
      <c r="H121" s="202"/>
      <c r="I121" s="202"/>
      <c r="J121" s="202"/>
      <c r="K121" s="202"/>
      <c r="L121" s="202"/>
      <c r="M121" s="202"/>
      <c r="N121" s="202"/>
      <c r="O121" s="202"/>
      <c r="P121" s="202"/>
      <c r="Q121" s="202"/>
      <c r="R121" s="202"/>
      <c r="S121" s="202"/>
      <c r="T121" s="174">
        <f t="shared" si="10"/>
        <v>0</v>
      </c>
      <c r="U121" s="174"/>
      <c r="V121" s="174">
        <f t="shared" si="11"/>
        <v>0</v>
      </c>
      <c r="W121" s="175"/>
      <c r="X121" s="176"/>
    </row>
    <row r="122" spans="1:24" s="205" customFormat="1" ht="28.9">
      <c r="A122" s="160">
        <v>118</v>
      </c>
      <c r="B122" s="160" t="s">
        <v>1</v>
      </c>
      <c r="C122" s="177" t="s">
        <v>419</v>
      </c>
      <c r="D122" s="210" t="s">
        <v>1253</v>
      </c>
      <c r="E122" s="179"/>
      <c r="F122" s="178"/>
      <c r="G122" s="204"/>
      <c r="H122" s="204"/>
      <c r="I122" s="204"/>
      <c r="J122" s="204"/>
      <c r="K122" s="204"/>
      <c r="L122" s="204"/>
      <c r="M122" s="204"/>
      <c r="N122" s="204"/>
      <c r="O122" s="204"/>
      <c r="P122" s="204"/>
      <c r="Q122" s="204"/>
      <c r="R122" s="204"/>
      <c r="S122" s="204"/>
      <c r="T122" s="183">
        <f t="shared" si="10"/>
        <v>0</v>
      </c>
      <c r="U122" s="183"/>
      <c r="V122" s="183">
        <f t="shared" si="11"/>
        <v>0</v>
      </c>
      <c r="W122" s="175"/>
      <c r="X122" s="184"/>
    </row>
    <row r="123" spans="1:24" ht="15" customHeight="1">
      <c r="A123" s="151">
        <v>119</v>
      </c>
      <c r="B123" s="151" t="s">
        <v>0</v>
      </c>
      <c r="C123" s="185" t="s">
        <v>420</v>
      </c>
      <c r="D123" s="200" t="s">
        <v>1254</v>
      </c>
      <c r="E123" s="187" t="s">
        <v>97</v>
      </c>
      <c r="F123" s="187" t="s">
        <v>1200</v>
      </c>
      <c r="G123" s="188">
        <v>0.8</v>
      </c>
      <c r="H123" s="188">
        <v>1</v>
      </c>
      <c r="I123" s="188">
        <v>1</v>
      </c>
      <c r="J123" s="188">
        <v>1</v>
      </c>
      <c r="K123" s="188">
        <v>1</v>
      </c>
      <c r="L123" s="188">
        <v>1</v>
      </c>
      <c r="M123" s="188">
        <v>1</v>
      </c>
      <c r="N123" s="188">
        <v>1</v>
      </c>
      <c r="O123" s="188">
        <v>1</v>
      </c>
      <c r="P123" s="188">
        <v>1</v>
      </c>
      <c r="Q123" s="188">
        <v>1</v>
      </c>
      <c r="R123" s="188">
        <v>1</v>
      </c>
      <c r="S123" s="188">
        <v>0.2</v>
      </c>
      <c r="T123" s="189">
        <f t="shared" si="10"/>
        <v>12</v>
      </c>
      <c r="U123" s="225" t="s">
        <v>1220</v>
      </c>
      <c r="V123" s="189">
        <f t="shared" si="11"/>
        <v>324667.92</v>
      </c>
      <c r="W123" s="191" t="s">
        <v>74</v>
      </c>
      <c r="X123" s="192"/>
    </row>
    <row r="124" spans="1:24" s="31" customFormat="1" ht="15" customHeight="1">
      <c r="A124" s="160">
        <v>120</v>
      </c>
      <c r="B124" s="160" t="s">
        <v>1</v>
      </c>
      <c r="C124" s="193" t="s">
        <v>420</v>
      </c>
      <c r="D124" s="201" t="s">
        <v>1254</v>
      </c>
      <c r="E124" s="195" t="s">
        <v>97</v>
      </c>
      <c r="F124" s="195" t="s">
        <v>1200</v>
      </c>
      <c r="G124" s="196">
        <v>0.53333333333333333</v>
      </c>
      <c r="H124" s="196">
        <v>0</v>
      </c>
      <c r="I124" s="196">
        <v>0</v>
      </c>
      <c r="J124" s="196">
        <v>0</v>
      </c>
      <c r="K124" s="196"/>
      <c r="L124" s="196"/>
      <c r="M124" s="196"/>
      <c r="N124" s="196"/>
      <c r="O124" s="196"/>
      <c r="P124" s="196"/>
      <c r="Q124" s="196"/>
      <c r="R124" s="196"/>
      <c r="S124" s="196"/>
      <c r="T124" s="197">
        <f t="shared" si="10"/>
        <v>0.53333333333333333</v>
      </c>
      <c r="U124" s="226" t="s">
        <v>1220</v>
      </c>
      <c r="V124" s="197">
        <f t="shared" si="11"/>
        <v>14429.685333333333</v>
      </c>
      <c r="W124" s="191">
        <f>V124/V123</f>
        <v>4.4444444444444446E-2</v>
      </c>
      <c r="X124" s="199"/>
    </row>
    <row r="125" spans="1:24" ht="15" customHeight="1">
      <c r="A125" s="151">
        <v>121</v>
      </c>
      <c r="B125" s="151" t="s">
        <v>0</v>
      </c>
      <c r="C125" s="185" t="s">
        <v>421</v>
      </c>
      <c r="D125" s="186" t="s">
        <v>1255</v>
      </c>
      <c r="E125" s="208" t="s">
        <v>125</v>
      </c>
      <c r="F125" s="187" t="s">
        <v>1200</v>
      </c>
      <c r="G125" s="188">
        <v>1.6</v>
      </c>
      <c r="H125" s="188">
        <v>2</v>
      </c>
      <c r="I125" s="188">
        <v>2</v>
      </c>
      <c r="J125" s="188">
        <v>2</v>
      </c>
      <c r="K125" s="188">
        <v>2</v>
      </c>
      <c r="L125" s="188">
        <v>2</v>
      </c>
      <c r="M125" s="188">
        <v>2</v>
      </c>
      <c r="N125" s="188">
        <v>2</v>
      </c>
      <c r="O125" s="188">
        <v>2</v>
      </c>
      <c r="P125" s="188">
        <v>2</v>
      </c>
      <c r="Q125" s="188">
        <v>2</v>
      </c>
      <c r="R125" s="188">
        <v>2</v>
      </c>
      <c r="S125" s="188">
        <v>0.4</v>
      </c>
      <c r="T125" s="189">
        <f t="shared" si="10"/>
        <v>24</v>
      </c>
      <c r="U125" s="225" t="s">
        <v>1224</v>
      </c>
      <c r="V125" s="189">
        <f t="shared" si="11"/>
        <v>197454.24</v>
      </c>
      <c r="W125" s="191" t="s">
        <v>74</v>
      </c>
      <c r="X125" s="192"/>
    </row>
    <row r="126" spans="1:24" s="31" customFormat="1" ht="15" customHeight="1">
      <c r="A126" s="160">
        <v>122</v>
      </c>
      <c r="B126" s="160" t="s">
        <v>1</v>
      </c>
      <c r="C126" s="193" t="s">
        <v>421</v>
      </c>
      <c r="D126" s="194" t="s">
        <v>1255</v>
      </c>
      <c r="E126" s="207" t="s">
        <v>125</v>
      </c>
      <c r="F126" s="195" t="s">
        <v>1200</v>
      </c>
      <c r="G126" s="196">
        <v>0.8</v>
      </c>
      <c r="H126" s="196">
        <v>2</v>
      </c>
      <c r="I126" s="196">
        <v>1</v>
      </c>
      <c r="J126" s="196">
        <v>0.16666666666666669</v>
      </c>
      <c r="K126" s="196"/>
      <c r="L126" s="196"/>
      <c r="M126" s="196"/>
      <c r="N126" s="196"/>
      <c r="O126" s="196"/>
      <c r="P126" s="196"/>
      <c r="Q126" s="196"/>
      <c r="R126" s="196"/>
      <c r="S126" s="196"/>
      <c r="T126" s="197">
        <f t="shared" si="10"/>
        <v>3.9666666666666663</v>
      </c>
      <c r="U126" s="226" t="s">
        <v>1224</v>
      </c>
      <c r="V126" s="197">
        <f t="shared" si="11"/>
        <v>32634.797999999999</v>
      </c>
      <c r="W126" s="191">
        <f>V126/V125</f>
        <v>0.16527777777777777</v>
      </c>
      <c r="X126" s="199"/>
    </row>
    <row r="127" spans="1:24" ht="15" customHeight="1">
      <c r="A127" s="151">
        <v>123</v>
      </c>
      <c r="B127" s="151" t="s">
        <v>0</v>
      </c>
      <c r="C127" s="185" t="s">
        <v>422</v>
      </c>
      <c r="D127" s="200" t="s">
        <v>115</v>
      </c>
      <c r="E127" s="208" t="s">
        <v>152</v>
      </c>
      <c r="F127" s="187" t="s">
        <v>1200</v>
      </c>
      <c r="G127" s="188">
        <v>1.6</v>
      </c>
      <c r="H127" s="188">
        <v>2</v>
      </c>
      <c r="I127" s="188">
        <v>2</v>
      </c>
      <c r="J127" s="188">
        <v>2</v>
      </c>
      <c r="K127" s="188">
        <v>2</v>
      </c>
      <c r="L127" s="188">
        <v>2</v>
      </c>
      <c r="M127" s="188">
        <v>1.2</v>
      </c>
      <c r="N127" s="188">
        <v>2</v>
      </c>
      <c r="O127" s="188">
        <v>2</v>
      </c>
      <c r="P127" s="188">
        <v>2</v>
      </c>
      <c r="Q127" s="188">
        <v>2</v>
      </c>
      <c r="R127" s="188">
        <v>2</v>
      </c>
      <c r="S127" s="188">
        <v>0.4</v>
      </c>
      <c r="T127" s="189">
        <f t="shared" si="10"/>
        <v>23.199999999999996</v>
      </c>
      <c r="U127" s="225" t="s">
        <v>1230</v>
      </c>
      <c r="V127" s="189">
        <f t="shared" si="11"/>
        <v>118302.13599999997</v>
      </c>
      <c r="W127" s="191" t="s">
        <v>74</v>
      </c>
      <c r="X127" s="192"/>
    </row>
    <row r="128" spans="1:24" s="31" customFormat="1" ht="15" customHeight="1">
      <c r="A128" s="160">
        <v>124</v>
      </c>
      <c r="B128" s="160" t="s">
        <v>1</v>
      </c>
      <c r="C128" s="193" t="s">
        <v>422</v>
      </c>
      <c r="D128" s="201" t="s">
        <v>115</v>
      </c>
      <c r="E128" s="207" t="s">
        <v>152</v>
      </c>
      <c r="F128" s="195" t="s">
        <v>1200</v>
      </c>
      <c r="G128" s="196">
        <v>1.5999999999999999</v>
      </c>
      <c r="H128" s="196">
        <v>2</v>
      </c>
      <c r="I128" s="196">
        <v>2</v>
      </c>
      <c r="J128" s="196">
        <v>2</v>
      </c>
      <c r="K128" s="196"/>
      <c r="L128" s="196"/>
      <c r="M128" s="196"/>
      <c r="N128" s="196"/>
      <c r="O128" s="196"/>
      <c r="P128" s="196"/>
      <c r="Q128" s="196"/>
      <c r="R128" s="196"/>
      <c r="S128" s="196"/>
      <c r="T128" s="197">
        <f t="shared" si="10"/>
        <v>7.6</v>
      </c>
      <c r="U128" s="226" t="s">
        <v>1230</v>
      </c>
      <c r="V128" s="197">
        <f t="shared" si="11"/>
        <v>38754.147999999994</v>
      </c>
      <c r="W128" s="191">
        <f>V128/V127</f>
        <v>0.32758620689655177</v>
      </c>
      <c r="X128" s="199"/>
    </row>
    <row r="129" spans="1:24" s="203" customFormat="1" ht="28.9">
      <c r="A129" s="151">
        <v>125</v>
      </c>
      <c r="B129" s="151" t="s">
        <v>0</v>
      </c>
      <c r="C129" s="168" t="s">
        <v>424</v>
      </c>
      <c r="D129" s="209" t="s">
        <v>1256</v>
      </c>
      <c r="E129" s="170"/>
      <c r="F129" s="169"/>
      <c r="G129" s="202"/>
      <c r="H129" s="202"/>
      <c r="I129" s="202"/>
      <c r="J129" s="202"/>
      <c r="K129" s="202"/>
      <c r="L129" s="202"/>
      <c r="M129" s="202"/>
      <c r="N129" s="202"/>
      <c r="O129" s="202"/>
      <c r="P129" s="202"/>
      <c r="Q129" s="202"/>
      <c r="R129" s="202"/>
      <c r="S129" s="202"/>
      <c r="T129" s="174">
        <f t="shared" si="10"/>
        <v>0</v>
      </c>
      <c r="U129" s="174"/>
      <c r="V129" s="174">
        <f t="shared" si="11"/>
        <v>0</v>
      </c>
      <c r="W129" s="175"/>
      <c r="X129" s="176"/>
    </row>
    <row r="130" spans="1:24" s="205" customFormat="1" ht="28.9">
      <c r="A130" s="160">
        <v>126</v>
      </c>
      <c r="B130" s="160" t="s">
        <v>1</v>
      </c>
      <c r="C130" s="177" t="s">
        <v>424</v>
      </c>
      <c r="D130" s="210" t="s">
        <v>1256</v>
      </c>
      <c r="E130" s="179"/>
      <c r="F130" s="178"/>
      <c r="G130" s="204"/>
      <c r="H130" s="204"/>
      <c r="I130" s="204"/>
      <c r="J130" s="204"/>
      <c r="K130" s="204"/>
      <c r="L130" s="204"/>
      <c r="M130" s="204"/>
      <c r="N130" s="204"/>
      <c r="O130" s="204"/>
      <c r="P130" s="204"/>
      <c r="Q130" s="204"/>
      <c r="R130" s="204"/>
      <c r="S130" s="204"/>
      <c r="T130" s="183">
        <f t="shared" si="10"/>
        <v>0</v>
      </c>
      <c r="U130" s="183"/>
      <c r="V130" s="183">
        <f t="shared" si="11"/>
        <v>0</v>
      </c>
      <c r="W130" s="175"/>
      <c r="X130" s="184"/>
    </row>
    <row r="131" spans="1:24" ht="15" customHeight="1">
      <c r="A131" s="151">
        <v>127</v>
      </c>
      <c r="B131" s="151" t="s">
        <v>0</v>
      </c>
      <c r="C131" s="185" t="s">
        <v>426</v>
      </c>
      <c r="D131" s="200" t="s">
        <v>1257</v>
      </c>
      <c r="E131" s="187" t="s">
        <v>93</v>
      </c>
      <c r="F131" s="187" t="s">
        <v>1200</v>
      </c>
      <c r="G131" s="188">
        <v>0.8</v>
      </c>
      <c r="H131" s="188">
        <v>1</v>
      </c>
      <c r="I131" s="188">
        <v>1</v>
      </c>
      <c r="J131" s="188">
        <v>1</v>
      </c>
      <c r="K131" s="188">
        <v>1</v>
      </c>
      <c r="L131" s="188">
        <v>1</v>
      </c>
      <c r="M131" s="188">
        <v>1</v>
      </c>
      <c r="N131" s="188">
        <v>1</v>
      </c>
      <c r="O131" s="188">
        <v>1</v>
      </c>
      <c r="P131" s="188">
        <v>1</v>
      </c>
      <c r="Q131" s="188">
        <v>1</v>
      </c>
      <c r="R131" s="188">
        <v>1</v>
      </c>
      <c r="S131" s="188">
        <v>0.2</v>
      </c>
      <c r="T131" s="189">
        <f t="shared" si="10"/>
        <v>12</v>
      </c>
      <c r="U131" s="225" t="s">
        <v>1220</v>
      </c>
      <c r="V131" s="189">
        <f t="shared" si="11"/>
        <v>324667.92</v>
      </c>
      <c r="W131" s="191" t="s">
        <v>74</v>
      </c>
      <c r="X131" s="192"/>
    </row>
    <row r="132" spans="1:24" s="31" customFormat="1" ht="15" customHeight="1">
      <c r="A132" s="160">
        <v>128</v>
      </c>
      <c r="B132" s="160" t="s">
        <v>1</v>
      </c>
      <c r="C132" s="193" t="s">
        <v>426</v>
      </c>
      <c r="D132" s="201" t="s">
        <v>1257</v>
      </c>
      <c r="E132" s="195" t="s">
        <v>93</v>
      </c>
      <c r="F132" s="195" t="s">
        <v>1200</v>
      </c>
      <c r="G132" s="196">
        <v>0.79999999999999993</v>
      </c>
      <c r="H132" s="196">
        <v>1</v>
      </c>
      <c r="I132" s="196">
        <v>1</v>
      </c>
      <c r="J132" s="196">
        <v>1</v>
      </c>
      <c r="K132" s="196"/>
      <c r="L132" s="196"/>
      <c r="M132" s="196"/>
      <c r="N132" s="196"/>
      <c r="O132" s="196"/>
      <c r="P132" s="196"/>
      <c r="Q132" s="196"/>
      <c r="R132" s="196"/>
      <c r="S132" s="196"/>
      <c r="T132" s="197">
        <f t="shared" si="10"/>
        <v>3.8</v>
      </c>
      <c r="U132" s="226" t="s">
        <v>1220</v>
      </c>
      <c r="V132" s="197">
        <f t="shared" si="11"/>
        <v>102811.508</v>
      </c>
      <c r="W132" s="191">
        <f>V132/V131</f>
        <v>0.31666666666666671</v>
      </c>
      <c r="X132" s="199"/>
    </row>
    <row r="133" spans="1:24" ht="15" customHeight="1">
      <c r="A133" s="151">
        <v>129</v>
      </c>
      <c r="B133" s="151" t="s">
        <v>0</v>
      </c>
      <c r="C133" s="185" t="s">
        <v>427</v>
      </c>
      <c r="D133" s="186" t="s">
        <v>1258</v>
      </c>
      <c r="E133" s="208" t="s">
        <v>125</v>
      </c>
      <c r="F133" s="187" t="s">
        <v>1200</v>
      </c>
      <c r="G133" s="188">
        <v>1.6</v>
      </c>
      <c r="H133" s="188">
        <v>2</v>
      </c>
      <c r="I133" s="188">
        <v>2</v>
      </c>
      <c r="J133" s="188">
        <v>2</v>
      </c>
      <c r="K133" s="188">
        <v>2</v>
      </c>
      <c r="L133" s="188">
        <v>2</v>
      </c>
      <c r="M133" s="188">
        <v>1.2000000000000002</v>
      </c>
      <c r="N133" s="188">
        <v>2</v>
      </c>
      <c r="O133" s="188">
        <v>2</v>
      </c>
      <c r="P133" s="188">
        <v>2</v>
      </c>
      <c r="Q133" s="188">
        <v>2</v>
      </c>
      <c r="R133" s="188">
        <v>2</v>
      </c>
      <c r="S133" s="188">
        <v>0.4</v>
      </c>
      <c r="T133" s="189">
        <f t="shared" si="10"/>
        <v>23.2</v>
      </c>
      <c r="U133" s="225" t="s">
        <v>1224</v>
      </c>
      <c r="V133" s="189">
        <f t="shared" si="11"/>
        <v>190872.432</v>
      </c>
      <c r="W133" s="191" t="s">
        <v>74</v>
      </c>
      <c r="X133" s="192"/>
    </row>
    <row r="134" spans="1:24" s="31" customFormat="1" ht="15" customHeight="1">
      <c r="A134" s="160">
        <v>130</v>
      </c>
      <c r="B134" s="160" t="s">
        <v>1</v>
      </c>
      <c r="C134" s="193" t="s">
        <v>427</v>
      </c>
      <c r="D134" s="194" t="s">
        <v>1258</v>
      </c>
      <c r="E134" s="207" t="s">
        <v>125</v>
      </c>
      <c r="F134" s="195" t="s">
        <v>1200</v>
      </c>
      <c r="G134" s="196">
        <v>1.1000000000000001</v>
      </c>
      <c r="H134" s="196">
        <v>2</v>
      </c>
      <c r="I134" s="196">
        <v>2</v>
      </c>
      <c r="J134" s="196">
        <v>2</v>
      </c>
      <c r="K134" s="196"/>
      <c r="L134" s="196"/>
      <c r="M134" s="196"/>
      <c r="N134" s="196"/>
      <c r="O134" s="196"/>
      <c r="P134" s="196"/>
      <c r="Q134" s="196"/>
      <c r="R134" s="196"/>
      <c r="S134" s="196"/>
      <c r="T134" s="197">
        <f t="shared" si="10"/>
        <v>7.1</v>
      </c>
      <c r="U134" s="226" t="s">
        <v>1224</v>
      </c>
      <c r="V134" s="197">
        <f t="shared" si="11"/>
        <v>58413.546000000002</v>
      </c>
      <c r="W134" s="191">
        <f>V134/V133</f>
        <v>0.30603448275862072</v>
      </c>
      <c r="X134" s="199"/>
    </row>
    <row r="135" spans="1:24" ht="15" customHeight="1">
      <c r="A135" s="151">
        <v>131</v>
      </c>
      <c r="B135" s="151" t="s">
        <v>0</v>
      </c>
      <c r="C135" s="185" t="s">
        <v>429</v>
      </c>
      <c r="D135" s="200" t="s">
        <v>115</v>
      </c>
      <c r="E135" s="208" t="s">
        <v>152</v>
      </c>
      <c r="F135" s="187" t="s">
        <v>1200</v>
      </c>
      <c r="G135" s="188">
        <v>1.6</v>
      </c>
      <c r="H135" s="188">
        <v>2</v>
      </c>
      <c r="I135" s="188">
        <v>2</v>
      </c>
      <c r="J135" s="188">
        <v>2</v>
      </c>
      <c r="K135" s="188">
        <v>2</v>
      </c>
      <c r="L135" s="188">
        <v>2</v>
      </c>
      <c r="M135" s="188">
        <v>1.6666666666666665</v>
      </c>
      <c r="N135" s="188">
        <v>2</v>
      </c>
      <c r="O135" s="188">
        <v>2</v>
      </c>
      <c r="P135" s="188">
        <v>2</v>
      </c>
      <c r="Q135" s="188">
        <v>2</v>
      </c>
      <c r="R135" s="188">
        <v>2</v>
      </c>
      <c r="S135" s="188">
        <v>0.4</v>
      </c>
      <c r="T135" s="189">
        <f t="shared" si="10"/>
        <v>23.666666666666664</v>
      </c>
      <c r="U135" s="225" t="s">
        <v>1230</v>
      </c>
      <c r="V135" s="189">
        <f t="shared" si="11"/>
        <v>120681.77666666664</v>
      </c>
      <c r="W135" s="191" t="s">
        <v>74</v>
      </c>
      <c r="X135" s="192"/>
    </row>
    <row r="136" spans="1:24" s="31" customFormat="1" ht="15" customHeight="1">
      <c r="A136" s="160">
        <v>132</v>
      </c>
      <c r="B136" s="160" t="s">
        <v>1</v>
      </c>
      <c r="C136" s="193" t="s">
        <v>429</v>
      </c>
      <c r="D136" s="201" t="s">
        <v>115</v>
      </c>
      <c r="E136" s="207" t="s">
        <v>152</v>
      </c>
      <c r="F136" s="195" t="s">
        <v>1200</v>
      </c>
      <c r="G136" s="196">
        <v>1.5999999999999999</v>
      </c>
      <c r="H136" s="196">
        <v>2</v>
      </c>
      <c r="I136" s="196">
        <v>2</v>
      </c>
      <c r="J136" s="196">
        <v>2</v>
      </c>
      <c r="K136" s="196"/>
      <c r="L136" s="196"/>
      <c r="M136" s="196"/>
      <c r="N136" s="196"/>
      <c r="O136" s="196"/>
      <c r="P136" s="196"/>
      <c r="Q136" s="196"/>
      <c r="R136" s="196"/>
      <c r="S136" s="196"/>
      <c r="T136" s="197">
        <f t="shared" si="10"/>
        <v>7.6</v>
      </c>
      <c r="U136" s="226" t="s">
        <v>1230</v>
      </c>
      <c r="V136" s="197">
        <f t="shared" si="11"/>
        <v>38754.147999999994</v>
      </c>
      <c r="W136" s="191">
        <f>V136/V135</f>
        <v>0.3211267605633803</v>
      </c>
      <c r="X136" s="199"/>
    </row>
    <row r="137" spans="1:24" s="203" customFormat="1" ht="28.9">
      <c r="A137" s="151">
        <v>133</v>
      </c>
      <c r="B137" s="151" t="s">
        <v>0</v>
      </c>
      <c r="C137" s="168" t="s">
        <v>433</v>
      </c>
      <c r="D137" s="209" t="s">
        <v>1259</v>
      </c>
      <c r="E137" s="170"/>
      <c r="F137" s="169"/>
      <c r="G137" s="202"/>
      <c r="H137" s="202"/>
      <c r="I137" s="202"/>
      <c r="J137" s="202"/>
      <c r="K137" s="202"/>
      <c r="L137" s="202"/>
      <c r="M137" s="202"/>
      <c r="N137" s="202"/>
      <c r="O137" s="202"/>
      <c r="P137" s="202"/>
      <c r="Q137" s="202"/>
      <c r="R137" s="202"/>
      <c r="S137" s="202"/>
      <c r="T137" s="174">
        <f t="shared" si="10"/>
        <v>0</v>
      </c>
      <c r="U137" s="174"/>
      <c r="V137" s="174">
        <f t="shared" si="11"/>
        <v>0</v>
      </c>
      <c r="W137" s="175"/>
      <c r="X137" s="176"/>
    </row>
    <row r="138" spans="1:24" s="205" customFormat="1" ht="28.9">
      <c r="A138" s="160">
        <v>134</v>
      </c>
      <c r="B138" s="160" t="s">
        <v>1</v>
      </c>
      <c r="C138" s="177" t="s">
        <v>433</v>
      </c>
      <c r="D138" s="210" t="s">
        <v>1259</v>
      </c>
      <c r="E138" s="179"/>
      <c r="F138" s="178"/>
      <c r="G138" s="204"/>
      <c r="H138" s="204"/>
      <c r="I138" s="204"/>
      <c r="J138" s="204"/>
      <c r="K138" s="204"/>
      <c r="L138" s="204"/>
      <c r="M138" s="204"/>
      <c r="N138" s="204"/>
      <c r="O138" s="204"/>
      <c r="P138" s="204"/>
      <c r="Q138" s="204"/>
      <c r="R138" s="204"/>
      <c r="S138" s="204"/>
      <c r="T138" s="183">
        <f t="shared" si="10"/>
        <v>0</v>
      </c>
      <c r="U138" s="183"/>
      <c r="V138" s="183">
        <f t="shared" si="11"/>
        <v>0</v>
      </c>
      <c r="W138" s="175"/>
      <c r="X138" s="184"/>
    </row>
    <row r="139" spans="1:24" ht="15" customHeight="1">
      <c r="A139" s="151">
        <v>135</v>
      </c>
      <c r="B139" s="151" t="s">
        <v>0</v>
      </c>
      <c r="C139" s="185" t="s">
        <v>434</v>
      </c>
      <c r="D139" s="200" t="s">
        <v>1260</v>
      </c>
      <c r="E139" s="187" t="s">
        <v>97</v>
      </c>
      <c r="F139" s="187" t="s">
        <v>1200</v>
      </c>
      <c r="G139" s="188">
        <v>0.8</v>
      </c>
      <c r="H139" s="188">
        <v>1</v>
      </c>
      <c r="I139" s="188">
        <v>1</v>
      </c>
      <c r="J139" s="188">
        <v>1</v>
      </c>
      <c r="K139" s="188">
        <v>1</v>
      </c>
      <c r="L139" s="188">
        <v>1</v>
      </c>
      <c r="M139" s="188">
        <v>0.5</v>
      </c>
      <c r="N139" s="188">
        <v>1</v>
      </c>
      <c r="O139" s="188">
        <v>1</v>
      </c>
      <c r="P139" s="188">
        <v>1</v>
      </c>
      <c r="Q139" s="188">
        <v>1</v>
      </c>
      <c r="R139" s="188">
        <v>1</v>
      </c>
      <c r="S139" s="188">
        <v>0.2</v>
      </c>
      <c r="T139" s="189">
        <f t="shared" si="10"/>
        <v>11.5</v>
      </c>
      <c r="U139" s="225" t="s">
        <v>1220</v>
      </c>
      <c r="V139" s="189">
        <f t="shared" si="11"/>
        <v>311140.09000000003</v>
      </c>
      <c r="W139" s="191" t="s">
        <v>74</v>
      </c>
      <c r="X139" s="192"/>
    </row>
    <row r="140" spans="1:24" s="31" customFormat="1" ht="15" customHeight="1">
      <c r="A140" s="160">
        <v>136</v>
      </c>
      <c r="B140" s="160" t="s">
        <v>1</v>
      </c>
      <c r="C140" s="193" t="s">
        <v>434</v>
      </c>
      <c r="D140" s="201" t="s">
        <v>1260</v>
      </c>
      <c r="E140" s="195" t="s">
        <v>97</v>
      </c>
      <c r="F140" s="195" t="s">
        <v>1200</v>
      </c>
      <c r="G140" s="196">
        <v>0.79999999999999993</v>
      </c>
      <c r="H140" s="196">
        <v>1</v>
      </c>
      <c r="I140" s="196">
        <v>1</v>
      </c>
      <c r="J140" s="196">
        <v>1</v>
      </c>
      <c r="K140" s="196"/>
      <c r="L140" s="196"/>
      <c r="M140" s="196"/>
      <c r="N140" s="196"/>
      <c r="O140" s="196"/>
      <c r="P140" s="196"/>
      <c r="Q140" s="196"/>
      <c r="R140" s="196"/>
      <c r="S140" s="196"/>
      <c r="T140" s="197">
        <f t="shared" si="10"/>
        <v>3.8</v>
      </c>
      <c r="U140" s="226" t="s">
        <v>1220</v>
      </c>
      <c r="V140" s="197">
        <f t="shared" si="11"/>
        <v>102811.508</v>
      </c>
      <c r="W140" s="191">
        <f>V140/V139</f>
        <v>0.33043478260869563</v>
      </c>
      <c r="X140" s="199"/>
    </row>
    <row r="141" spans="1:24" ht="15" customHeight="1">
      <c r="A141" s="151">
        <v>137</v>
      </c>
      <c r="B141" s="151" t="s">
        <v>0</v>
      </c>
      <c r="C141" s="185" t="s">
        <v>436</v>
      </c>
      <c r="D141" s="200" t="s">
        <v>1261</v>
      </c>
      <c r="E141" s="187" t="s">
        <v>125</v>
      </c>
      <c r="F141" s="187" t="s">
        <v>1200</v>
      </c>
      <c r="G141" s="188">
        <v>3.2</v>
      </c>
      <c r="H141" s="188">
        <v>4</v>
      </c>
      <c r="I141" s="188">
        <v>4</v>
      </c>
      <c r="J141" s="188">
        <v>4</v>
      </c>
      <c r="K141" s="188">
        <v>4</v>
      </c>
      <c r="L141" s="188">
        <v>4</v>
      </c>
      <c r="M141" s="188">
        <v>4</v>
      </c>
      <c r="N141" s="188">
        <v>4</v>
      </c>
      <c r="O141" s="188">
        <v>4</v>
      </c>
      <c r="P141" s="188">
        <v>4</v>
      </c>
      <c r="Q141" s="188">
        <v>4</v>
      </c>
      <c r="R141" s="188">
        <v>4</v>
      </c>
      <c r="S141" s="188">
        <v>0.8</v>
      </c>
      <c r="T141" s="189">
        <f t="shared" si="10"/>
        <v>48</v>
      </c>
      <c r="U141" s="225" t="s">
        <v>1224</v>
      </c>
      <c r="V141" s="189">
        <f t="shared" si="11"/>
        <v>394908.48</v>
      </c>
      <c r="W141" s="191" t="s">
        <v>74</v>
      </c>
      <c r="X141" s="192"/>
    </row>
    <row r="142" spans="1:24" s="31" customFormat="1" ht="15" customHeight="1">
      <c r="A142" s="160">
        <v>138</v>
      </c>
      <c r="B142" s="160" t="s">
        <v>1</v>
      </c>
      <c r="C142" s="193" t="s">
        <v>436</v>
      </c>
      <c r="D142" s="201" t="s">
        <v>1261</v>
      </c>
      <c r="E142" s="195" t="s">
        <v>125</v>
      </c>
      <c r="F142" s="195" t="s">
        <v>1200</v>
      </c>
      <c r="G142" s="196">
        <v>2.4000000000000004</v>
      </c>
      <c r="H142" s="196">
        <v>3</v>
      </c>
      <c r="I142" s="196">
        <v>4</v>
      </c>
      <c r="J142" s="196">
        <v>4</v>
      </c>
      <c r="K142" s="196"/>
      <c r="L142" s="196"/>
      <c r="M142" s="196"/>
      <c r="N142" s="196"/>
      <c r="O142" s="196"/>
      <c r="P142" s="196"/>
      <c r="Q142" s="196"/>
      <c r="R142" s="196"/>
      <c r="S142" s="196"/>
      <c r="T142" s="197">
        <f t="shared" si="10"/>
        <v>13.4</v>
      </c>
      <c r="U142" s="226" t="s">
        <v>1224</v>
      </c>
      <c r="V142" s="197">
        <f t="shared" si="11"/>
        <v>110245.284</v>
      </c>
      <c r="W142" s="191">
        <f>V142/V141</f>
        <v>0.27916666666666667</v>
      </c>
      <c r="X142" s="199"/>
    </row>
    <row r="143" spans="1:24" ht="15" customHeight="1">
      <c r="A143" s="151">
        <v>139</v>
      </c>
      <c r="B143" s="151" t="s">
        <v>0</v>
      </c>
      <c r="C143" s="185" t="s">
        <v>438</v>
      </c>
      <c r="D143" s="200" t="s">
        <v>1262</v>
      </c>
      <c r="E143" s="236" t="s">
        <v>144</v>
      </c>
      <c r="F143" s="187" t="s">
        <v>1200</v>
      </c>
      <c r="G143" s="188">
        <v>6.4</v>
      </c>
      <c r="H143" s="188">
        <v>8</v>
      </c>
      <c r="I143" s="188">
        <v>8</v>
      </c>
      <c r="J143" s="188">
        <v>8</v>
      </c>
      <c r="K143" s="188">
        <v>8</v>
      </c>
      <c r="L143" s="188">
        <v>8</v>
      </c>
      <c r="M143" s="188">
        <v>8</v>
      </c>
      <c r="N143" s="188">
        <v>8</v>
      </c>
      <c r="O143" s="188">
        <v>8</v>
      </c>
      <c r="P143" s="188">
        <v>8</v>
      </c>
      <c r="Q143" s="188">
        <v>8</v>
      </c>
      <c r="R143" s="188">
        <v>8</v>
      </c>
      <c r="S143" s="188">
        <v>1.6</v>
      </c>
      <c r="T143" s="189">
        <f t="shared" si="10"/>
        <v>96</v>
      </c>
      <c r="U143" s="225" t="s">
        <v>1263</v>
      </c>
      <c r="V143" s="189">
        <f t="shared" si="11"/>
        <v>682025.28</v>
      </c>
      <c r="W143" s="191" t="s">
        <v>74</v>
      </c>
      <c r="X143" s="192"/>
    </row>
    <row r="144" spans="1:24" s="31" customFormat="1" ht="15" customHeight="1">
      <c r="A144" s="160">
        <v>140</v>
      </c>
      <c r="B144" s="160" t="s">
        <v>1</v>
      </c>
      <c r="C144" s="193" t="s">
        <v>438</v>
      </c>
      <c r="D144" s="201" t="s">
        <v>1262</v>
      </c>
      <c r="E144" s="237" t="s">
        <v>144</v>
      </c>
      <c r="F144" s="195" t="s">
        <v>1200</v>
      </c>
      <c r="G144" s="196">
        <v>4.9333333333333327</v>
      </c>
      <c r="H144" s="196">
        <v>6.6666666666666661</v>
      </c>
      <c r="I144" s="196">
        <v>7</v>
      </c>
      <c r="J144" s="196">
        <v>6</v>
      </c>
      <c r="K144" s="196"/>
      <c r="L144" s="196"/>
      <c r="M144" s="196"/>
      <c r="N144" s="196"/>
      <c r="O144" s="196"/>
      <c r="P144" s="196"/>
      <c r="Q144" s="196"/>
      <c r="R144" s="196"/>
      <c r="S144" s="196"/>
      <c r="T144" s="197">
        <f t="shared" si="10"/>
        <v>24.599999999999998</v>
      </c>
      <c r="U144" s="226" t="s">
        <v>1263</v>
      </c>
      <c r="V144" s="197">
        <f t="shared" si="11"/>
        <v>174768.978</v>
      </c>
      <c r="W144" s="191">
        <f>V144/V143</f>
        <v>0.25624999999999998</v>
      </c>
      <c r="X144" s="199"/>
    </row>
    <row r="145" spans="1:24" ht="15" customHeight="1">
      <c r="A145" s="151">
        <v>141</v>
      </c>
      <c r="B145" s="151" t="s">
        <v>0</v>
      </c>
      <c r="C145" s="185" t="s">
        <v>439</v>
      </c>
      <c r="D145" s="200" t="s">
        <v>1264</v>
      </c>
      <c r="E145" s="212" t="s">
        <v>109</v>
      </c>
      <c r="F145" s="187" t="s">
        <v>1200</v>
      </c>
      <c r="G145" s="188">
        <v>6.4</v>
      </c>
      <c r="H145" s="188">
        <v>8</v>
      </c>
      <c r="I145" s="188">
        <v>8</v>
      </c>
      <c r="J145" s="188">
        <v>8</v>
      </c>
      <c r="K145" s="188">
        <v>8</v>
      </c>
      <c r="L145" s="188">
        <v>8</v>
      </c>
      <c r="M145" s="188">
        <v>8</v>
      </c>
      <c r="N145" s="188">
        <v>8</v>
      </c>
      <c r="O145" s="188">
        <v>8</v>
      </c>
      <c r="P145" s="188">
        <v>8</v>
      </c>
      <c r="Q145" s="188">
        <v>8</v>
      </c>
      <c r="R145" s="188">
        <v>8</v>
      </c>
      <c r="S145" s="188">
        <v>1.6</v>
      </c>
      <c r="T145" s="189">
        <f t="shared" si="10"/>
        <v>96</v>
      </c>
      <c r="U145" s="225" t="s">
        <v>1265</v>
      </c>
      <c r="V145" s="189">
        <f t="shared" si="11"/>
        <v>816835.20000000007</v>
      </c>
      <c r="W145" s="191" t="s">
        <v>74</v>
      </c>
      <c r="X145" s="192"/>
    </row>
    <row r="146" spans="1:24" s="31" customFormat="1" ht="15" customHeight="1">
      <c r="A146" s="160">
        <v>142</v>
      </c>
      <c r="B146" s="160" t="s">
        <v>1</v>
      </c>
      <c r="C146" s="193" t="s">
        <v>439</v>
      </c>
      <c r="D146" s="201" t="s">
        <v>1264</v>
      </c>
      <c r="E146" s="195" t="s">
        <v>109</v>
      </c>
      <c r="F146" s="195" t="s">
        <v>1200</v>
      </c>
      <c r="G146" s="196">
        <v>3.5999999999999996</v>
      </c>
      <c r="H146" s="196">
        <v>4</v>
      </c>
      <c r="I146" s="196">
        <v>3.5666666666666664</v>
      </c>
      <c r="J146" s="196">
        <v>3.9333333333333331</v>
      </c>
      <c r="K146" s="196"/>
      <c r="L146" s="196"/>
      <c r="M146" s="196"/>
      <c r="N146" s="196"/>
      <c r="O146" s="196"/>
      <c r="P146" s="196"/>
      <c r="Q146" s="196"/>
      <c r="R146" s="196"/>
      <c r="S146" s="196"/>
      <c r="T146" s="197">
        <f t="shared" si="10"/>
        <v>15.1</v>
      </c>
      <c r="U146" s="226" t="s">
        <v>1265</v>
      </c>
      <c r="V146" s="197">
        <f t="shared" si="11"/>
        <v>128481.37000000001</v>
      </c>
      <c r="W146" s="191">
        <f>V146/V145</f>
        <v>0.15729166666666666</v>
      </c>
      <c r="X146" s="199"/>
    </row>
    <row r="147" spans="1:24" s="203" customFormat="1" ht="28.9">
      <c r="A147" s="151">
        <v>143</v>
      </c>
      <c r="B147" s="151" t="s">
        <v>0</v>
      </c>
      <c r="C147" s="168" t="s">
        <v>450</v>
      </c>
      <c r="D147" s="209" t="s">
        <v>1266</v>
      </c>
      <c r="E147" s="170"/>
      <c r="F147" s="169"/>
      <c r="G147" s="202"/>
      <c r="H147" s="202"/>
      <c r="I147" s="202"/>
      <c r="J147" s="202"/>
      <c r="K147" s="202"/>
      <c r="L147" s="202"/>
      <c r="M147" s="202"/>
      <c r="N147" s="202"/>
      <c r="O147" s="202"/>
      <c r="P147" s="202"/>
      <c r="Q147" s="202"/>
      <c r="R147" s="202"/>
      <c r="S147" s="202"/>
      <c r="T147" s="174">
        <f t="shared" ref="T147:T178" si="12">SUM(G147:S147)</f>
        <v>0</v>
      </c>
      <c r="U147" s="174"/>
      <c r="V147" s="174">
        <f t="shared" ref="V147:V178" si="13">U147*T147</f>
        <v>0</v>
      </c>
      <c r="W147" s="175"/>
      <c r="X147" s="176"/>
    </row>
    <row r="148" spans="1:24" s="205" customFormat="1" ht="28.9">
      <c r="A148" s="160">
        <v>144</v>
      </c>
      <c r="B148" s="160" t="s">
        <v>1</v>
      </c>
      <c r="C148" s="177" t="s">
        <v>450</v>
      </c>
      <c r="D148" s="210" t="s">
        <v>1266</v>
      </c>
      <c r="E148" s="179"/>
      <c r="F148" s="178"/>
      <c r="G148" s="204"/>
      <c r="H148" s="204"/>
      <c r="I148" s="204"/>
      <c r="J148" s="204"/>
      <c r="K148" s="204"/>
      <c r="L148" s="204"/>
      <c r="M148" s="204"/>
      <c r="N148" s="204"/>
      <c r="O148" s="204"/>
      <c r="P148" s="204"/>
      <c r="Q148" s="204"/>
      <c r="R148" s="204"/>
      <c r="S148" s="204"/>
      <c r="T148" s="183">
        <f t="shared" si="12"/>
        <v>0</v>
      </c>
      <c r="U148" s="183"/>
      <c r="V148" s="183">
        <f t="shared" si="13"/>
        <v>0</v>
      </c>
      <c r="W148" s="175"/>
      <c r="X148" s="184"/>
    </row>
    <row r="149" spans="1:24" ht="15" customHeight="1">
      <c r="A149" s="151">
        <v>145</v>
      </c>
      <c r="B149" s="151" t="s">
        <v>0</v>
      </c>
      <c r="C149" s="230" t="s">
        <v>451</v>
      </c>
      <c r="D149" s="200" t="s">
        <v>1260</v>
      </c>
      <c r="E149" s="187" t="s">
        <v>97</v>
      </c>
      <c r="F149" s="187" t="s">
        <v>1200</v>
      </c>
      <c r="G149" s="188">
        <v>0.8</v>
      </c>
      <c r="H149" s="188">
        <v>1</v>
      </c>
      <c r="I149" s="188">
        <v>1</v>
      </c>
      <c r="J149" s="188">
        <v>1</v>
      </c>
      <c r="K149" s="188">
        <v>1</v>
      </c>
      <c r="L149" s="188">
        <v>1</v>
      </c>
      <c r="M149" s="188">
        <v>1</v>
      </c>
      <c r="N149" s="188">
        <v>1</v>
      </c>
      <c r="O149" s="188">
        <v>1</v>
      </c>
      <c r="P149" s="188">
        <v>1</v>
      </c>
      <c r="Q149" s="188">
        <v>1</v>
      </c>
      <c r="R149" s="188">
        <v>1</v>
      </c>
      <c r="S149" s="188">
        <v>0.2</v>
      </c>
      <c r="T149" s="189">
        <f t="shared" si="12"/>
        <v>12</v>
      </c>
      <c r="U149" s="225" t="s">
        <v>1220</v>
      </c>
      <c r="V149" s="189">
        <f t="shared" si="13"/>
        <v>324667.92</v>
      </c>
      <c r="W149" s="191" t="s">
        <v>74</v>
      </c>
      <c r="X149" s="192"/>
    </row>
    <row r="150" spans="1:24" s="31" customFormat="1" ht="15" customHeight="1">
      <c r="A150" s="160">
        <v>146</v>
      </c>
      <c r="B150" s="160" t="s">
        <v>1</v>
      </c>
      <c r="C150" s="193" t="s">
        <v>451</v>
      </c>
      <c r="D150" s="201" t="s">
        <v>1260</v>
      </c>
      <c r="E150" s="195" t="s">
        <v>97</v>
      </c>
      <c r="F150" s="195" t="s">
        <v>1200</v>
      </c>
      <c r="G150" s="196">
        <v>0.79999999999999993</v>
      </c>
      <c r="H150" s="196">
        <v>1</v>
      </c>
      <c r="I150" s="196">
        <v>1</v>
      </c>
      <c r="J150" s="196">
        <v>1</v>
      </c>
      <c r="K150" s="196"/>
      <c r="L150" s="196"/>
      <c r="M150" s="196"/>
      <c r="N150" s="196"/>
      <c r="O150" s="196"/>
      <c r="P150" s="196"/>
      <c r="Q150" s="196"/>
      <c r="R150" s="196"/>
      <c r="S150" s="196"/>
      <c r="T150" s="197">
        <f t="shared" si="12"/>
        <v>3.8</v>
      </c>
      <c r="U150" s="226" t="s">
        <v>1220</v>
      </c>
      <c r="V150" s="197">
        <f t="shared" si="13"/>
        <v>102811.508</v>
      </c>
      <c r="W150" s="191">
        <f>V150/V149</f>
        <v>0.31666666666666671</v>
      </c>
      <c r="X150" s="199"/>
    </row>
    <row r="151" spans="1:24" ht="15" customHeight="1">
      <c r="A151" s="151">
        <v>147</v>
      </c>
      <c r="B151" s="151" t="s">
        <v>0</v>
      </c>
      <c r="C151" s="230" t="s">
        <v>453</v>
      </c>
      <c r="D151" s="200" t="s">
        <v>1261</v>
      </c>
      <c r="E151" s="187" t="s">
        <v>125</v>
      </c>
      <c r="F151" s="187" t="s">
        <v>1200</v>
      </c>
      <c r="G151" s="188">
        <v>2.4000000000000004</v>
      </c>
      <c r="H151" s="188">
        <v>3</v>
      </c>
      <c r="I151" s="188">
        <v>3</v>
      </c>
      <c r="J151" s="188">
        <v>3</v>
      </c>
      <c r="K151" s="188">
        <v>3</v>
      </c>
      <c r="L151" s="188">
        <v>3</v>
      </c>
      <c r="M151" s="188">
        <v>3</v>
      </c>
      <c r="N151" s="188">
        <v>3</v>
      </c>
      <c r="O151" s="188">
        <v>3</v>
      </c>
      <c r="P151" s="188">
        <v>3</v>
      </c>
      <c r="Q151" s="188">
        <v>3</v>
      </c>
      <c r="R151" s="188">
        <v>3</v>
      </c>
      <c r="S151" s="188">
        <v>0.60000000000000009</v>
      </c>
      <c r="T151" s="189">
        <f t="shared" si="12"/>
        <v>36</v>
      </c>
      <c r="U151" s="225" t="s">
        <v>1224</v>
      </c>
      <c r="V151" s="189">
        <f t="shared" si="13"/>
        <v>296181.36</v>
      </c>
      <c r="W151" s="191" t="s">
        <v>74</v>
      </c>
      <c r="X151" s="192"/>
    </row>
    <row r="152" spans="1:24" s="31" customFormat="1" ht="15" customHeight="1">
      <c r="A152" s="160">
        <v>148</v>
      </c>
      <c r="B152" s="160" t="s">
        <v>1</v>
      </c>
      <c r="C152" s="193" t="s">
        <v>453</v>
      </c>
      <c r="D152" s="201" t="s">
        <v>1261</v>
      </c>
      <c r="E152" s="195" t="s">
        <v>125</v>
      </c>
      <c r="F152" s="195" t="s">
        <v>1200</v>
      </c>
      <c r="G152" s="196">
        <v>2.4000000000000004</v>
      </c>
      <c r="H152" s="196">
        <v>3</v>
      </c>
      <c r="I152" s="196">
        <v>3</v>
      </c>
      <c r="J152" s="196">
        <v>3</v>
      </c>
      <c r="K152" s="196"/>
      <c r="L152" s="196"/>
      <c r="M152" s="196"/>
      <c r="N152" s="196"/>
      <c r="O152" s="196"/>
      <c r="P152" s="196"/>
      <c r="Q152" s="196"/>
      <c r="R152" s="196"/>
      <c r="S152" s="196"/>
      <c r="T152" s="197">
        <f t="shared" si="12"/>
        <v>11.4</v>
      </c>
      <c r="U152" s="226" t="s">
        <v>1224</v>
      </c>
      <c r="V152" s="197">
        <f t="shared" si="13"/>
        <v>93790.76400000001</v>
      </c>
      <c r="W152" s="191">
        <f>V152/V151</f>
        <v>0.31666666666666671</v>
      </c>
      <c r="X152" s="199"/>
    </row>
    <row r="153" spans="1:24" ht="15" customHeight="1">
      <c r="A153" s="151">
        <v>149</v>
      </c>
      <c r="B153" s="151" t="s">
        <v>0</v>
      </c>
      <c r="C153" s="230" t="s">
        <v>455</v>
      </c>
      <c r="D153" s="200" t="s">
        <v>1262</v>
      </c>
      <c r="E153" s="236" t="s">
        <v>144</v>
      </c>
      <c r="F153" s="187" t="s">
        <v>1200</v>
      </c>
      <c r="G153" s="188">
        <v>2.4000000000000004</v>
      </c>
      <c r="H153" s="188">
        <v>3</v>
      </c>
      <c r="I153" s="188">
        <v>3</v>
      </c>
      <c r="J153" s="188">
        <v>3</v>
      </c>
      <c r="K153" s="188">
        <v>3</v>
      </c>
      <c r="L153" s="188">
        <v>3</v>
      </c>
      <c r="M153" s="188">
        <v>1.9999999999999998</v>
      </c>
      <c r="N153" s="188">
        <v>3</v>
      </c>
      <c r="O153" s="188">
        <v>3</v>
      </c>
      <c r="P153" s="188">
        <v>3</v>
      </c>
      <c r="Q153" s="188">
        <v>3</v>
      </c>
      <c r="R153" s="188">
        <v>3</v>
      </c>
      <c r="S153" s="188">
        <v>0.60000000000000009</v>
      </c>
      <c r="T153" s="189">
        <f t="shared" si="12"/>
        <v>35</v>
      </c>
      <c r="U153" s="225" t="s">
        <v>1263</v>
      </c>
      <c r="V153" s="189">
        <f t="shared" si="13"/>
        <v>248655.05000000002</v>
      </c>
      <c r="W153" s="191" t="s">
        <v>74</v>
      </c>
      <c r="X153" s="192"/>
    </row>
    <row r="154" spans="1:24" s="31" customFormat="1" ht="15" customHeight="1">
      <c r="A154" s="160">
        <v>150</v>
      </c>
      <c r="B154" s="160" t="s">
        <v>1</v>
      </c>
      <c r="C154" s="193" t="s">
        <v>455</v>
      </c>
      <c r="D154" s="201" t="s">
        <v>1262</v>
      </c>
      <c r="E154" s="237" t="s">
        <v>144</v>
      </c>
      <c r="F154" s="195" t="s">
        <v>1200</v>
      </c>
      <c r="G154" s="196">
        <v>1.5999999999999999</v>
      </c>
      <c r="H154" s="196">
        <v>2</v>
      </c>
      <c r="I154" s="196">
        <v>2</v>
      </c>
      <c r="J154" s="196">
        <v>2.9</v>
      </c>
      <c r="K154" s="196"/>
      <c r="L154" s="196"/>
      <c r="M154" s="196"/>
      <c r="N154" s="196"/>
      <c r="O154" s="196"/>
      <c r="P154" s="196"/>
      <c r="Q154" s="196"/>
      <c r="R154" s="196"/>
      <c r="S154" s="196"/>
      <c r="T154" s="197">
        <f t="shared" si="12"/>
        <v>8.5</v>
      </c>
      <c r="U154" s="226" t="s">
        <v>1263</v>
      </c>
      <c r="V154" s="197">
        <f t="shared" si="13"/>
        <v>60387.654999999999</v>
      </c>
      <c r="W154" s="191">
        <f>V154/V153</f>
        <v>0.24285714285714283</v>
      </c>
      <c r="X154" s="199"/>
    </row>
    <row r="155" spans="1:24" ht="15" customHeight="1">
      <c r="A155" s="151">
        <v>151</v>
      </c>
      <c r="B155" s="151" t="s">
        <v>0</v>
      </c>
      <c r="C155" s="230" t="s">
        <v>458</v>
      </c>
      <c r="D155" s="200" t="s">
        <v>115</v>
      </c>
      <c r="E155" s="208" t="s">
        <v>152</v>
      </c>
      <c r="F155" s="187" t="s">
        <v>1200</v>
      </c>
      <c r="G155" s="188">
        <v>2.4000000000000004</v>
      </c>
      <c r="H155" s="188">
        <v>3</v>
      </c>
      <c r="I155" s="188">
        <v>3</v>
      </c>
      <c r="J155" s="188">
        <v>3</v>
      </c>
      <c r="K155" s="188">
        <v>3</v>
      </c>
      <c r="L155" s="188">
        <v>3</v>
      </c>
      <c r="M155" s="188">
        <v>2.9333333333333336</v>
      </c>
      <c r="N155" s="188">
        <v>3</v>
      </c>
      <c r="O155" s="188">
        <v>3</v>
      </c>
      <c r="P155" s="188">
        <v>3</v>
      </c>
      <c r="Q155" s="188">
        <v>3</v>
      </c>
      <c r="R155" s="188">
        <v>3</v>
      </c>
      <c r="S155" s="188">
        <v>0.60000000000000009</v>
      </c>
      <c r="T155" s="189">
        <f t="shared" si="12"/>
        <v>35.93333333333333</v>
      </c>
      <c r="U155" s="225" t="s">
        <v>1230</v>
      </c>
      <c r="V155" s="189">
        <f t="shared" si="13"/>
        <v>183232.33133333331</v>
      </c>
      <c r="W155" s="191" t="s">
        <v>74</v>
      </c>
      <c r="X155" s="192"/>
    </row>
    <row r="156" spans="1:24" s="31" customFormat="1" ht="15" customHeight="1">
      <c r="A156" s="160">
        <v>152</v>
      </c>
      <c r="B156" s="160" t="s">
        <v>1</v>
      </c>
      <c r="C156" s="193" t="s">
        <v>458</v>
      </c>
      <c r="D156" s="201" t="s">
        <v>115</v>
      </c>
      <c r="E156" s="207" t="s">
        <v>152</v>
      </c>
      <c r="F156" s="195" t="s">
        <v>1200</v>
      </c>
      <c r="G156" s="196">
        <v>2.4</v>
      </c>
      <c r="H156" s="196">
        <v>3</v>
      </c>
      <c r="I156" s="196">
        <v>3</v>
      </c>
      <c r="J156" s="196">
        <v>3</v>
      </c>
      <c r="K156" s="196"/>
      <c r="L156" s="196"/>
      <c r="M156" s="196"/>
      <c r="N156" s="196"/>
      <c r="O156" s="196"/>
      <c r="P156" s="196"/>
      <c r="Q156" s="196"/>
      <c r="R156" s="196"/>
      <c r="S156" s="196"/>
      <c r="T156" s="197">
        <f t="shared" si="12"/>
        <v>11.4</v>
      </c>
      <c r="U156" s="226" t="s">
        <v>1230</v>
      </c>
      <c r="V156" s="197">
        <f t="shared" si="13"/>
        <v>58131.221999999994</v>
      </c>
      <c r="W156" s="191">
        <f>V156/V155</f>
        <v>0.31725417439703157</v>
      </c>
      <c r="X156" s="199"/>
    </row>
    <row r="157" spans="1:24" s="203" customFormat="1" ht="45" customHeight="1">
      <c r="A157" s="151">
        <v>153</v>
      </c>
      <c r="B157" s="151" t="s">
        <v>0</v>
      </c>
      <c r="C157" s="168" t="s">
        <v>483</v>
      </c>
      <c r="D157" s="209" t="s">
        <v>1267</v>
      </c>
      <c r="E157" s="170"/>
      <c r="F157" s="169"/>
      <c r="G157" s="202"/>
      <c r="H157" s="202"/>
      <c r="I157" s="202"/>
      <c r="J157" s="202"/>
      <c r="K157" s="202"/>
      <c r="L157" s="202"/>
      <c r="M157" s="202"/>
      <c r="N157" s="202"/>
      <c r="O157" s="202"/>
      <c r="P157" s="202"/>
      <c r="Q157" s="202"/>
      <c r="R157" s="202"/>
      <c r="S157" s="202"/>
      <c r="T157" s="174">
        <f t="shared" si="12"/>
        <v>0</v>
      </c>
      <c r="U157" s="174"/>
      <c r="V157" s="174">
        <f t="shared" si="13"/>
        <v>0</v>
      </c>
      <c r="W157" s="175"/>
      <c r="X157" s="176"/>
    </row>
    <row r="158" spans="1:24" s="205" customFormat="1" ht="45" customHeight="1">
      <c r="A158" s="160">
        <v>154</v>
      </c>
      <c r="B158" s="160" t="s">
        <v>1</v>
      </c>
      <c r="C158" s="177" t="s">
        <v>483</v>
      </c>
      <c r="D158" s="210" t="s">
        <v>1268</v>
      </c>
      <c r="E158" s="179"/>
      <c r="F158" s="178"/>
      <c r="G158" s="204"/>
      <c r="H158" s="204"/>
      <c r="I158" s="204"/>
      <c r="J158" s="204"/>
      <c r="K158" s="204"/>
      <c r="L158" s="204"/>
      <c r="M158" s="204"/>
      <c r="N158" s="204"/>
      <c r="O158" s="204"/>
      <c r="P158" s="204"/>
      <c r="Q158" s="204"/>
      <c r="R158" s="204"/>
      <c r="S158" s="204"/>
      <c r="T158" s="183">
        <f t="shared" si="12"/>
        <v>0</v>
      </c>
      <c r="U158" s="183"/>
      <c r="V158" s="183">
        <f t="shared" si="13"/>
        <v>0</v>
      </c>
      <c r="W158" s="175"/>
      <c r="X158" s="184"/>
    </row>
    <row r="159" spans="1:24" ht="15" customHeight="1">
      <c r="A159" s="151">
        <v>155</v>
      </c>
      <c r="B159" s="151" t="s">
        <v>0</v>
      </c>
      <c r="C159" s="185" t="s">
        <v>484</v>
      </c>
      <c r="D159" s="200" t="s">
        <v>1269</v>
      </c>
      <c r="E159" s="187" t="s">
        <v>89</v>
      </c>
      <c r="F159" s="187" t="s">
        <v>1200</v>
      </c>
      <c r="G159" s="188">
        <v>3.2</v>
      </c>
      <c r="H159" s="188">
        <v>4</v>
      </c>
      <c r="I159" s="188">
        <v>4</v>
      </c>
      <c r="J159" s="188">
        <v>4</v>
      </c>
      <c r="K159" s="188">
        <v>4</v>
      </c>
      <c r="L159" s="188">
        <v>4</v>
      </c>
      <c r="M159" s="188">
        <v>3</v>
      </c>
      <c r="N159" s="188">
        <v>4</v>
      </c>
      <c r="O159" s="188">
        <v>4</v>
      </c>
      <c r="P159" s="188">
        <v>4</v>
      </c>
      <c r="Q159" s="188">
        <v>4</v>
      </c>
      <c r="R159" s="188">
        <v>4</v>
      </c>
      <c r="S159" s="188">
        <v>0.8</v>
      </c>
      <c r="T159" s="412">
        <f t="shared" si="12"/>
        <v>47</v>
      </c>
      <c r="U159" s="225" t="s">
        <v>1270</v>
      </c>
      <c r="V159" s="189">
        <f t="shared" si="13"/>
        <v>367631.18</v>
      </c>
      <c r="W159" s="191" t="s">
        <v>74</v>
      </c>
      <c r="X159" s="192"/>
    </row>
    <row r="160" spans="1:24" s="31" customFormat="1" ht="15" customHeight="1">
      <c r="A160" s="160">
        <v>156</v>
      </c>
      <c r="B160" s="160" t="s">
        <v>1</v>
      </c>
      <c r="C160" s="193" t="s">
        <v>484</v>
      </c>
      <c r="D160" s="201" t="s">
        <v>1269</v>
      </c>
      <c r="E160" s="195" t="s">
        <v>89</v>
      </c>
      <c r="F160" s="195" t="s">
        <v>1200</v>
      </c>
      <c r="G160" s="196">
        <v>1.5999999999999999</v>
      </c>
      <c r="H160" s="196">
        <v>2</v>
      </c>
      <c r="I160" s="196">
        <v>2.9333333333333336</v>
      </c>
      <c r="J160" s="196">
        <v>5</v>
      </c>
      <c r="K160" s="196"/>
      <c r="L160" s="196"/>
      <c r="M160" s="196"/>
      <c r="N160" s="196"/>
      <c r="O160" s="196"/>
      <c r="P160" s="196"/>
      <c r="Q160" s="196"/>
      <c r="R160" s="196"/>
      <c r="S160" s="196"/>
      <c r="T160" s="197">
        <f t="shared" si="12"/>
        <v>11.533333333333333</v>
      </c>
      <c r="U160" s="226" t="s">
        <v>1270</v>
      </c>
      <c r="V160" s="197">
        <f t="shared" si="13"/>
        <v>90213.041333333327</v>
      </c>
      <c r="W160" s="191">
        <f>V160/V159</f>
        <v>0.24539007092198581</v>
      </c>
      <c r="X160" s="199"/>
    </row>
    <row r="161" spans="1:24" ht="15" customHeight="1">
      <c r="A161" s="151">
        <v>157</v>
      </c>
      <c r="B161" s="151" t="s">
        <v>0</v>
      </c>
      <c r="C161" s="185" t="s">
        <v>486</v>
      </c>
      <c r="D161" s="200" t="s">
        <v>1271</v>
      </c>
      <c r="E161" s="187" t="s">
        <v>160</v>
      </c>
      <c r="F161" s="187" t="s">
        <v>1200</v>
      </c>
      <c r="G161" s="188">
        <v>1.6</v>
      </c>
      <c r="H161" s="188">
        <v>2</v>
      </c>
      <c r="I161" s="188">
        <v>2</v>
      </c>
      <c r="J161" s="188">
        <v>2</v>
      </c>
      <c r="K161" s="188">
        <v>2</v>
      </c>
      <c r="L161" s="188">
        <v>2</v>
      </c>
      <c r="M161" s="188">
        <v>2</v>
      </c>
      <c r="N161" s="188">
        <v>2</v>
      </c>
      <c r="O161" s="188">
        <v>2</v>
      </c>
      <c r="P161" s="188">
        <v>2</v>
      </c>
      <c r="Q161" s="188">
        <v>2</v>
      </c>
      <c r="R161" s="188">
        <v>2</v>
      </c>
      <c r="S161" s="188">
        <v>0.4</v>
      </c>
      <c r="T161" s="189">
        <f t="shared" si="12"/>
        <v>24</v>
      </c>
      <c r="U161" s="225" t="s">
        <v>1272</v>
      </c>
      <c r="V161" s="189">
        <f t="shared" si="13"/>
        <v>175118.63999999998</v>
      </c>
      <c r="W161" s="191" t="s">
        <v>74</v>
      </c>
      <c r="X161" s="192"/>
    </row>
    <row r="162" spans="1:24" s="31" customFormat="1" ht="15" customHeight="1">
      <c r="A162" s="160">
        <v>158</v>
      </c>
      <c r="B162" s="160" t="s">
        <v>1</v>
      </c>
      <c r="C162" s="193" t="s">
        <v>486</v>
      </c>
      <c r="D162" s="201" t="s">
        <v>1271</v>
      </c>
      <c r="E162" s="195" t="s">
        <v>160</v>
      </c>
      <c r="F162" s="195" t="s">
        <v>1200</v>
      </c>
      <c r="G162" s="196">
        <v>1.6</v>
      </c>
      <c r="H162" s="196">
        <v>2</v>
      </c>
      <c r="I162" s="196">
        <v>1.0333333333333334</v>
      </c>
      <c r="J162" s="196">
        <v>1.9666666666666668</v>
      </c>
      <c r="K162" s="196"/>
      <c r="L162" s="196"/>
      <c r="M162" s="196"/>
      <c r="N162" s="196"/>
      <c r="O162" s="196"/>
      <c r="P162" s="196"/>
      <c r="Q162" s="196"/>
      <c r="R162" s="196"/>
      <c r="S162" s="196"/>
      <c r="T162" s="197">
        <f t="shared" si="12"/>
        <v>6.6000000000000005</v>
      </c>
      <c r="U162" s="226" t="s">
        <v>1272</v>
      </c>
      <c r="V162" s="197">
        <f t="shared" si="13"/>
        <v>48157.626000000004</v>
      </c>
      <c r="W162" s="191">
        <f>V162/V161</f>
        <v>0.27500000000000002</v>
      </c>
      <c r="X162" s="199"/>
    </row>
    <row r="163" spans="1:24" ht="15" customHeight="1">
      <c r="A163" s="151">
        <v>159</v>
      </c>
      <c r="B163" s="151" t="s">
        <v>0</v>
      </c>
      <c r="C163" s="185" t="s">
        <v>488</v>
      </c>
      <c r="D163" s="200" t="s">
        <v>1213</v>
      </c>
      <c r="E163" s="187" t="s">
        <v>168</v>
      </c>
      <c r="F163" s="187" t="s">
        <v>1200</v>
      </c>
      <c r="G163" s="188">
        <v>17.600000000000001</v>
      </c>
      <c r="H163" s="188">
        <v>22</v>
      </c>
      <c r="I163" s="188">
        <v>22</v>
      </c>
      <c r="J163" s="188">
        <v>22</v>
      </c>
      <c r="K163" s="188">
        <v>22</v>
      </c>
      <c r="L163" s="188">
        <v>22</v>
      </c>
      <c r="M163" s="188">
        <v>20.199999999999996</v>
      </c>
      <c r="N163" s="188">
        <v>22</v>
      </c>
      <c r="O163" s="188">
        <v>22</v>
      </c>
      <c r="P163" s="188">
        <v>22</v>
      </c>
      <c r="Q163" s="188">
        <v>22</v>
      </c>
      <c r="R163" s="188">
        <v>22</v>
      </c>
      <c r="S163" s="188">
        <v>4.4000000000000004</v>
      </c>
      <c r="T163" s="412">
        <f t="shared" si="12"/>
        <v>262.19999999999993</v>
      </c>
      <c r="U163" s="225" t="s">
        <v>1273</v>
      </c>
      <c r="V163" s="189">
        <f t="shared" si="13"/>
        <v>1284339.5039999995</v>
      </c>
      <c r="W163" s="191" t="s">
        <v>74</v>
      </c>
      <c r="X163" s="192"/>
    </row>
    <row r="164" spans="1:24" s="31" customFormat="1" ht="15" customHeight="1">
      <c r="A164" s="160">
        <v>160</v>
      </c>
      <c r="B164" s="160" t="s">
        <v>1</v>
      </c>
      <c r="C164" s="193" t="s">
        <v>488</v>
      </c>
      <c r="D164" s="201" t="s">
        <v>1213</v>
      </c>
      <c r="E164" s="195" t="s">
        <v>168</v>
      </c>
      <c r="F164" s="195" t="s">
        <v>1200</v>
      </c>
      <c r="G164" s="196">
        <v>15.266666666666671</v>
      </c>
      <c r="H164" s="196">
        <v>17.333333333333336</v>
      </c>
      <c r="I164" s="196">
        <v>18.033333333333331</v>
      </c>
      <c r="J164" s="196">
        <v>20.2</v>
      </c>
      <c r="K164" s="196"/>
      <c r="L164" s="196"/>
      <c r="M164" s="196"/>
      <c r="N164" s="196"/>
      <c r="O164" s="196"/>
      <c r="P164" s="196"/>
      <c r="Q164" s="196"/>
      <c r="R164" s="196"/>
      <c r="S164" s="196"/>
      <c r="T164" s="197">
        <f t="shared" si="12"/>
        <v>70.833333333333343</v>
      </c>
      <c r="U164" s="226" t="s">
        <v>1273</v>
      </c>
      <c r="V164" s="197">
        <f t="shared" si="13"/>
        <v>346964.33333333337</v>
      </c>
      <c r="W164" s="191">
        <f>V164/V163</f>
        <v>0.27015001271294192</v>
      </c>
      <c r="X164" s="199"/>
    </row>
    <row r="165" spans="1:24" ht="39.75" customHeight="1">
      <c r="A165" s="151">
        <v>161</v>
      </c>
      <c r="B165" s="151" t="s">
        <v>0</v>
      </c>
      <c r="C165" s="168" t="s">
        <v>697</v>
      </c>
      <c r="D165" s="209" t="s">
        <v>1274</v>
      </c>
      <c r="E165" s="170"/>
      <c r="F165" s="169"/>
      <c r="G165" s="202"/>
      <c r="H165" s="202"/>
      <c r="I165" s="202"/>
      <c r="J165" s="202"/>
      <c r="K165" s="202"/>
      <c r="L165" s="202"/>
      <c r="M165" s="202"/>
      <c r="N165" s="202"/>
      <c r="O165" s="202"/>
      <c r="P165" s="202"/>
      <c r="Q165" s="202"/>
      <c r="R165" s="202"/>
      <c r="S165" s="202"/>
      <c r="T165" s="174">
        <f t="shared" si="12"/>
        <v>0</v>
      </c>
      <c r="U165" s="174"/>
      <c r="V165" s="174">
        <f t="shared" si="13"/>
        <v>0</v>
      </c>
      <c r="W165" s="175"/>
      <c r="X165" s="176"/>
    </row>
    <row r="166" spans="1:24" s="31" customFormat="1" ht="39.75" customHeight="1">
      <c r="A166" s="160">
        <v>162</v>
      </c>
      <c r="B166" s="160" t="s">
        <v>1</v>
      </c>
      <c r="C166" s="177" t="s">
        <v>697</v>
      </c>
      <c r="D166" s="210" t="s">
        <v>1274</v>
      </c>
      <c r="E166" s="179"/>
      <c r="F166" s="178"/>
      <c r="G166" s="204"/>
      <c r="H166" s="204"/>
      <c r="I166" s="204"/>
      <c r="J166" s="204"/>
      <c r="K166" s="204"/>
      <c r="L166" s="204"/>
      <c r="M166" s="204"/>
      <c r="N166" s="204"/>
      <c r="O166" s="204"/>
      <c r="P166" s="204"/>
      <c r="Q166" s="204"/>
      <c r="R166" s="204"/>
      <c r="S166" s="204"/>
      <c r="T166" s="183">
        <f t="shared" si="12"/>
        <v>0</v>
      </c>
      <c r="U166" s="183"/>
      <c r="V166" s="183">
        <f t="shared" si="13"/>
        <v>0</v>
      </c>
      <c r="W166" s="175"/>
      <c r="X166" s="184"/>
    </row>
    <row r="167" spans="1:24" ht="28.9">
      <c r="A167" s="151">
        <v>163</v>
      </c>
      <c r="B167" s="151" t="s">
        <v>0</v>
      </c>
      <c r="C167" s="185" t="s">
        <v>699</v>
      </c>
      <c r="D167" s="238" t="s">
        <v>133</v>
      </c>
      <c r="E167" s="208" t="s">
        <v>192</v>
      </c>
      <c r="F167" s="187" t="s">
        <v>1237</v>
      </c>
      <c r="G167" s="188">
        <v>32</v>
      </c>
      <c r="H167" s="188">
        <v>40</v>
      </c>
      <c r="I167" s="188">
        <v>40</v>
      </c>
      <c r="J167" s="188">
        <v>40</v>
      </c>
      <c r="K167" s="188">
        <v>40</v>
      </c>
      <c r="L167" s="188">
        <v>40</v>
      </c>
      <c r="M167" s="188">
        <v>40</v>
      </c>
      <c r="N167" s="188">
        <v>40</v>
      </c>
      <c r="O167" s="188">
        <v>40</v>
      </c>
      <c r="P167" s="188">
        <v>40</v>
      </c>
      <c r="Q167" s="188">
        <v>40</v>
      </c>
      <c r="R167" s="188">
        <v>40</v>
      </c>
      <c r="S167" s="188">
        <v>8</v>
      </c>
      <c r="T167" s="189">
        <f t="shared" si="12"/>
        <v>480</v>
      </c>
      <c r="U167" s="225" t="s">
        <v>1243</v>
      </c>
      <c r="V167" s="189">
        <f t="shared" si="13"/>
        <v>47707.199999999997</v>
      </c>
      <c r="W167" s="191" t="s">
        <v>74</v>
      </c>
      <c r="X167" s="192"/>
    </row>
    <row r="168" spans="1:24" s="31" customFormat="1" ht="28.9">
      <c r="A168" s="160">
        <v>164</v>
      </c>
      <c r="B168" s="160" t="s">
        <v>1</v>
      </c>
      <c r="C168" s="193" t="s">
        <v>699</v>
      </c>
      <c r="D168" s="239" t="s">
        <v>133</v>
      </c>
      <c r="E168" s="207" t="s">
        <v>192</v>
      </c>
      <c r="F168" s="195" t="s">
        <v>1237</v>
      </c>
      <c r="G168" s="196">
        <v>0</v>
      </c>
      <c r="H168" s="196">
        <v>0</v>
      </c>
      <c r="I168" s="196">
        <v>0</v>
      </c>
      <c r="J168" s="196">
        <v>0</v>
      </c>
      <c r="K168" s="196"/>
      <c r="L168" s="196"/>
      <c r="M168" s="196"/>
      <c r="N168" s="196"/>
      <c r="O168" s="196"/>
      <c r="P168" s="196"/>
      <c r="Q168" s="196"/>
      <c r="R168" s="196"/>
      <c r="S168" s="196"/>
      <c r="T168" s="197">
        <f t="shared" si="12"/>
        <v>0</v>
      </c>
      <c r="U168" s="226" t="s">
        <v>1243</v>
      </c>
      <c r="V168" s="197">
        <f t="shared" si="13"/>
        <v>0</v>
      </c>
      <c r="W168" s="191">
        <f>V168/V167</f>
        <v>0</v>
      </c>
      <c r="X168" s="199"/>
    </row>
    <row r="169" spans="1:24" ht="28.9">
      <c r="A169" s="151">
        <v>165</v>
      </c>
      <c r="B169" s="151" t="s">
        <v>0</v>
      </c>
      <c r="C169" s="185" t="s">
        <v>701</v>
      </c>
      <c r="D169" s="238" t="s">
        <v>133</v>
      </c>
      <c r="E169" s="208" t="s">
        <v>188</v>
      </c>
      <c r="F169" s="187" t="s">
        <v>1237</v>
      </c>
      <c r="G169" s="188">
        <v>32</v>
      </c>
      <c r="H169" s="188">
        <v>40</v>
      </c>
      <c r="I169" s="188">
        <v>40</v>
      </c>
      <c r="J169" s="188">
        <v>40</v>
      </c>
      <c r="K169" s="188">
        <v>40</v>
      </c>
      <c r="L169" s="188">
        <v>40</v>
      </c>
      <c r="M169" s="188">
        <v>40</v>
      </c>
      <c r="N169" s="188">
        <v>40</v>
      </c>
      <c r="O169" s="188">
        <v>40</v>
      </c>
      <c r="P169" s="188">
        <v>40</v>
      </c>
      <c r="Q169" s="188">
        <v>40</v>
      </c>
      <c r="R169" s="188">
        <v>40</v>
      </c>
      <c r="S169" s="188">
        <v>8</v>
      </c>
      <c r="T169" s="189">
        <f t="shared" si="12"/>
        <v>480</v>
      </c>
      <c r="U169" s="225" t="s">
        <v>1244</v>
      </c>
      <c r="V169" s="189">
        <f t="shared" si="13"/>
        <v>32112.000000000004</v>
      </c>
      <c r="W169" s="191" t="s">
        <v>74</v>
      </c>
      <c r="X169" s="192"/>
    </row>
    <row r="170" spans="1:24" s="31" customFormat="1" ht="28.9">
      <c r="A170" s="160">
        <v>166</v>
      </c>
      <c r="B170" s="160" t="s">
        <v>1</v>
      </c>
      <c r="C170" s="193" t="s">
        <v>701</v>
      </c>
      <c r="D170" s="239" t="s">
        <v>133</v>
      </c>
      <c r="E170" s="207" t="s">
        <v>188</v>
      </c>
      <c r="F170" s="195" t="s">
        <v>1237</v>
      </c>
      <c r="G170" s="196">
        <v>0</v>
      </c>
      <c r="H170" s="196">
        <v>0</v>
      </c>
      <c r="I170" s="196">
        <v>0</v>
      </c>
      <c r="J170" s="196">
        <v>0</v>
      </c>
      <c r="K170" s="196"/>
      <c r="L170" s="196"/>
      <c r="M170" s="196"/>
      <c r="N170" s="196"/>
      <c r="O170" s="196"/>
      <c r="P170" s="196"/>
      <c r="Q170" s="196"/>
      <c r="R170" s="196"/>
      <c r="S170" s="196"/>
      <c r="T170" s="197">
        <f t="shared" si="12"/>
        <v>0</v>
      </c>
      <c r="U170" s="226" t="s">
        <v>1244</v>
      </c>
      <c r="V170" s="197">
        <f t="shared" si="13"/>
        <v>0</v>
      </c>
      <c r="W170" s="191">
        <f>V170/V169</f>
        <v>0</v>
      </c>
      <c r="X170" s="199"/>
    </row>
    <row r="171" spans="1:24">
      <c r="A171" s="151">
        <v>167</v>
      </c>
      <c r="B171" s="151" t="s">
        <v>0</v>
      </c>
      <c r="C171" s="185" t="s">
        <v>703</v>
      </c>
      <c r="D171" s="238" t="s">
        <v>1275</v>
      </c>
      <c r="E171" s="240" t="s">
        <v>211</v>
      </c>
      <c r="F171" s="187" t="s">
        <v>1237</v>
      </c>
      <c r="G171" s="188">
        <v>16</v>
      </c>
      <c r="H171" s="188">
        <v>20</v>
      </c>
      <c r="I171" s="188">
        <v>20</v>
      </c>
      <c r="J171" s="188">
        <v>20</v>
      </c>
      <c r="K171" s="188">
        <v>20</v>
      </c>
      <c r="L171" s="188">
        <v>20</v>
      </c>
      <c r="M171" s="188">
        <v>20</v>
      </c>
      <c r="N171" s="188">
        <v>20</v>
      </c>
      <c r="O171" s="188">
        <v>20</v>
      </c>
      <c r="P171" s="188">
        <v>20</v>
      </c>
      <c r="Q171" s="188">
        <v>20</v>
      </c>
      <c r="R171" s="188">
        <v>20</v>
      </c>
      <c r="S171" s="188">
        <v>4</v>
      </c>
      <c r="T171" s="189">
        <f t="shared" si="12"/>
        <v>240</v>
      </c>
      <c r="U171" s="225" t="s">
        <v>1276</v>
      </c>
      <c r="V171" s="189">
        <f t="shared" si="13"/>
        <v>20304</v>
      </c>
      <c r="W171" s="191" t="s">
        <v>74</v>
      </c>
      <c r="X171" s="192"/>
    </row>
    <row r="172" spans="1:24" s="31" customFormat="1">
      <c r="A172" s="160">
        <v>168</v>
      </c>
      <c r="B172" s="160" t="s">
        <v>1</v>
      </c>
      <c r="C172" s="193" t="s">
        <v>703</v>
      </c>
      <c r="D172" s="239" t="s">
        <v>1275</v>
      </c>
      <c r="E172" s="241" t="s">
        <v>211</v>
      </c>
      <c r="F172" s="195" t="s">
        <v>1237</v>
      </c>
      <c r="G172" s="196">
        <v>0</v>
      </c>
      <c r="H172" s="196">
        <v>0</v>
      </c>
      <c r="I172" s="196">
        <v>0</v>
      </c>
      <c r="J172" s="196">
        <v>0</v>
      </c>
      <c r="K172" s="196"/>
      <c r="L172" s="196"/>
      <c r="M172" s="196"/>
      <c r="N172" s="196"/>
      <c r="O172" s="196"/>
      <c r="P172" s="196"/>
      <c r="Q172" s="196"/>
      <c r="R172" s="196"/>
      <c r="S172" s="196"/>
      <c r="T172" s="197">
        <f t="shared" si="12"/>
        <v>0</v>
      </c>
      <c r="U172" s="226" t="s">
        <v>1276</v>
      </c>
      <c r="V172" s="197">
        <f t="shared" si="13"/>
        <v>0</v>
      </c>
      <c r="W172" s="191">
        <f>V172/V171</f>
        <v>0</v>
      </c>
      <c r="X172" s="199"/>
    </row>
    <row r="173" spans="1:24">
      <c r="A173" s="151">
        <v>169</v>
      </c>
      <c r="B173" s="151" t="s">
        <v>0</v>
      </c>
      <c r="C173" s="185" t="s">
        <v>705</v>
      </c>
      <c r="D173" s="238" t="s">
        <v>1275</v>
      </c>
      <c r="E173" s="240" t="s">
        <v>207</v>
      </c>
      <c r="F173" s="187" t="s">
        <v>1237</v>
      </c>
      <c r="G173" s="188">
        <v>16</v>
      </c>
      <c r="H173" s="188">
        <v>20</v>
      </c>
      <c r="I173" s="188">
        <v>20</v>
      </c>
      <c r="J173" s="188">
        <v>20</v>
      </c>
      <c r="K173" s="188">
        <v>20</v>
      </c>
      <c r="L173" s="188">
        <v>20</v>
      </c>
      <c r="M173" s="188">
        <v>20</v>
      </c>
      <c r="N173" s="188">
        <v>20</v>
      </c>
      <c r="O173" s="188">
        <v>20</v>
      </c>
      <c r="P173" s="188">
        <v>20</v>
      </c>
      <c r="Q173" s="188">
        <v>20</v>
      </c>
      <c r="R173" s="188">
        <v>20</v>
      </c>
      <c r="S173" s="188">
        <v>4</v>
      </c>
      <c r="T173" s="189">
        <f t="shared" si="12"/>
        <v>240</v>
      </c>
      <c r="U173" s="225" t="s">
        <v>1277</v>
      </c>
      <c r="V173" s="189">
        <f t="shared" si="13"/>
        <v>11620.800000000001</v>
      </c>
      <c r="W173" s="191" t="s">
        <v>74</v>
      </c>
      <c r="X173" s="192"/>
    </row>
    <row r="174" spans="1:24" s="31" customFormat="1">
      <c r="A174" s="160">
        <v>170</v>
      </c>
      <c r="B174" s="160" t="s">
        <v>1</v>
      </c>
      <c r="C174" s="193" t="s">
        <v>705</v>
      </c>
      <c r="D174" s="239" t="s">
        <v>1275</v>
      </c>
      <c r="E174" s="241" t="s">
        <v>207</v>
      </c>
      <c r="F174" s="195" t="s">
        <v>1237</v>
      </c>
      <c r="G174" s="196">
        <v>0</v>
      </c>
      <c r="H174" s="196">
        <v>0</v>
      </c>
      <c r="I174" s="196">
        <v>0</v>
      </c>
      <c r="J174" s="196">
        <v>0</v>
      </c>
      <c r="K174" s="196"/>
      <c r="L174" s="196"/>
      <c r="M174" s="196"/>
      <c r="N174" s="196"/>
      <c r="O174" s="196"/>
      <c r="P174" s="196"/>
      <c r="Q174" s="196"/>
      <c r="R174" s="196"/>
      <c r="S174" s="196"/>
      <c r="T174" s="197">
        <f t="shared" si="12"/>
        <v>0</v>
      </c>
      <c r="U174" s="226" t="s">
        <v>1277</v>
      </c>
      <c r="V174" s="197">
        <f t="shared" si="13"/>
        <v>0</v>
      </c>
      <c r="W174" s="191">
        <f>V174/V173</f>
        <v>0</v>
      </c>
      <c r="X174" s="199"/>
    </row>
    <row r="175" spans="1:24">
      <c r="A175" s="151">
        <v>171</v>
      </c>
      <c r="B175" s="151" t="s">
        <v>0</v>
      </c>
      <c r="C175" s="185" t="s">
        <v>707</v>
      </c>
      <c r="D175" s="200" t="s">
        <v>127</v>
      </c>
      <c r="E175" s="208" t="s">
        <v>180</v>
      </c>
      <c r="F175" s="187" t="s">
        <v>1237</v>
      </c>
      <c r="G175" s="188">
        <v>8</v>
      </c>
      <c r="H175" s="188">
        <v>10</v>
      </c>
      <c r="I175" s="188">
        <v>10</v>
      </c>
      <c r="J175" s="188">
        <v>10</v>
      </c>
      <c r="K175" s="188">
        <v>10</v>
      </c>
      <c r="L175" s="188">
        <v>10</v>
      </c>
      <c r="M175" s="188">
        <v>10</v>
      </c>
      <c r="N175" s="188">
        <v>10</v>
      </c>
      <c r="O175" s="188">
        <v>10</v>
      </c>
      <c r="P175" s="188">
        <v>10</v>
      </c>
      <c r="Q175" s="188">
        <v>10</v>
      </c>
      <c r="R175" s="188">
        <v>10</v>
      </c>
      <c r="S175" s="188">
        <v>2</v>
      </c>
      <c r="T175" s="189">
        <f t="shared" si="12"/>
        <v>120</v>
      </c>
      <c r="U175" s="225" t="s">
        <v>1278</v>
      </c>
      <c r="V175" s="189">
        <f t="shared" si="13"/>
        <v>10341.6</v>
      </c>
      <c r="W175" s="191" t="s">
        <v>74</v>
      </c>
      <c r="X175" s="192"/>
    </row>
    <row r="176" spans="1:24" s="31" customFormat="1">
      <c r="A176" s="160">
        <v>172</v>
      </c>
      <c r="B176" s="160" t="s">
        <v>1</v>
      </c>
      <c r="C176" s="193" t="s">
        <v>707</v>
      </c>
      <c r="D176" s="201" t="s">
        <v>127</v>
      </c>
      <c r="E176" s="207" t="s">
        <v>180</v>
      </c>
      <c r="F176" s="195" t="s">
        <v>1237</v>
      </c>
      <c r="G176" s="196">
        <v>0</v>
      </c>
      <c r="H176" s="196">
        <v>0</v>
      </c>
      <c r="I176" s="196">
        <v>0</v>
      </c>
      <c r="J176" s="196">
        <v>0</v>
      </c>
      <c r="K176" s="196"/>
      <c r="L176" s="196"/>
      <c r="M176" s="196"/>
      <c r="N176" s="196"/>
      <c r="O176" s="196"/>
      <c r="P176" s="196"/>
      <c r="Q176" s="196"/>
      <c r="R176" s="196"/>
      <c r="S176" s="196"/>
      <c r="T176" s="197">
        <f t="shared" si="12"/>
        <v>0</v>
      </c>
      <c r="U176" s="226" t="s">
        <v>1278</v>
      </c>
      <c r="V176" s="197">
        <f t="shared" si="13"/>
        <v>0</v>
      </c>
      <c r="W176" s="191">
        <f>V176/V175</f>
        <v>0</v>
      </c>
      <c r="X176" s="199"/>
    </row>
    <row r="177" spans="1:24">
      <c r="A177" s="151">
        <v>173</v>
      </c>
      <c r="B177" s="151" t="s">
        <v>0</v>
      </c>
      <c r="C177" s="185" t="s">
        <v>709</v>
      </c>
      <c r="D177" s="200" t="s">
        <v>127</v>
      </c>
      <c r="E177" s="208" t="s">
        <v>176</v>
      </c>
      <c r="F177" s="187" t="s">
        <v>1237</v>
      </c>
      <c r="G177" s="188">
        <v>8</v>
      </c>
      <c r="H177" s="188">
        <v>10</v>
      </c>
      <c r="I177" s="188">
        <v>10</v>
      </c>
      <c r="J177" s="188">
        <v>10</v>
      </c>
      <c r="K177" s="188">
        <v>10</v>
      </c>
      <c r="L177" s="188">
        <v>10</v>
      </c>
      <c r="M177" s="188">
        <v>10</v>
      </c>
      <c r="N177" s="188">
        <v>10</v>
      </c>
      <c r="O177" s="188">
        <v>10</v>
      </c>
      <c r="P177" s="188">
        <v>10</v>
      </c>
      <c r="Q177" s="188">
        <v>10</v>
      </c>
      <c r="R177" s="188">
        <v>10</v>
      </c>
      <c r="S177" s="188">
        <v>2</v>
      </c>
      <c r="T177" s="189">
        <f t="shared" si="12"/>
        <v>120</v>
      </c>
      <c r="U177" s="225" t="s">
        <v>1279</v>
      </c>
      <c r="V177" s="189">
        <f t="shared" si="13"/>
        <v>6961.2</v>
      </c>
      <c r="W177" s="191" t="s">
        <v>74</v>
      </c>
      <c r="X177" s="192"/>
    </row>
    <row r="178" spans="1:24" s="31" customFormat="1">
      <c r="A178" s="160">
        <v>174</v>
      </c>
      <c r="B178" s="160" t="s">
        <v>1</v>
      </c>
      <c r="C178" s="193" t="s">
        <v>709</v>
      </c>
      <c r="D178" s="201" t="s">
        <v>127</v>
      </c>
      <c r="E178" s="207" t="s">
        <v>176</v>
      </c>
      <c r="F178" s="195" t="s">
        <v>1237</v>
      </c>
      <c r="G178" s="196">
        <v>0</v>
      </c>
      <c r="H178" s="196">
        <v>0</v>
      </c>
      <c r="I178" s="196">
        <v>0</v>
      </c>
      <c r="J178" s="196">
        <v>0</v>
      </c>
      <c r="K178" s="196"/>
      <c r="L178" s="196"/>
      <c r="M178" s="196"/>
      <c r="N178" s="196"/>
      <c r="O178" s="196"/>
      <c r="P178" s="196"/>
      <c r="Q178" s="196"/>
      <c r="R178" s="196"/>
      <c r="S178" s="196"/>
      <c r="T178" s="197">
        <f t="shared" si="12"/>
        <v>0</v>
      </c>
      <c r="U178" s="226" t="s">
        <v>1279</v>
      </c>
      <c r="V178" s="197">
        <f t="shared" si="13"/>
        <v>0</v>
      </c>
      <c r="W178" s="191">
        <f>V178/V177</f>
        <v>0</v>
      </c>
      <c r="X178" s="199"/>
    </row>
    <row r="179" spans="1:24" ht="15" customHeight="1">
      <c r="A179" s="151">
        <v>175</v>
      </c>
      <c r="B179" s="151" t="s">
        <v>0</v>
      </c>
      <c r="C179" s="185" t="s">
        <v>711</v>
      </c>
      <c r="D179" s="200" t="s">
        <v>137</v>
      </c>
      <c r="E179" s="208" t="s">
        <v>203</v>
      </c>
      <c r="F179" s="187" t="s">
        <v>1237</v>
      </c>
      <c r="G179" s="188">
        <v>24</v>
      </c>
      <c r="H179" s="188">
        <v>30</v>
      </c>
      <c r="I179" s="188">
        <v>30</v>
      </c>
      <c r="J179" s="188">
        <v>30</v>
      </c>
      <c r="K179" s="188">
        <v>30</v>
      </c>
      <c r="L179" s="188">
        <v>30</v>
      </c>
      <c r="M179" s="188">
        <v>30</v>
      </c>
      <c r="N179" s="188">
        <v>30</v>
      </c>
      <c r="O179" s="188">
        <v>30</v>
      </c>
      <c r="P179" s="188">
        <v>30</v>
      </c>
      <c r="Q179" s="188">
        <v>30</v>
      </c>
      <c r="R179" s="188">
        <v>30</v>
      </c>
      <c r="S179" s="188">
        <v>6</v>
      </c>
      <c r="T179" s="189">
        <f t="shared" ref="T179:T182" si="14">SUM(G179:S179)</f>
        <v>360</v>
      </c>
      <c r="U179" s="225" t="s">
        <v>1247</v>
      </c>
      <c r="V179" s="189">
        <f t="shared" ref="V179:V182" si="15">U179*T179</f>
        <v>22190.400000000001</v>
      </c>
      <c r="W179" s="191" t="s">
        <v>74</v>
      </c>
      <c r="X179" s="192"/>
    </row>
    <row r="180" spans="1:24" s="31" customFormat="1" ht="15" customHeight="1">
      <c r="A180" s="160">
        <v>176</v>
      </c>
      <c r="B180" s="160" t="s">
        <v>1</v>
      </c>
      <c r="C180" s="193" t="s">
        <v>711</v>
      </c>
      <c r="D180" s="201" t="s">
        <v>137</v>
      </c>
      <c r="E180" s="207" t="s">
        <v>203</v>
      </c>
      <c r="F180" s="195" t="s">
        <v>1237</v>
      </c>
      <c r="G180" s="196">
        <v>0</v>
      </c>
      <c r="H180" s="196">
        <v>0</v>
      </c>
      <c r="I180" s="196">
        <v>0</v>
      </c>
      <c r="J180" s="196">
        <v>0</v>
      </c>
      <c r="K180" s="196"/>
      <c r="L180" s="196"/>
      <c r="M180" s="196"/>
      <c r="N180" s="196"/>
      <c r="O180" s="196"/>
      <c r="P180" s="196"/>
      <c r="Q180" s="196"/>
      <c r="R180" s="196"/>
      <c r="S180" s="196"/>
      <c r="T180" s="197">
        <f t="shared" si="14"/>
        <v>0</v>
      </c>
      <c r="U180" s="226" t="s">
        <v>1247</v>
      </c>
      <c r="V180" s="197">
        <f t="shared" si="15"/>
        <v>0</v>
      </c>
      <c r="W180" s="191">
        <f>V180/V179</f>
        <v>0</v>
      </c>
      <c r="X180" s="199"/>
    </row>
    <row r="181" spans="1:24" ht="15" customHeight="1">
      <c r="A181" s="151">
        <v>177</v>
      </c>
      <c r="B181" s="151" t="s">
        <v>0</v>
      </c>
      <c r="C181" s="185" t="s">
        <v>713</v>
      </c>
      <c r="D181" s="200" t="s">
        <v>137</v>
      </c>
      <c r="E181" s="208" t="s">
        <v>196</v>
      </c>
      <c r="F181" s="187" t="s">
        <v>1237</v>
      </c>
      <c r="G181" s="188">
        <v>24</v>
      </c>
      <c r="H181" s="188">
        <v>30</v>
      </c>
      <c r="I181" s="188">
        <v>30</v>
      </c>
      <c r="J181" s="188">
        <v>30</v>
      </c>
      <c r="K181" s="188">
        <v>30</v>
      </c>
      <c r="L181" s="188">
        <v>30</v>
      </c>
      <c r="M181" s="188">
        <v>30</v>
      </c>
      <c r="N181" s="188">
        <v>30</v>
      </c>
      <c r="O181" s="188">
        <v>30</v>
      </c>
      <c r="P181" s="188">
        <v>30</v>
      </c>
      <c r="Q181" s="188">
        <v>30</v>
      </c>
      <c r="R181" s="188">
        <v>30</v>
      </c>
      <c r="S181" s="188">
        <v>6</v>
      </c>
      <c r="T181" s="189">
        <f t="shared" si="14"/>
        <v>360</v>
      </c>
      <c r="U181" s="225" t="s">
        <v>1249</v>
      </c>
      <c r="V181" s="189">
        <f t="shared" si="15"/>
        <v>14932.8</v>
      </c>
      <c r="W181" s="191" t="s">
        <v>74</v>
      </c>
      <c r="X181" s="192"/>
    </row>
    <row r="182" spans="1:24" s="31" customFormat="1" ht="15" customHeight="1">
      <c r="A182" s="160">
        <v>178</v>
      </c>
      <c r="B182" s="160" t="s">
        <v>1</v>
      </c>
      <c r="C182" s="193" t="s">
        <v>713</v>
      </c>
      <c r="D182" s="201" t="s">
        <v>137</v>
      </c>
      <c r="E182" s="207" t="s">
        <v>196</v>
      </c>
      <c r="F182" s="195" t="s">
        <v>1237</v>
      </c>
      <c r="G182" s="196">
        <v>0</v>
      </c>
      <c r="H182" s="196">
        <v>0</v>
      </c>
      <c r="I182" s="196">
        <v>0</v>
      </c>
      <c r="J182" s="196">
        <v>0</v>
      </c>
      <c r="K182" s="196"/>
      <c r="L182" s="196"/>
      <c r="M182" s="196"/>
      <c r="N182" s="196"/>
      <c r="O182" s="196"/>
      <c r="P182" s="196"/>
      <c r="Q182" s="196"/>
      <c r="R182" s="196"/>
      <c r="S182" s="196"/>
      <c r="T182" s="197">
        <f t="shared" si="14"/>
        <v>0</v>
      </c>
      <c r="U182" s="226" t="s">
        <v>1249</v>
      </c>
      <c r="V182" s="197">
        <f t="shared" si="15"/>
        <v>0</v>
      </c>
      <c r="W182" s="191">
        <f>V182/V181</f>
        <v>0</v>
      </c>
      <c r="X182" s="199"/>
    </row>
    <row r="183" spans="1:24" ht="15" customHeight="1">
      <c r="A183" s="151">
        <v>179</v>
      </c>
      <c r="B183" s="151" t="s">
        <v>0</v>
      </c>
      <c r="C183" s="185"/>
      <c r="D183" s="200"/>
      <c r="E183" s="187"/>
      <c r="F183" s="187"/>
      <c r="G183" s="188"/>
      <c r="H183" s="242"/>
      <c r="I183" s="242"/>
      <c r="J183" s="242"/>
      <c r="K183" s="242"/>
      <c r="L183" s="242"/>
      <c r="M183" s="242"/>
      <c r="N183" s="242"/>
      <c r="O183" s="242"/>
      <c r="P183" s="242"/>
      <c r="Q183" s="242"/>
      <c r="R183" s="242"/>
      <c r="S183" s="242"/>
      <c r="T183" s="189"/>
      <c r="U183" s="225"/>
      <c r="V183" s="189"/>
      <c r="W183" s="191"/>
      <c r="X183" s="192"/>
    </row>
    <row r="184" spans="1:24" s="31" customFormat="1" ht="15" customHeight="1">
      <c r="A184" s="160">
        <v>180</v>
      </c>
      <c r="B184" s="160" t="s">
        <v>1</v>
      </c>
      <c r="C184" s="193"/>
      <c r="D184" s="201"/>
      <c r="E184" s="195"/>
      <c r="F184" s="195"/>
      <c r="G184" s="196"/>
      <c r="H184" s="196"/>
      <c r="I184" s="243"/>
      <c r="J184" s="196"/>
      <c r="K184" s="243"/>
      <c r="L184" s="243"/>
      <c r="M184" s="243"/>
      <c r="N184" s="243"/>
      <c r="O184" s="243"/>
      <c r="P184" s="243"/>
      <c r="Q184" s="243"/>
      <c r="R184" s="196"/>
      <c r="S184" s="196"/>
      <c r="T184" s="197"/>
      <c r="U184" s="226"/>
      <c r="V184" s="197"/>
      <c r="W184" s="191"/>
      <c r="X184" s="199"/>
    </row>
    <row r="185" spans="1:24" ht="15" customHeight="1">
      <c r="A185" s="151">
        <v>181</v>
      </c>
      <c r="B185" s="151" t="s">
        <v>0</v>
      </c>
      <c r="C185" s="215" t="s">
        <v>1195</v>
      </c>
      <c r="D185" s="215"/>
      <c r="E185" s="215"/>
      <c r="F185" s="215"/>
      <c r="G185" s="231">
        <v>62</v>
      </c>
      <c r="H185" s="216">
        <v>62</v>
      </c>
      <c r="I185" s="216">
        <v>62</v>
      </c>
      <c r="J185" s="216">
        <v>62</v>
      </c>
      <c r="K185" s="216">
        <v>62</v>
      </c>
      <c r="L185" s="216">
        <v>62</v>
      </c>
      <c r="M185" s="216">
        <v>62</v>
      </c>
      <c r="N185" s="216">
        <v>62</v>
      </c>
      <c r="O185" s="216">
        <v>62</v>
      </c>
      <c r="P185" s="216">
        <v>62</v>
      </c>
      <c r="Q185" s="216">
        <v>62</v>
      </c>
      <c r="R185" s="216">
        <v>62</v>
      </c>
      <c r="S185" s="216">
        <v>62</v>
      </c>
      <c r="T185" s="216">
        <f>SUMIF($B$115:$B$164,$B$185,T115:T164)</f>
        <v>857.69999999999982</v>
      </c>
      <c r="U185" s="189"/>
      <c r="V185" s="216">
        <f>SUMIF($B$115:$B$182,$B$185,V115:V182)</f>
        <v>7275614.419999999</v>
      </c>
      <c r="W185" s="191" t="s">
        <v>74</v>
      </c>
      <c r="X185" s="217"/>
    </row>
    <row r="186" spans="1:24" s="31" customFormat="1" ht="15" customHeight="1">
      <c r="A186" s="160">
        <v>182</v>
      </c>
      <c r="B186" s="160" t="s">
        <v>1</v>
      </c>
      <c r="C186" s="218" t="s">
        <v>1195</v>
      </c>
      <c r="D186" s="218"/>
      <c r="E186" s="218"/>
      <c r="F186" s="218"/>
      <c r="G186" s="220">
        <f>SUMIF($B$115:$B184,$B186,G115:G184)</f>
        <v>46.233333333333341</v>
      </c>
      <c r="H186" s="220">
        <f>SUMIF($B$115:$B184,$B186,H115:H184)</f>
        <v>57</v>
      </c>
      <c r="I186" s="220">
        <f>SUMIF($B$115:$B184,$B186,I115:I184)</f>
        <v>57.566666666666663</v>
      </c>
      <c r="J186" s="220">
        <f>SUMIF($B$115:$B184,$B186,J115:J184)</f>
        <v>62.166666666666671</v>
      </c>
      <c r="K186" s="220">
        <f>SUMIF($B$115:$B184,$B186,K115:K184)</f>
        <v>0</v>
      </c>
      <c r="L186" s="220">
        <f>SUMIF($B$115:$B184,$B186,L115:L184)</f>
        <v>0</v>
      </c>
      <c r="M186" s="220">
        <f>SUMIF($B$115:$B184,$B186,M115:M184)</f>
        <v>0</v>
      </c>
      <c r="N186" s="220">
        <f>SUMIF($B$115:$B184,$B186,N115:N184)</f>
        <v>0</v>
      </c>
      <c r="O186" s="220">
        <f>SUMIF($B$115:$B184,$B186,O115:O184)</f>
        <v>0</v>
      </c>
      <c r="P186" s="220">
        <f>SUMIF($B$115:$B184,$B186,P115:P184)</f>
        <v>0</v>
      </c>
      <c r="Q186" s="220">
        <f>SUMIF($B$115:$B184,$B186,Q115:Q184)</f>
        <v>0</v>
      </c>
      <c r="R186" s="220">
        <f>SUMIF($B$115:$B184,$B186,R115:R184)</f>
        <v>0</v>
      </c>
      <c r="S186" s="220">
        <f>SUMIF($B$115:$B184,$B186,S115:S184)</f>
        <v>0</v>
      </c>
      <c r="T186" s="220">
        <f>SUMIF($B$115:$B$164,$B$186,T115:T164)</f>
        <v>222.96666666666667</v>
      </c>
      <c r="U186" s="197"/>
      <c r="V186" s="220">
        <f>SUMIF($B$115:$B$182,$B$186,V115:V182)</f>
        <v>1839447.727</v>
      </c>
      <c r="W186" s="191">
        <f>V186/V185</f>
        <v>0.25282369581646963</v>
      </c>
      <c r="X186" s="221"/>
    </row>
    <row r="187" spans="1:24" ht="30" customHeight="1">
      <c r="A187" s="151">
        <v>183</v>
      </c>
      <c r="B187" s="151" t="s">
        <v>0</v>
      </c>
      <c r="C187" s="215" t="s">
        <v>1280</v>
      </c>
      <c r="D187" s="215"/>
      <c r="E187" s="215"/>
      <c r="F187" s="215"/>
      <c r="G187" s="231">
        <v>166.5</v>
      </c>
      <c r="H187" s="231">
        <v>166.5</v>
      </c>
      <c r="I187" s="231">
        <v>166.5</v>
      </c>
      <c r="J187" s="231">
        <v>166.5</v>
      </c>
      <c r="K187" s="231">
        <v>166.5</v>
      </c>
      <c r="L187" s="231">
        <v>166.5</v>
      </c>
      <c r="M187" s="231">
        <v>166.5</v>
      </c>
      <c r="N187" s="231">
        <v>166.5</v>
      </c>
      <c r="O187" s="231">
        <v>166.5</v>
      </c>
      <c r="P187" s="231">
        <v>166.5</v>
      </c>
      <c r="Q187" s="231">
        <v>166.5</v>
      </c>
      <c r="R187" s="231">
        <v>166.5</v>
      </c>
      <c r="S187" s="231">
        <v>166.5</v>
      </c>
      <c r="T187" s="231">
        <v>1998</v>
      </c>
      <c r="U187" s="216"/>
      <c r="V187" s="232">
        <v>16558306.02</v>
      </c>
      <c r="W187" s="191" t="s">
        <v>74</v>
      </c>
      <c r="X187" s="233"/>
    </row>
    <row r="188" spans="1:24" s="31" customFormat="1" ht="30" customHeight="1">
      <c r="A188" s="160">
        <v>184</v>
      </c>
      <c r="B188" s="160" t="s">
        <v>1</v>
      </c>
      <c r="C188" s="218" t="s">
        <v>1280</v>
      </c>
      <c r="D188" s="218"/>
      <c r="E188" s="218"/>
      <c r="F188" s="218"/>
      <c r="G188" s="220">
        <f t="shared" ref="G188:T188" si="16">G186+G108+G50</f>
        <v>117.39823105893728</v>
      </c>
      <c r="H188" s="220">
        <f t="shared" si="16"/>
        <v>149.22278882367161</v>
      </c>
      <c r="I188" s="220">
        <f t="shared" si="16"/>
        <v>153.68945549033828</v>
      </c>
      <c r="J188" s="220">
        <f t="shared" si="16"/>
        <v>154.72278882367161</v>
      </c>
      <c r="K188" s="220">
        <f t="shared" si="16"/>
        <v>0</v>
      </c>
      <c r="L188" s="220">
        <f t="shared" si="16"/>
        <v>0</v>
      </c>
      <c r="M188" s="220">
        <f t="shared" si="16"/>
        <v>0</v>
      </c>
      <c r="N188" s="220">
        <f t="shared" si="16"/>
        <v>0</v>
      </c>
      <c r="O188" s="220">
        <f t="shared" si="16"/>
        <v>0</v>
      </c>
      <c r="P188" s="220">
        <f t="shared" si="16"/>
        <v>0</v>
      </c>
      <c r="Q188" s="220">
        <f t="shared" si="16"/>
        <v>0</v>
      </c>
      <c r="R188" s="220">
        <f t="shared" si="16"/>
        <v>0</v>
      </c>
      <c r="S188" s="220">
        <f t="shared" si="16"/>
        <v>0</v>
      </c>
      <c r="T188" s="220">
        <f t="shared" si="16"/>
        <v>575.0332641966188</v>
      </c>
      <c r="U188" s="220"/>
      <c r="V188" s="220">
        <f>V186+V108+V50</f>
        <v>4623407.7119999994</v>
      </c>
      <c r="W188" s="191">
        <f>V188/V187</f>
        <v>0.27921984932610877</v>
      </c>
      <c r="X188" s="221"/>
    </row>
    <row r="189" spans="1:24" s="251" customFormat="1" ht="17.25" customHeight="1">
      <c r="A189" s="151">
        <v>185</v>
      </c>
      <c r="B189" s="151" t="s">
        <v>0</v>
      </c>
      <c r="C189" s="244" t="s">
        <v>218</v>
      </c>
      <c r="D189" s="245"/>
      <c r="E189" s="246"/>
      <c r="F189" s="246"/>
      <c r="G189" s="246"/>
      <c r="H189" s="246"/>
      <c r="I189" s="246"/>
      <c r="J189" s="246"/>
      <c r="K189" s="246"/>
      <c r="L189" s="246"/>
      <c r="M189" s="247"/>
      <c r="N189" s="246"/>
      <c r="O189" s="246"/>
      <c r="P189" s="246"/>
      <c r="Q189" s="246"/>
      <c r="R189" s="246"/>
      <c r="S189" s="246"/>
      <c r="T189" s="248"/>
      <c r="U189" s="248"/>
      <c r="V189" s="248"/>
      <c r="W189" s="249"/>
      <c r="X189" s="250"/>
    </row>
    <row r="190" spans="1:24" s="259" customFormat="1" ht="17.25" customHeight="1">
      <c r="A190" s="160">
        <v>186</v>
      </c>
      <c r="B190" s="160" t="s">
        <v>1</v>
      </c>
      <c r="C190" s="252" t="s">
        <v>218</v>
      </c>
      <c r="D190" s="253"/>
      <c r="E190" s="254"/>
      <c r="F190" s="254"/>
      <c r="G190" s="254"/>
      <c r="H190" s="254"/>
      <c r="I190" s="254"/>
      <c r="J190" s="254"/>
      <c r="K190" s="254"/>
      <c r="L190" s="254"/>
      <c r="M190" s="255"/>
      <c r="N190" s="254"/>
      <c r="O190" s="254"/>
      <c r="P190" s="254"/>
      <c r="Q190" s="254"/>
      <c r="R190" s="254"/>
      <c r="S190" s="254"/>
      <c r="T190" s="256"/>
      <c r="U190" s="256"/>
      <c r="V190" s="256"/>
      <c r="W190" s="257"/>
      <c r="X190" s="258"/>
    </row>
    <row r="191" spans="1:24">
      <c r="V191" s="262"/>
      <c r="W191" s="191"/>
      <c r="X191" s="263"/>
    </row>
    <row r="192" spans="1:24">
      <c r="I192" s="267"/>
      <c r="J192" s="267"/>
      <c r="K192" s="267"/>
      <c r="V192" s="150"/>
      <c r="X192" s="192"/>
    </row>
    <row r="193" spans="4:19">
      <c r="G193" s="471">
        <f>G84</f>
        <v>8.7999999999999989</v>
      </c>
      <c r="H193" s="471">
        <f t="shared" ref="H193:S193" si="17">H84</f>
        <v>9.8000000000000007</v>
      </c>
      <c r="I193" s="471">
        <f t="shared" si="17"/>
        <v>13</v>
      </c>
      <c r="J193" s="471">
        <f t="shared" si="17"/>
        <v>13</v>
      </c>
      <c r="K193" s="471">
        <f t="shared" si="17"/>
        <v>0</v>
      </c>
      <c r="L193" s="471">
        <f t="shared" si="17"/>
        <v>0</v>
      </c>
      <c r="M193" s="471">
        <f t="shared" si="17"/>
        <v>0</v>
      </c>
      <c r="N193" s="471">
        <f t="shared" si="17"/>
        <v>0</v>
      </c>
      <c r="O193" s="471">
        <f t="shared" si="17"/>
        <v>0</v>
      </c>
      <c r="P193" s="471">
        <f t="shared" si="17"/>
        <v>0</v>
      </c>
      <c r="Q193" s="471">
        <f t="shared" si="17"/>
        <v>0</v>
      </c>
      <c r="R193" s="471">
        <f t="shared" si="17"/>
        <v>0</v>
      </c>
      <c r="S193" s="471">
        <f t="shared" si="17"/>
        <v>0</v>
      </c>
    </row>
    <row r="194" spans="4:19">
      <c r="G194" s="4">
        <f t="shared" ref="G194:J194" si="18">G193*G195</f>
        <v>13.074288159119799</v>
      </c>
      <c r="H194" s="4">
        <f t="shared" si="18"/>
        <v>14.560002722656142</v>
      </c>
      <c r="I194" s="4">
        <f t="shared" si="18"/>
        <v>19.314289325972432</v>
      </c>
      <c r="J194" s="4">
        <f t="shared" si="18"/>
        <v>19.314289325972432</v>
      </c>
      <c r="K194" s="4">
        <f>K193*K195</f>
        <v>0</v>
      </c>
      <c r="L194" s="4">
        <f t="shared" ref="L194:S194" si="19">L193*L195</f>
        <v>0</v>
      </c>
      <c r="M194" s="4">
        <f t="shared" si="19"/>
        <v>0</v>
      </c>
      <c r="N194" s="4">
        <f t="shared" si="19"/>
        <v>0</v>
      </c>
      <c r="O194" s="4">
        <f t="shared" si="19"/>
        <v>0</v>
      </c>
      <c r="P194" s="4">
        <f t="shared" si="19"/>
        <v>0</v>
      </c>
      <c r="Q194" s="4">
        <f t="shared" si="19"/>
        <v>0</v>
      </c>
      <c r="R194" s="4">
        <f t="shared" si="19"/>
        <v>0</v>
      </c>
      <c r="S194" s="4">
        <f t="shared" si="19"/>
        <v>0</v>
      </c>
    </row>
    <row r="195" spans="4:19">
      <c r="G195" s="4">
        <v>1.4857145635363409</v>
      </c>
      <c r="H195" s="4">
        <v>1.4857145635363409</v>
      </c>
      <c r="I195" s="4">
        <v>1.4857145635363409</v>
      </c>
      <c r="J195" s="4">
        <v>1.4857145635363409</v>
      </c>
      <c r="K195" s="4">
        <v>1.4857145635363409</v>
      </c>
      <c r="L195" s="4">
        <v>1.4857145635363409</v>
      </c>
      <c r="M195" s="4">
        <v>1.4857145635363409</v>
      </c>
      <c r="N195" s="4">
        <v>1.4857145635363409</v>
      </c>
      <c r="O195" s="4">
        <v>1.4857145635363409</v>
      </c>
      <c r="P195" s="4">
        <v>1.4857145635363409</v>
      </c>
      <c r="Q195" s="4">
        <v>1.4857145635363409</v>
      </c>
      <c r="R195" s="4">
        <v>1.4857145635363409</v>
      </c>
      <c r="S195" s="4">
        <v>1.4857145635363409</v>
      </c>
    </row>
    <row r="196" spans="4:19">
      <c r="F196" s="667" t="s">
        <v>1281</v>
      </c>
      <c r="G196" s="472">
        <f t="shared" ref="G196:J196" si="20">(G194+G82)/2</f>
        <v>11.737144079559901</v>
      </c>
      <c r="H196" s="472">
        <f t="shared" si="20"/>
        <v>13.780001361328072</v>
      </c>
      <c r="I196" s="472">
        <f t="shared" si="20"/>
        <v>16.157144662986216</v>
      </c>
      <c r="J196" s="472">
        <f t="shared" si="20"/>
        <v>16.64047799631955</v>
      </c>
      <c r="K196" s="472">
        <f>(K194+K82)/2</f>
        <v>0</v>
      </c>
      <c r="L196" s="472">
        <f t="shared" ref="L196:S196" si="21">(L194+L82)/2</f>
        <v>0</v>
      </c>
      <c r="M196" s="472">
        <f t="shared" si="21"/>
        <v>0</v>
      </c>
      <c r="N196" s="472">
        <f t="shared" si="21"/>
        <v>0</v>
      </c>
      <c r="O196" s="472">
        <f t="shared" si="21"/>
        <v>0</v>
      </c>
      <c r="P196" s="472">
        <f t="shared" si="21"/>
        <v>0</v>
      </c>
      <c r="Q196" s="472">
        <f t="shared" si="21"/>
        <v>0</v>
      </c>
      <c r="R196" s="472">
        <f t="shared" si="21"/>
        <v>0</v>
      </c>
      <c r="S196" s="472">
        <f t="shared" si="21"/>
        <v>0</v>
      </c>
    </row>
    <row r="197" spans="4:19">
      <c r="F197" s="667" t="s">
        <v>1282</v>
      </c>
      <c r="G197" s="472">
        <f t="shared" ref="G197:J197" si="22">(G82+G84)/2</f>
        <v>9.6</v>
      </c>
      <c r="H197" s="472">
        <f t="shared" si="22"/>
        <v>11.4</v>
      </c>
      <c r="I197" s="472">
        <f t="shared" si="22"/>
        <v>13</v>
      </c>
      <c r="J197" s="472">
        <f t="shared" si="22"/>
        <v>13.483333333333334</v>
      </c>
      <c r="K197" s="472">
        <f>(K82+K84)/2</f>
        <v>0</v>
      </c>
      <c r="L197" s="472">
        <f t="shared" ref="L197:S197" si="23">(L82+L84)/2</f>
        <v>0</v>
      </c>
      <c r="M197" s="472">
        <f t="shared" si="23"/>
        <v>0</v>
      </c>
      <c r="N197" s="472">
        <f t="shared" si="23"/>
        <v>0</v>
      </c>
      <c r="O197" s="472">
        <f t="shared" si="23"/>
        <v>0</v>
      </c>
      <c r="P197" s="472">
        <f t="shared" si="23"/>
        <v>0</v>
      </c>
      <c r="Q197" s="472">
        <f t="shared" si="23"/>
        <v>0</v>
      </c>
      <c r="R197" s="472">
        <f t="shared" si="23"/>
        <v>0</v>
      </c>
      <c r="S197" s="472">
        <f t="shared" si="23"/>
        <v>0</v>
      </c>
    </row>
    <row r="204" spans="4:19">
      <c r="D204" s="261" t="str">
        <f>B18&amp;"/"&amp;C18&amp;"/"&amp;D18</f>
        <v>REAL/1.2.1/Consultor Especializado</v>
      </c>
    </row>
  </sheetData>
  <autoFilter ref="A4:X192" xr:uid="{39ED0AA2-E0E6-4FD9-8093-59103E982EFD}">
    <sortState xmlns:xlrd2="http://schemas.microsoft.com/office/spreadsheetml/2017/richdata2" ref="A5:X192">
      <sortCondition ref="A4:A192"/>
    </sortState>
  </autoFilter>
  <dataConsolidate/>
  <mergeCells count="11">
    <mergeCell ref="W2:W3"/>
    <mergeCell ref="X2:X3"/>
    <mergeCell ref="C1:V1"/>
    <mergeCell ref="C2:C3"/>
    <mergeCell ref="D2:D3"/>
    <mergeCell ref="E2:E3"/>
    <mergeCell ref="F2:F3"/>
    <mergeCell ref="G2:S2"/>
    <mergeCell ref="T2:T3"/>
    <mergeCell ref="U2:U3"/>
    <mergeCell ref="V2:V3"/>
  </mergeCells>
  <pageMargins left="0.31496062992125984" right="0.31496062992125984" top="0.59055118110236227" bottom="0.78740157480314965" header="0.31496062992125984" footer="0.31496062992125984"/>
  <pageSetup paperSize="9" scale="48" fitToHeight="0" orientation="landscape" r:id="rId1"/>
  <headerFooter>
    <oddFooter>&amp;R&amp;P/&amp;N</oddFooter>
  </headerFooter>
  <rowBreaks count="1" manualBreakCount="1">
    <brk id="134" max="2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Brant</dc:creator>
  <cp:keywords/>
  <dc:description/>
  <cp:lastModifiedBy>Daniel Carvalho</cp:lastModifiedBy>
  <cp:revision/>
  <dcterms:created xsi:type="dcterms:W3CDTF">2010-01-08T18:34:40Z</dcterms:created>
  <dcterms:modified xsi:type="dcterms:W3CDTF">2026-02-25T12:30:38Z</dcterms:modified>
  <cp:category/>
  <cp:contentStatus/>
</cp:coreProperties>
</file>